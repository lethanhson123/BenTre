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11595" tabRatio="733" firstSheet="21" activeTab="23"/>
  </bookViews>
  <sheets>
    <sheet name="Thuysan" sheetId="17" r:id="rId1"/>
    <sheet name="CS" sheetId="23" r:id="rId2"/>
    <sheet name="List+TK" sheetId="16" r:id="rId3"/>
    <sheet name="T12.QD " sheetId="39" r:id="rId4"/>
    <sheet name="T11.QD" sheetId="34" r:id="rId5"/>
    <sheet name="T10.QD " sheetId="31" r:id="rId6"/>
    <sheet name="T9.QD" sheetId="28" r:id="rId7"/>
    <sheet name="T8.QD " sheetId="63" r:id="rId8"/>
    <sheet name="T7.QD " sheetId="60" r:id="rId9"/>
    <sheet name="T6.QD " sheetId="57" r:id="rId10"/>
    <sheet name="T5.QD" sheetId="54" r:id="rId11"/>
    <sheet name="T4.QD" sheetId="49" r:id="rId12"/>
    <sheet name="T3.QD" sheetId="46" r:id="rId13"/>
    <sheet name="T2.QD " sheetId="43" r:id="rId14"/>
    <sheet name="T8.QD" sheetId="24" r:id="rId15"/>
    <sheet name="T12.TT" sheetId="40" r:id="rId16"/>
    <sheet name="T11.TT " sheetId="35" r:id="rId17"/>
    <sheet name="T10.TT" sheetId="32" r:id="rId18"/>
    <sheet name="T9.TT bs KLN" sheetId="65" r:id="rId19"/>
    <sheet name="T9.TT" sheetId="30" r:id="rId20"/>
    <sheet name="T7.TT" sheetId="61" r:id="rId21"/>
    <sheet name="T6.TT" sheetId="58" r:id="rId22"/>
    <sheet name="T5.TT" sheetId="55" r:id="rId23"/>
    <sheet name="T4.TT" sheetId="50" r:id="rId24"/>
    <sheet name="T3.TT" sheetId="47" r:id="rId25"/>
    <sheet name="T2.TT" sheetId="44" r:id="rId26"/>
    <sheet name="T8.TT" sheetId="26" r:id="rId27"/>
    <sheet name="T12.BB" sheetId="42" r:id="rId28"/>
    <sheet name="T11.BB " sheetId="38" r:id="rId29"/>
    <sheet name="T10.BB" sheetId="33" r:id="rId30"/>
    <sheet name="T9.BBbs KLN " sheetId="64" r:id="rId31"/>
    <sheet name="T9.BB " sheetId="29" r:id="rId32"/>
    <sheet name="T7.BB " sheetId="62" r:id="rId33"/>
    <sheet name="T6.BB " sheetId="59" r:id="rId34"/>
    <sheet name="T5.BB" sheetId="56" r:id="rId35"/>
    <sheet name="T4.BB" sheetId="51" r:id="rId36"/>
    <sheet name="T3.BB" sheetId="48" r:id="rId37"/>
    <sheet name="T2.BB" sheetId="45" r:id="rId38"/>
    <sheet name="T8.BB" sheetId="27" r:id="rId39"/>
    <sheet name="Xa" sheetId="21" r:id="rId40"/>
  </sheets>
  <definedNames>
    <definedName name="_xlnm._FilterDatabase" localSheetId="1" hidden="1">CS!$A$2:$G$57</definedName>
    <definedName name="_xlnm._FilterDatabase" localSheetId="0" hidden="1">Thuysan!$B$3:$X$343</definedName>
    <definedName name="BĐ">'List+TK'!$AB$27:$AB$46</definedName>
    <definedName name="BT">'List+TK'!$AB$3:$AB$26</definedName>
    <definedName name="CL">'List+TK'!$AB$69:$AB$79</definedName>
    <definedName name="Coso">CS!$B$3:$B$101</definedName>
    <definedName name="CT">'List+TK'!$AB$47:$AB$68</definedName>
    <definedName name="Chitieu">'List+TK'!$D$3:$D$72</definedName>
    <definedName name="Ghichu">'List+TK'!$K$3:$K$5</definedName>
    <definedName name="GT">'List+TK'!$AB$80:$AB$101</definedName>
    <definedName name="Huyen">'List+TK'!$Y$3:$Y$11</definedName>
    <definedName name="MCB">'List+TK'!$AB$102:$AB$114</definedName>
    <definedName name="MCN">'List+TK'!$AB$115:$AB$131</definedName>
    <definedName name="Nguoilay">'List+TK'!$G$3:$G$13</definedName>
    <definedName name="_xlnm.Print_Titles" localSheetId="29">T10.BB!$6:$6</definedName>
    <definedName name="_xlnm.Print_Titles" localSheetId="5">'T10.QD '!$5:$5</definedName>
    <definedName name="_xlnm.Print_Titles" localSheetId="17">T10.TT!$6:$6</definedName>
    <definedName name="_xlnm.Print_Titles" localSheetId="28">'T11.BB '!$6:$6</definedName>
    <definedName name="_xlnm.Print_Titles" localSheetId="4">T11.QD!$5:$5</definedName>
    <definedName name="_xlnm.Print_Titles" localSheetId="16">'T11.TT '!$6:$6</definedName>
    <definedName name="_xlnm.Print_Titles" localSheetId="27">T12.BB!$6:$6</definedName>
    <definedName name="_xlnm.Print_Titles" localSheetId="3">'T12.QD '!$5:$5</definedName>
    <definedName name="_xlnm.Print_Titles" localSheetId="15">T12.TT!$6:$6</definedName>
    <definedName name="_xlnm.Print_Titles" localSheetId="37">T2.BB!$6:$6</definedName>
    <definedName name="_xlnm.Print_Titles" localSheetId="13">'T2.QD '!$5:$5</definedName>
    <definedName name="_xlnm.Print_Titles" localSheetId="25">T2.TT!$6:$6</definedName>
    <definedName name="_xlnm.Print_Titles" localSheetId="36">T3.BB!$6:$6</definedName>
    <definedName name="_xlnm.Print_Titles" localSheetId="12">T3.QD!$5:$5</definedName>
    <definedName name="_xlnm.Print_Titles" localSheetId="24">T3.TT!$6:$6</definedName>
    <definedName name="_xlnm.Print_Titles" localSheetId="35">T4.BB!$6:$6</definedName>
    <definedName name="_xlnm.Print_Titles" localSheetId="11">T4.QD!$5:$5</definedName>
    <definedName name="_xlnm.Print_Titles" localSheetId="23">T4.TT!$6:$6</definedName>
    <definedName name="_xlnm.Print_Titles" localSheetId="34">T5.BB!$6:$6</definedName>
    <definedName name="_xlnm.Print_Titles" localSheetId="10">T5.QD!$5:$5</definedName>
    <definedName name="_xlnm.Print_Titles" localSheetId="22">T5.TT!$6:$6</definedName>
    <definedName name="_xlnm.Print_Titles" localSheetId="33">'T6.BB '!$6:$6</definedName>
    <definedName name="_xlnm.Print_Titles" localSheetId="9">'T6.QD '!$5:$5</definedName>
    <definedName name="_xlnm.Print_Titles" localSheetId="21">T6.TT!$6:$6</definedName>
    <definedName name="_xlnm.Print_Titles" localSheetId="32">'T7.BB '!$6:$6</definedName>
    <definedName name="_xlnm.Print_Titles" localSheetId="8">'T7.QD '!$5:$5</definedName>
    <definedName name="_xlnm.Print_Titles" localSheetId="20">T7.TT!$6:$6</definedName>
    <definedName name="_xlnm.Print_Titles" localSheetId="38">T8.BB!$6:$6</definedName>
    <definedName name="_xlnm.Print_Titles" localSheetId="14">T8.QD!$5:$5</definedName>
    <definedName name="_xlnm.Print_Titles" localSheetId="7">'T8.QD '!$5:$5</definedName>
    <definedName name="_xlnm.Print_Titles" localSheetId="26">T8.TT!$6:$6</definedName>
    <definedName name="_xlnm.Print_Titles" localSheetId="31">'T9.BB '!$6:$6</definedName>
    <definedName name="_xlnm.Print_Titles" localSheetId="30">'T9.BBbs KLN '!$6:$6</definedName>
    <definedName name="_xlnm.Print_Titles" localSheetId="6">T9.QD!$5:$5</definedName>
    <definedName name="_xlnm.Print_Titles" localSheetId="19">T9.TT!$6:$6</definedName>
    <definedName name="_xlnm.Print_Titles" localSheetId="18">'T9.TT bs KLN'!$6:$6</definedName>
    <definedName name="Tenmau">'List+TK'!$C$3:$C$15</definedName>
    <definedName name="TP">'List+TK'!$AB$132:$AB$149</definedName>
    <definedName name="TPBT">'List+TK'!$AB$150:$AB$166</definedName>
  </definedNames>
  <calcPr calcId="144525"/>
</workbook>
</file>

<file path=xl/calcChain.xml><?xml version="1.0" encoding="utf-8"?>
<calcChain xmlns="http://schemas.openxmlformats.org/spreadsheetml/2006/main">
  <c r="D8" i="51" l="1"/>
  <c r="E8" i="51"/>
  <c r="D9" i="51"/>
  <c r="E9" i="51"/>
  <c r="D10" i="51"/>
  <c r="E10" i="51"/>
  <c r="D11" i="51"/>
  <c r="E11" i="51"/>
  <c r="D12" i="51"/>
  <c r="E12" i="51"/>
  <c r="D13" i="51"/>
  <c r="E13" i="51"/>
  <c r="D14" i="51"/>
  <c r="E14" i="51"/>
  <c r="D15" i="51"/>
  <c r="E15" i="51"/>
  <c r="D16" i="51"/>
  <c r="E16" i="51"/>
  <c r="D17" i="51"/>
  <c r="E17" i="51"/>
  <c r="D18" i="51"/>
  <c r="E18" i="51"/>
  <c r="D19" i="51"/>
  <c r="E19" i="51"/>
  <c r="D20" i="51"/>
  <c r="E20" i="51"/>
  <c r="D21" i="51"/>
  <c r="E21" i="51"/>
  <c r="D22" i="51"/>
  <c r="E22" i="51"/>
  <c r="D23" i="51"/>
  <c r="E23" i="51"/>
  <c r="D24" i="51"/>
  <c r="E24" i="51"/>
  <c r="D25" i="51"/>
  <c r="E25" i="51"/>
  <c r="D26" i="51"/>
  <c r="E26" i="51"/>
  <c r="D27" i="51"/>
  <c r="E27" i="51"/>
  <c r="D28" i="51"/>
  <c r="E28" i="51"/>
  <c r="D29" i="51"/>
  <c r="E29" i="51"/>
  <c r="E7" i="51"/>
  <c r="B27" i="51"/>
  <c r="C27" i="51"/>
  <c r="B28" i="51"/>
  <c r="C28" i="51"/>
  <c r="B29" i="51"/>
  <c r="C29" i="51"/>
  <c r="C26" i="51"/>
  <c r="A27" i="51"/>
  <c r="A28" i="51"/>
  <c r="A29" i="51"/>
  <c r="B8" i="51"/>
  <c r="C8" i="51"/>
  <c r="B9" i="51"/>
  <c r="C9" i="51"/>
  <c r="B10" i="51"/>
  <c r="C10" i="51"/>
  <c r="B11" i="51"/>
  <c r="C11" i="51"/>
  <c r="B12" i="51"/>
  <c r="C12" i="51"/>
  <c r="B13" i="51"/>
  <c r="C13" i="51"/>
  <c r="B14" i="51"/>
  <c r="C14" i="51"/>
  <c r="B15" i="51"/>
  <c r="C15" i="51"/>
  <c r="B16" i="51"/>
  <c r="C16" i="51"/>
  <c r="B17" i="51"/>
  <c r="C17" i="51"/>
  <c r="B18" i="51"/>
  <c r="C18" i="51"/>
  <c r="B19" i="51"/>
  <c r="C19" i="51"/>
  <c r="B20" i="51"/>
  <c r="C20" i="51"/>
  <c r="B21" i="51"/>
  <c r="C21" i="51"/>
  <c r="B22" i="51"/>
  <c r="C22" i="51"/>
  <c r="B23" i="51"/>
  <c r="C23" i="51"/>
  <c r="B24" i="51"/>
  <c r="C24" i="51"/>
  <c r="B25" i="51"/>
  <c r="C25" i="51"/>
  <c r="B26" i="51"/>
  <c r="C7" i="51"/>
  <c r="D7" i="51"/>
  <c r="B7" i="51"/>
  <c r="A27" i="50" l="1"/>
  <c r="A28" i="50"/>
  <c r="B8" i="50"/>
  <c r="B9" i="50"/>
  <c r="B10" i="50"/>
  <c r="B11" i="50"/>
  <c r="B12" i="50"/>
  <c r="B13" i="50"/>
  <c r="B14" i="50"/>
  <c r="B15" i="50"/>
  <c r="B16" i="50"/>
  <c r="B17" i="50"/>
  <c r="B18" i="50"/>
  <c r="B19" i="50"/>
  <c r="B20" i="50"/>
  <c r="B21" i="50"/>
  <c r="B22" i="50"/>
  <c r="B23" i="50"/>
  <c r="B24" i="50"/>
  <c r="B25" i="50"/>
  <c r="B26" i="50"/>
  <c r="B27" i="50"/>
  <c r="B28" i="50"/>
  <c r="B29" i="50"/>
  <c r="C8" i="50"/>
  <c r="E8" i="50"/>
  <c r="F8" i="50"/>
  <c r="G8" i="50"/>
  <c r="C9" i="50"/>
  <c r="E9" i="50"/>
  <c r="F9" i="50"/>
  <c r="G9" i="50"/>
  <c r="C10" i="50"/>
  <c r="D10" i="50"/>
  <c r="E10" i="50"/>
  <c r="F10" i="50"/>
  <c r="G10" i="50"/>
  <c r="H10" i="50"/>
  <c r="I10" i="50"/>
  <c r="C11" i="50"/>
  <c r="F11" i="50"/>
  <c r="G11" i="50"/>
  <c r="C12" i="50"/>
  <c r="E12" i="50"/>
  <c r="F12" i="50"/>
  <c r="G12" i="50"/>
  <c r="C13" i="50"/>
  <c r="F13" i="50"/>
  <c r="G13" i="50"/>
  <c r="C14" i="50"/>
  <c r="E14" i="50"/>
  <c r="F14" i="50"/>
  <c r="G14" i="50"/>
  <c r="C15" i="50"/>
  <c r="D15" i="50"/>
  <c r="E15" i="50"/>
  <c r="F15" i="50"/>
  <c r="G15" i="50"/>
  <c r="H15" i="50"/>
  <c r="I15" i="50"/>
  <c r="C16" i="50"/>
  <c r="F16" i="50"/>
  <c r="G16" i="50"/>
  <c r="C17" i="50"/>
  <c r="D17" i="50"/>
  <c r="E17" i="50"/>
  <c r="F17" i="50"/>
  <c r="G17" i="50"/>
  <c r="H17" i="50"/>
  <c r="I17" i="50"/>
  <c r="C18" i="50"/>
  <c r="F18" i="50"/>
  <c r="G18" i="50"/>
  <c r="C19" i="50"/>
  <c r="D19" i="50"/>
  <c r="E19" i="50"/>
  <c r="F19" i="50"/>
  <c r="G19" i="50"/>
  <c r="H19" i="50"/>
  <c r="I19" i="50"/>
  <c r="C20" i="50"/>
  <c r="F20" i="50"/>
  <c r="G20" i="50"/>
  <c r="C21" i="50"/>
  <c r="F21" i="50"/>
  <c r="G21" i="50"/>
  <c r="C22" i="50"/>
  <c r="D22" i="50"/>
  <c r="E22" i="50"/>
  <c r="F22" i="50"/>
  <c r="G22" i="50"/>
  <c r="H22" i="50"/>
  <c r="I22" i="50"/>
  <c r="C23" i="50"/>
  <c r="E23" i="50"/>
  <c r="F23" i="50"/>
  <c r="G23" i="50"/>
  <c r="H23" i="50"/>
  <c r="I23" i="50"/>
  <c r="C24" i="50"/>
  <c r="E24" i="50"/>
  <c r="F24" i="50"/>
  <c r="G24" i="50"/>
  <c r="H24" i="50"/>
  <c r="I24" i="50"/>
  <c r="C25" i="50"/>
  <c r="D25" i="50"/>
  <c r="E25" i="50"/>
  <c r="F25" i="50"/>
  <c r="G25" i="50"/>
  <c r="H25" i="50"/>
  <c r="I25" i="50"/>
  <c r="C26" i="50"/>
  <c r="F26" i="50"/>
  <c r="G26" i="50"/>
  <c r="C27" i="50"/>
  <c r="E27" i="50"/>
  <c r="F27" i="50"/>
  <c r="G27" i="50"/>
  <c r="C28" i="50"/>
  <c r="F28" i="50"/>
  <c r="G28" i="50"/>
  <c r="C29" i="50"/>
  <c r="F29" i="50"/>
  <c r="G29" i="50"/>
  <c r="D7" i="50"/>
  <c r="E7" i="50"/>
  <c r="F7" i="50"/>
  <c r="G7" i="50"/>
  <c r="H7" i="50"/>
  <c r="I7" i="50"/>
  <c r="C7" i="50"/>
  <c r="B7" i="50"/>
  <c r="G25" i="49" l="1"/>
  <c r="G26" i="49"/>
  <c r="G27" i="49"/>
  <c r="G28" i="49"/>
  <c r="B7" i="49"/>
  <c r="C7" i="49"/>
  <c r="F7" i="49"/>
  <c r="G7" i="49"/>
  <c r="B8" i="49"/>
  <c r="C8" i="49"/>
  <c r="F8" i="49"/>
  <c r="G8" i="49"/>
  <c r="B9" i="49"/>
  <c r="C9" i="49"/>
  <c r="D9" i="49"/>
  <c r="F9" i="49"/>
  <c r="G9" i="49"/>
  <c r="I9" i="49"/>
  <c r="B10" i="49"/>
  <c r="C10" i="49"/>
  <c r="F10" i="49"/>
  <c r="G10" i="49"/>
  <c r="B11" i="49"/>
  <c r="C11" i="49"/>
  <c r="F11" i="49"/>
  <c r="G11" i="49"/>
  <c r="B12" i="49"/>
  <c r="C12" i="49"/>
  <c r="F12" i="49"/>
  <c r="G12" i="49"/>
  <c r="B13" i="49"/>
  <c r="C13" i="49"/>
  <c r="F13" i="49"/>
  <c r="G13" i="49"/>
  <c r="B14" i="49"/>
  <c r="C14" i="49"/>
  <c r="D14" i="49"/>
  <c r="F14" i="49"/>
  <c r="G14" i="49"/>
  <c r="H14" i="49"/>
  <c r="I14" i="49"/>
  <c r="B15" i="49"/>
  <c r="C15" i="49"/>
  <c r="F15" i="49"/>
  <c r="G15" i="49"/>
  <c r="B16" i="49"/>
  <c r="C16" i="49"/>
  <c r="D16" i="49"/>
  <c r="F16" i="49"/>
  <c r="G16" i="49"/>
  <c r="H16" i="49"/>
  <c r="I16" i="49"/>
  <c r="B17" i="49"/>
  <c r="C17" i="49"/>
  <c r="F17" i="49"/>
  <c r="G17" i="49"/>
  <c r="B18" i="49"/>
  <c r="C18" i="49"/>
  <c r="D18" i="49"/>
  <c r="F18" i="49"/>
  <c r="G18" i="49"/>
  <c r="I18" i="49"/>
  <c r="B19" i="49"/>
  <c r="C19" i="49"/>
  <c r="F19" i="49"/>
  <c r="G19" i="49"/>
  <c r="B20" i="49"/>
  <c r="C20" i="49"/>
  <c r="F20" i="49"/>
  <c r="G20" i="49"/>
  <c r="B21" i="49"/>
  <c r="C21" i="49"/>
  <c r="D21" i="49"/>
  <c r="F21" i="49"/>
  <c r="G21" i="49"/>
  <c r="J21" i="49"/>
  <c r="B22" i="49"/>
  <c r="C22" i="49"/>
  <c r="F22" i="49"/>
  <c r="G22" i="49"/>
  <c r="J22" i="49"/>
  <c r="B23" i="49"/>
  <c r="C23" i="49"/>
  <c r="F23" i="49"/>
  <c r="G23" i="49"/>
  <c r="J23" i="49"/>
  <c r="B24" i="49"/>
  <c r="C24" i="49"/>
  <c r="D24" i="49"/>
  <c r="F24" i="49"/>
  <c r="G24" i="49"/>
  <c r="H24" i="49"/>
  <c r="I24" i="49"/>
  <c r="B25" i="49"/>
  <c r="C25" i="49"/>
  <c r="F25" i="49"/>
  <c r="B26" i="49"/>
  <c r="C26" i="49"/>
  <c r="F26" i="49"/>
  <c r="B27" i="49"/>
  <c r="C27" i="49"/>
  <c r="F27" i="49"/>
  <c r="B28" i="49"/>
  <c r="C28" i="49"/>
  <c r="F28" i="49"/>
  <c r="C6" i="49"/>
  <c r="A26" i="49" s="1"/>
  <c r="D6" i="49"/>
  <c r="F6" i="49"/>
  <c r="G6" i="49"/>
  <c r="I6" i="49"/>
  <c r="B6" i="49"/>
  <c r="U43" i="17"/>
  <c r="H6" i="49" s="1"/>
  <c r="U44" i="17"/>
  <c r="U45" i="17"/>
  <c r="U46" i="17"/>
  <c r="H9" i="49" s="1"/>
  <c r="U47" i="17"/>
  <c r="U48" i="17"/>
  <c r="U49" i="17"/>
  <c r="U50" i="17"/>
  <c r="U51" i="17"/>
  <c r="U52" i="17"/>
  <c r="U53" i="17"/>
  <c r="U54" i="17"/>
  <c r="U55" i="17"/>
  <c r="H18" i="49" s="1"/>
  <c r="U56" i="17"/>
  <c r="U57" i="17"/>
  <c r="U61" i="17"/>
  <c r="U62" i="17"/>
  <c r="U63" i="17"/>
  <c r="U64" i="17"/>
  <c r="U65" i="17"/>
  <c r="P44" i="17"/>
  <c r="P45" i="17"/>
  <c r="P46" i="17"/>
  <c r="P47" i="17"/>
  <c r="P48" i="17"/>
  <c r="P49" i="17"/>
  <c r="P50" i="17"/>
  <c r="P51" i="17"/>
  <c r="P52" i="17"/>
  <c r="P53" i="17"/>
  <c r="P54" i="17"/>
  <c r="P55" i="17"/>
  <c r="P56" i="17"/>
  <c r="P57" i="17"/>
  <c r="P58" i="17"/>
  <c r="P59" i="17"/>
  <c r="P60" i="17"/>
  <c r="P61" i="17"/>
  <c r="P62" i="17"/>
  <c r="P63" i="17"/>
  <c r="P64" i="17"/>
  <c r="P65" i="17"/>
  <c r="P43" i="17"/>
  <c r="A27" i="49" l="1"/>
  <c r="A28" i="49"/>
  <c r="A22" i="47"/>
  <c r="A23" i="47"/>
  <c r="A24" i="47"/>
  <c r="A25" i="47"/>
  <c r="A26" i="47"/>
  <c r="A27" i="47"/>
  <c r="A28" i="47"/>
  <c r="B8" i="47"/>
  <c r="C8" i="47"/>
  <c r="E8" i="47"/>
  <c r="F8" i="47"/>
  <c r="G8" i="47"/>
  <c r="B9" i="47"/>
  <c r="C9" i="47"/>
  <c r="D9" i="47"/>
  <c r="E9" i="47"/>
  <c r="F9" i="47"/>
  <c r="G9" i="47"/>
  <c r="H9" i="47"/>
  <c r="I9" i="47"/>
  <c r="J9" i="47"/>
  <c r="B10" i="47"/>
  <c r="C10" i="47"/>
  <c r="F10" i="47"/>
  <c r="G10" i="47"/>
  <c r="J10" i="47"/>
  <c r="B11" i="47"/>
  <c r="C11" i="47"/>
  <c r="E11" i="47"/>
  <c r="F11" i="47"/>
  <c r="G11" i="47"/>
  <c r="J11" i="47"/>
  <c r="B12" i="47"/>
  <c r="C12" i="47"/>
  <c r="F12" i="47"/>
  <c r="G12" i="47"/>
  <c r="J12" i="47"/>
  <c r="B13" i="47"/>
  <c r="C13" i="47"/>
  <c r="E13" i="47"/>
  <c r="F13" i="47"/>
  <c r="G13" i="47"/>
  <c r="J13" i="47"/>
  <c r="B14" i="47"/>
  <c r="C14" i="47"/>
  <c r="F14" i="47"/>
  <c r="G14" i="47"/>
  <c r="J14" i="47"/>
  <c r="B15" i="47"/>
  <c r="C15" i="47"/>
  <c r="D15" i="47"/>
  <c r="E15" i="47"/>
  <c r="F15" i="47"/>
  <c r="G15" i="47"/>
  <c r="H15" i="47"/>
  <c r="I15" i="47"/>
  <c r="J15" i="47"/>
  <c r="B16" i="47"/>
  <c r="C16" i="47"/>
  <c r="D16" i="47"/>
  <c r="E16" i="47"/>
  <c r="F16" i="47"/>
  <c r="G16" i="47"/>
  <c r="H16" i="47"/>
  <c r="I16" i="47"/>
  <c r="B17" i="47"/>
  <c r="C17" i="47"/>
  <c r="F17" i="47"/>
  <c r="G17" i="47"/>
  <c r="B18" i="47"/>
  <c r="C18" i="47"/>
  <c r="D18" i="47"/>
  <c r="E18" i="47"/>
  <c r="F18" i="47"/>
  <c r="G18" i="47"/>
  <c r="H18" i="47"/>
  <c r="I18" i="47"/>
  <c r="J18" i="47"/>
  <c r="B19" i="47"/>
  <c r="C19" i="47"/>
  <c r="F19" i="47"/>
  <c r="G19" i="47"/>
  <c r="J19" i="47"/>
  <c r="B20" i="47"/>
  <c r="C20" i="47"/>
  <c r="F20" i="47"/>
  <c r="G20" i="47"/>
  <c r="J20" i="47"/>
  <c r="B21" i="47"/>
  <c r="C21" i="47"/>
  <c r="D21" i="47"/>
  <c r="E21" i="47"/>
  <c r="F21" i="47"/>
  <c r="G21" i="47"/>
  <c r="H21" i="47"/>
  <c r="I21" i="47"/>
  <c r="B22" i="47"/>
  <c r="C22" i="47"/>
  <c r="F22" i="47"/>
  <c r="G22" i="47"/>
  <c r="B23" i="47"/>
  <c r="C23" i="47"/>
  <c r="F23" i="47"/>
  <c r="G23" i="47"/>
  <c r="B24" i="47"/>
  <c r="C24" i="47"/>
  <c r="D24" i="47"/>
  <c r="E24" i="47"/>
  <c r="F24" i="47"/>
  <c r="G24" i="47"/>
  <c r="H24" i="47"/>
  <c r="I24" i="47"/>
  <c r="J24" i="47"/>
  <c r="B25" i="47"/>
  <c r="C25" i="47"/>
  <c r="F25" i="47"/>
  <c r="G25" i="47"/>
  <c r="J25" i="47"/>
  <c r="B26" i="47"/>
  <c r="C26" i="47"/>
  <c r="F26" i="47"/>
  <c r="G26" i="47"/>
  <c r="J26" i="47"/>
  <c r="B27" i="47"/>
  <c r="C27" i="47"/>
  <c r="F27" i="47"/>
  <c r="G27" i="47"/>
  <c r="J27" i="47"/>
  <c r="B28" i="47"/>
  <c r="C28" i="47"/>
  <c r="F28" i="47"/>
  <c r="G28" i="47"/>
  <c r="J28" i="47"/>
  <c r="C7" i="47"/>
  <c r="D7" i="47"/>
  <c r="E7" i="47"/>
  <c r="F7" i="47"/>
  <c r="G7" i="47"/>
  <c r="H7" i="47"/>
  <c r="I7" i="47"/>
  <c r="B7" i="47"/>
  <c r="E26" i="48"/>
  <c r="D8" i="48"/>
  <c r="E8" i="48"/>
  <c r="D9" i="48"/>
  <c r="E9" i="48"/>
  <c r="D10" i="48"/>
  <c r="E10" i="48"/>
  <c r="D11" i="48"/>
  <c r="E11" i="48"/>
  <c r="D12" i="48"/>
  <c r="E12" i="48"/>
  <c r="D13" i="48"/>
  <c r="E13" i="48"/>
  <c r="D14" i="48"/>
  <c r="E14" i="48"/>
  <c r="D15" i="48"/>
  <c r="E15" i="48"/>
  <c r="D16" i="48"/>
  <c r="E16" i="48"/>
  <c r="D17" i="48"/>
  <c r="E17" i="48"/>
  <c r="D18" i="48"/>
  <c r="E18" i="48"/>
  <c r="D19" i="48"/>
  <c r="E19" i="48"/>
  <c r="D20" i="48"/>
  <c r="E20" i="48"/>
  <c r="D21" i="48"/>
  <c r="E21" i="48"/>
  <c r="D22" i="48"/>
  <c r="E22" i="48"/>
  <c r="D23" i="48"/>
  <c r="E23" i="48"/>
  <c r="D24" i="48"/>
  <c r="E24" i="48"/>
  <c r="D25" i="48"/>
  <c r="E25" i="48"/>
  <c r="D26" i="48"/>
  <c r="D27" i="48"/>
  <c r="E27" i="48"/>
  <c r="D28" i="48"/>
  <c r="E28" i="48"/>
  <c r="E7" i="48"/>
  <c r="D7" i="48"/>
  <c r="A22" i="48"/>
  <c r="A23" i="48"/>
  <c r="A24" i="48"/>
  <c r="A25" i="48"/>
  <c r="A26" i="48"/>
  <c r="A27" i="48"/>
  <c r="A28" i="48"/>
  <c r="B8" i="48"/>
  <c r="C8" i="48"/>
  <c r="B9" i="48"/>
  <c r="C9" i="48"/>
  <c r="B10" i="48"/>
  <c r="C10" i="48"/>
  <c r="B11" i="48"/>
  <c r="C11" i="48"/>
  <c r="B12" i="48"/>
  <c r="C12" i="48"/>
  <c r="B13" i="48"/>
  <c r="C13" i="48"/>
  <c r="B14" i="48"/>
  <c r="C14" i="48"/>
  <c r="B15" i="48"/>
  <c r="C15" i="48"/>
  <c r="B16" i="48"/>
  <c r="C16" i="48"/>
  <c r="B17" i="48"/>
  <c r="C17" i="48"/>
  <c r="B18" i="48"/>
  <c r="C18" i="48"/>
  <c r="B19" i="48"/>
  <c r="C19" i="48"/>
  <c r="B20" i="48"/>
  <c r="C20" i="48"/>
  <c r="B21" i="48"/>
  <c r="C21" i="48"/>
  <c r="B22" i="48"/>
  <c r="C22" i="48"/>
  <c r="B23" i="48"/>
  <c r="C23" i="48"/>
  <c r="B24" i="48"/>
  <c r="C24" i="48"/>
  <c r="B25" i="48"/>
  <c r="C25" i="48"/>
  <c r="B26" i="48"/>
  <c r="C26" i="48"/>
  <c r="B27" i="48"/>
  <c r="C27" i="48"/>
  <c r="B28" i="48"/>
  <c r="C28" i="48"/>
  <c r="C7" i="48"/>
  <c r="B7" i="48"/>
  <c r="U21" i="17" l="1"/>
  <c r="H6" i="46" s="1"/>
  <c r="U22" i="17"/>
  <c r="U23" i="17"/>
  <c r="H8" i="46" s="1"/>
  <c r="U24" i="17"/>
  <c r="U25" i="17"/>
  <c r="U26" i="17"/>
  <c r="U27" i="17"/>
  <c r="U28" i="17"/>
  <c r="U29" i="17"/>
  <c r="H14" i="46" s="1"/>
  <c r="U30" i="17"/>
  <c r="H15" i="46" s="1"/>
  <c r="U31" i="17"/>
  <c r="U32" i="17"/>
  <c r="H17" i="46" s="1"/>
  <c r="U33" i="17"/>
  <c r="U34" i="17"/>
  <c r="U35" i="17"/>
  <c r="H20" i="46" s="1"/>
  <c r="U36" i="17"/>
  <c r="U37" i="17"/>
  <c r="U38" i="17"/>
  <c r="H23" i="46" s="1"/>
  <c r="U39" i="17"/>
  <c r="U40" i="17"/>
  <c r="U41" i="17"/>
  <c r="U42" i="17"/>
  <c r="P21" i="17"/>
  <c r="C6" i="46" s="1"/>
  <c r="P22" i="17"/>
  <c r="C7" i="46" s="1"/>
  <c r="P23" i="17"/>
  <c r="C8" i="46" s="1"/>
  <c r="P24" i="17"/>
  <c r="C9" i="46" s="1"/>
  <c r="P25" i="17"/>
  <c r="C10" i="46" s="1"/>
  <c r="P26" i="17"/>
  <c r="C11" i="46" s="1"/>
  <c r="P27" i="17"/>
  <c r="C12" i="46" s="1"/>
  <c r="P28" i="17"/>
  <c r="C13" i="46" s="1"/>
  <c r="P29" i="17"/>
  <c r="C14" i="46" s="1"/>
  <c r="P30" i="17"/>
  <c r="C15" i="46" s="1"/>
  <c r="P31" i="17"/>
  <c r="C16" i="46" s="1"/>
  <c r="P32" i="17"/>
  <c r="C17" i="46" s="1"/>
  <c r="P33" i="17"/>
  <c r="C18" i="46" s="1"/>
  <c r="P34" i="17"/>
  <c r="C19" i="46" s="1"/>
  <c r="P35" i="17"/>
  <c r="C20" i="46" s="1"/>
  <c r="P36" i="17"/>
  <c r="C21" i="46" s="1"/>
  <c r="P37" i="17"/>
  <c r="C22" i="46" s="1"/>
  <c r="P38" i="17"/>
  <c r="C23" i="46" s="1"/>
  <c r="P39" i="17"/>
  <c r="C24" i="46" s="1"/>
  <c r="P40" i="17"/>
  <c r="C25" i="46" s="1"/>
  <c r="P41" i="17"/>
  <c r="C26" i="46" s="1"/>
  <c r="P42" i="17"/>
  <c r="C27" i="46" s="1"/>
  <c r="L8" i="17" l="1"/>
  <c r="D8" i="45"/>
  <c r="D9" i="45"/>
  <c r="F8" i="44"/>
  <c r="F9" i="44"/>
  <c r="F7" i="43" l="1"/>
  <c r="F8" i="43"/>
  <c r="S4" i="17"/>
  <c r="F7" i="44" s="1"/>
  <c r="H11" i="43"/>
  <c r="U8" i="17"/>
  <c r="U9" i="17"/>
  <c r="H12" i="44" s="1"/>
  <c r="U10" i="17"/>
  <c r="H13" i="44" s="1"/>
  <c r="U11" i="17"/>
  <c r="U12" i="17"/>
  <c r="U13" i="17"/>
  <c r="H16" i="44" s="1"/>
  <c r="U14" i="17"/>
  <c r="U15" i="17"/>
  <c r="U16" i="17"/>
  <c r="U17" i="17"/>
  <c r="H20" i="44" s="1"/>
  <c r="U18" i="17"/>
  <c r="U19" i="17"/>
  <c r="U20" i="17"/>
  <c r="P5" i="17"/>
  <c r="P6" i="17"/>
  <c r="C8" i="43" s="1"/>
  <c r="P7" i="17"/>
  <c r="P8" i="17"/>
  <c r="C10" i="43" s="1"/>
  <c r="P9" i="17"/>
  <c r="C11" i="43" s="1"/>
  <c r="P10" i="17"/>
  <c r="C12" i="43" s="1"/>
  <c r="P11" i="17"/>
  <c r="P12" i="17"/>
  <c r="C14" i="43" s="1"/>
  <c r="P13" i="17"/>
  <c r="P14" i="17"/>
  <c r="P15" i="17"/>
  <c r="P16" i="17"/>
  <c r="C18" i="43" s="1"/>
  <c r="P17" i="17"/>
  <c r="P18" i="17"/>
  <c r="C20" i="43" s="1"/>
  <c r="P19" i="17"/>
  <c r="P20" i="17"/>
  <c r="C22" i="43" s="1"/>
  <c r="U5" i="17"/>
  <c r="U6" i="17"/>
  <c r="U7" i="17"/>
  <c r="H10" i="44" s="1"/>
  <c r="U4" i="17"/>
  <c r="H7" i="44" s="1"/>
  <c r="P4" i="17"/>
  <c r="C10" i="44" l="1"/>
  <c r="C10" i="45"/>
  <c r="C8" i="44"/>
  <c r="A8" i="44" s="1"/>
  <c r="C8" i="45"/>
  <c r="F6" i="43"/>
  <c r="H15" i="43"/>
  <c r="C9" i="43"/>
  <c r="H19" i="43"/>
  <c r="C7" i="45"/>
  <c r="C7" i="44"/>
  <c r="C22" i="45"/>
  <c r="C22" i="44"/>
  <c r="C20" i="45"/>
  <c r="C20" i="44"/>
  <c r="C18" i="45"/>
  <c r="C18" i="44"/>
  <c r="C16" i="45"/>
  <c r="C16" i="44"/>
  <c r="C14" i="45"/>
  <c r="C14" i="44"/>
  <c r="C12" i="45"/>
  <c r="C12" i="44"/>
  <c r="C23" i="44"/>
  <c r="C23" i="45"/>
  <c r="C21" i="44"/>
  <c r="C21" i="45"/>
  <c r="C19" i="44"/>
  <c r="C19" i="45"/>
  <c r="C17" i="44"/>
  <c r="C17" i="45"/>
  <c r="C15" i="44"/>
  <c r="C15" i="45"/>
  <c r="C13" i="44"/>
  <c r="C13" i="45"/>
  <c r="C9" i="45"/>
  <c r="C9" i="44"/>
  <c r="H6" i="43"/>
  <c r="C6" i="43"/>
  <c r="C16" i="43"/>
  <c r="C15" i="43"/>
  <c r="C13" i="43"/>
  <c r="A19" i="43" s="1"/>
  <c r="H12" i="43"/>
  <c r="H9" i="43"/>
  <c r="C7" i="43"/>
  <c r="C21" i="43"/>
  <c r="C19" i="43"/>
  <c r="C17" i="43"/>
  <c r="A22" i="43"/>
  <c r="A18" i="43"/>
  <c r="A21" i="43"/>
  <c r="C11" i="44"/>
  <c r="C11" i="45"/>
  <c r="R118" i="17"/>
  <c r="A20" i="43" l="1"/>
  <c r="A17" i="43"/>
  <c r="A10" i="44"/>
  <c r="A9" i="44"/>
  <c r="A9" i="45"/>
  <c r="A8" i="45"/>
  <c r="A10" i="45"/>
  <c r="A14" i="45"/>
  <c r="A16" i="45"/>
  <c r="A17" i="45"/>
  <c r="A18" i="45"/>
  <c r="A19" i="45"/>
  <c r="A15" i="45"/>
  <c r="A20" i="45"/>
  <c r="A21" i="45"/>
  <c r="A22" i="45"/>
  <c r="A11" i="45"/>
  <c r="A23" i="45"/>
  <c r="A12" i="45"/>
  <c r="A13" i="45"/>
  <c r="A20" i="44"/>
  <c r="A12" i="44"/>
  <c r="A21" i="44"/>
  <c r="A17" i="44"/>
  <c r="A13" i="44"/>
  <c r="A11" i="44"/>
  <c r="A15" i="44"/>
  <c r="A22" i="44"/>
  <c r="A23" i="44"/>
  <c r="A19" i="44"/>
  <c r="A14" i="44"/>
  <c r="A16" i="44"/>
  <c r="A18" i="44"/>
  <c r="U166" i="17"/>
  <c r="U167" i="17"/>
  <c r="H8" i="34" s="1"/>
  <c r="U168" i="17"/>
  <c r="H9" i="34" s="1"/>
  <c r="U169" i="17"/>
  <c r="U170" i="17"/>
  <c r="H11" i="34" s="1"/>
  <c r="U171" i="17"/>
  <c r="U172" i="17"/>
  <c r="U165" i="17"/>
  <c r="H6" i="34" s="1"/>
  <c r="P166" i="17"/>
  <c r="C7" i="34" s="1"/>
  <c r="P167" i="17"/>
  <c r="C8" i="34" s="1"/>
  <c r="P168" i="17"/>
  <c r="C9" i="34" s="1"/>
  <c r="P169" i="17"/>
  <c r="C10" i="34" s="1"/>
  <c r="P170" i="17"/>
  <c r="C11" i="34" s="1"/>
  <c r="P171" i="17"/>
  <c r="C12" i="34" s="1"/>
  <c r="P172" i="17"/>
  <c r="C13" i="34" s="1"/>
  <c r="P165" i="17"/>
  <c r="C6" i="34" s="1"/>
  <c r="C11" i="35" l="1"/>
  <c r="C10" i="35"/>
  <c r="C9" i="35"/>
  <c r="C11" i="38"/>
  <c r="C10" i="38"/>
  <c r="C9" i="38"/>
  <c r="C13" i="35"/>
  <c r="C8" i="35"/>
  <c r="H12" i="35"/>
  <c r="H9" i="35"/>
  <c r="C7" i="38"/>
  <c r="C14" i="35"/>
  <c r="C14" i="38"/>
  <c r="C8" i="38"/>
  <c r="H10" i="35"/>
  <c r="H7" i="35"/>
  <c r="C13" i="38"/>
  <c r="C12" i="35"/>
  <c r="C7" i="35"/>
  <c r="C12" i="38"/>
  <c r="U151" i="17"/>
  <c r="U152" i="17"/>
  <c r="U153" i="17"/>
  <c r="U154" i="17"/>
  <c r="U155" i="17"/>
  <c r="H12" i="32" s="1"/>
  <c r="U156" i="17"/>
  <c r="U157" i="17"/>
  <c r="U158" i="17"/>
  <c r="U159" i="17"/>
  <c r="H15" i="31" s="1"/>
  <c r="U160" i="17"/>
  <c r="H16" i="32" s="1"/>
  <c r="U161" i="17"/>
  <c r="U162" i="17"/>
  <c r="U163" i="17"/>
  <c r="U164" i="17"/>
  <c r="U150" i="17"/>
  <c r="H7" i="32" s="1"/>
  <c r="P151" i="17"/>
  <c r="P152" i="17"/>
  <c r="P153" i="17"/>
  <c r="C9" i="31" s="1"/>
  <c r="P154" i="17"/>
  <c r="C10" i="31" s="1"/>
  <c r="P155" i="17"/>
  <c r="P156" i="17"/>
  <c r="P157" i="17"/>
  <c r="C13" i="31" s="1"/>
  <c r="P158" i="17"/>
  <c r="P159" i="17"/>
  <c r="C15" i="31" s="1"/>
  <c r="P160" i="17"/>
  <c r="P161" i="17"/>
  <c r="P162" i="17"/>
  <c r="C18" i="31" s="1"/>
  <c r="P163" i="17"/>
  <c r="C19" i="31" s="1"/>
  <c r="P164" i="17"/>
  <c r="P150" i="17"/>
  <c r="C6" i="31" s="1"/>
  <c r="H11" i="31" l="1"/>
  <c r="C13" i="33"/>
  <c r="C13" i="32"/>
  <c r="C12" i="32"/>
  <c r="C12" i="33"/>
  <c r="C11" i="32"/>
  <c r="C11" i="33"/>
  <c r="H13" i="31"/>
  <c r="H14" i="32"/>
  <c r="C19" i="33"/>
  <c r="C19" i="32"/>
  <c r="C10" i="33"/>
  <c r="C10" i="32"/>
  <c r="C21" i="32"/>
  <c r="C21" i="33"/>
  <c r="C7" i="32"/>
  <c r="C7" i="33"/>
  <c r="C11" i="31"/>
  <c r="C9" i="32"/>
  <c r="C9" i="33"/>
  <c r="C20" i="33"/>
  <c r="C20" i="32"/>
  <c r="C8" i="33"/>
  <c r="C8" i="32"/>
  <c r="H10" i="31"/>
  <c r="H11" i="32"/>
  <c r="C20" i="31"/>
  <c r="C8" i="31"/>
  <c r="C18" i="32"/>
  <c r="C18" i="33"/>
  <c r="C17" i="31"/>
  <c r="C17" i="32"/>
  <c r="C17" i="33"/>
  <c r="H7" i="31"/>
  <c r="H8" i="32"/>
  <c r="C12" i="31"/>
  <c r="C16" i="33"/>
  <c r="C16" i="32"/>
  <c r="C15" i="33"/>
  <c r="C15" i="32"/>
  <c r="H17" i="31"/>
  <c r="H18" i="32"/>
  <c r="C14" i="31"/>
  <c r="C14" i="33"/>
  <c r="C14" i="32"/>
  <c r="H6" i="31"/>
  <c r="C16" i="31"/>
  <c r="C7" i="31"/>
  <c r="G36" i="24"/>
  <c r="F36" i="24"/>
  <c r="C36" i="24"/>
  <c r="B36" i="24"/>
  <c r="G35" i="24"/>
  <c r="F35" i="24"/>
  <c r="C35" i="24"/>
  <c r="B35" i="24"/>
  <c r="G34" i="24"/>
  <c r="F34" i="24"/>
  <c r="C34" i="24"/>
  <c r="B34" i="24"/>
  <c r="G33" i="24"/>
  <c r="F33" i="24"/>
  <c r="C33" i="24"/>
  <c r="B33" i="24"/>
  <c r="I32" i="24"/>
  <c r="H32" i="24"/>
  <c r="G32" i="24"/>
  <c r="F32" i="24"/>
  <c r="E32" i="24"/>
  <c r="D32" i="24"/>
  <c r="C32" i="24"/>
  <c r="B32" i="24"/>
  <c r="G31" i="24"/>
  <c r="F31" i="24"/>
  <c r="C31" i="24"/>
  <c r="B31" i="24"/>
  <c r="I30" i="24"/>
  <c r="H30" i="24"/>
  <c r="G30" i="24"/>
  <c r="F30" i="24"/>
  <c r="E30" i="24"/>
  <c r="D30" i="24"/>
  <c r="C30" i="24"/>
  <c r="B30" i="24"/>
  <c r="G29" i="24"/>
  <c r="F29" i="24"/>
  <c r="C29" i="24"/>
  <c r="B29" i="24"/>
  <c r="G28" i="24"/>
  <c r="F28" i="24"/>
  <c r="C28" i="24"/>
  <c r="B28" i="24"/>
  <c r="G27" i="24"/>
  <c r="F27" i="24"/>
  <c r="C27" i="24"/>
  <c r="B27" i="24"/>
  <c r="I26" i="24"/>
  <c r="H26" i="24"/>
  <c r="G26" i="24"/>
  <c r="F26" i="24"/>
  <c r="E26" i="24"/>
  <c r="D26" i="24"/>
  <c r="C26" i="24"/>
  <c r="B26" i="24"/>
  <c r="G25" i="24"/>
  <c r="F25" i="24"/>
  <c r="C25" i="24"/>
  <c r="B25" i="24"/>
  <c r="I24" i="24"/>
  <c r="H24" i="24"/>
  <c r="G24" i="24"/>
  <c r="F24" i="24"/>
  <c r="E24" i="24"/>
  <c r="D24" i="24"/>
  <c r="C24" i="24"/>
  <c r="B24" i="24"/>
  <c r="G23" i="24"/>
  <c r="F23" i="24"/>
  <c r="C23" i="24"/>
  <c r="B23" i="24"/>
  <c r="G22" i="24"/>
  <c r="F22" i="24"/>
  <c r="E22" i="24"/>
  <c r="C22" i="24"/>
  <c r="B22" i="24"/>
  <c r="G21" i="24"/>
  <c r="F21" i="24"/>
  <c r="C21" i="24"/>
  <c r="B21" i="24"/>
  <c r="I20" i="24"/>
  <c r="H20" i="24"/>
  <c r="G20" i="24"/>
  <c r="F20" i="24"/>
  <c r="E20" i="24"/>
  <c r="D20" i="24"/>
  <c r="C20" i="24"/>
  <c r="B20" i="24"/>
  <c r="G19" i="24"/>
  <c r="F19" i="24"/>
  <c r="E19" i="24"/>
  <c r="C19" i="24"/>
  <c r="B19" i="24"/>
  <c r="G18" i="24"/>
  <c r="F18" i="24"/>
  <c r="E18" i="24"/>
  <c r="C18" i="24"/>
  <c r="B18" i="24"/>
  <c r="G17" i="24"/>
  <c r="F17" i="24"/>
  <c r="E17" i="24"/>
  <c r="C17" i="24"/>
  <c r="B17" i="24"/>
  <c r="G16" i="24"/>
  <c r="F16" i="24"/>
  <c r="E16" i="24"/>
  <c r="C16" i="24"/>
  <c r="B16" i="24"/>
  <c r="G15" i="24"/>
  <c r="F15" i="24"/>
  <c r="E15" i="24"/>
  <c r="C15" i="24"/>
  <c r="B15" i="24"/>
  <c r="G14" i="24"/>
  <c r="F14" i="24"/>
  <c r="E14" i="24"/>
  <c r="C14" i="24"/>
  <c r="B14" i="24"/>
  <c r="G13" i="24"/>
  <c r="F13" i="24"/>
  <c r="E13" i="24"/>
  <c r="C13" i="24"/>
  <c r="B13" i="24"/>
  <c r="G12" i="24"/>
  <c r="F12" i="24"/>
  <c r="C12" i="24"/>
  <c r="B12" i="24"/>
  <c r="G11" i="24"/>
  <c r="F11" i="24"/>
  <c r="C11" i="24"/>
  <c r="B11" i="24"/>
  <c r="G10" i="24"/>
  <c r="F10" i="24"/>
  <c r="C10" i="24"/>
  <c r="B10" i="24"/>
  <c r="I9" i="24"/>
  <c r="H9" i="24"/>
  <c r="G9" i="24"/>
  <c r="F9" i="24"/>
  <c r="E9" i="24"/>
  <c r="D9" i="24"/>
  <c r="C9" i="24"/>
  <c r="B9" i="24"/>
  <c r="G8" i="24"/>
  <c r="F8" i="24"/>
  <c r="C8" i="24"/>
  <c r="B8" i="24"/>
  <c r="G7" i="24"/>
  <c r="F7" i="24"/>
  <c r="C7" i="24"/>
  <c r="B7" i="24"/>
  <c r="I6" i="24"/>
  <c r="H6" i="24"/>
  <c r="G6" i="24"/>
  <c r="F6" i="24"/>
  <c r="E6" i="24"/>
  <c r="D6" i="24"/>
  <c r="C6" i="24"/>
  <c r="A35" i="24" s="1"/>
  <c r="B6" i="24"/>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W343" i="17"/>
  <c r="V343" i="17"/>
  <c r="U343" i="17"/>
  <c r="T343" i="17"/>
  <c r="S343" i="17"/>
  <c r="R343" i="17"/>
  <c r="P343" i="17"/>
  <c r="O343" i="17"/>
  <c r="L343" i="17"/>
  <c r="M343" i="17" s="1"/>
  <c r="Q343" i="17" s="1"/>
  <c r="A343" i="17"/>
  <c r="W342" i="17"/>
  <c r="V342" i="17"/>
  <c r="U342" i="17"/>
  <c r="T342" i="17"/>
  <c r="S342" i="17"/>
  <c r="R342" i="17"/>
  <c r="P342" i="17"/>
  <c r="O342" i="17"/>
  <c r="L342" i="17"/>
  <c r="M342" i="17" s="1"/>
  <c r="Q342" i="17" s="1"/>
  <c r="A342" i="17"/>
  <c r="W341" i="17"/>
  <c r="V341" i="17"/>
  <c r="U341" i="17"/>
  <c r="T341" i="17"/>
  <c r="S341" i="17"/>
  <c r="R341" i="17"/>
  <c r="P341" i="17"/>
  <c r="O341" i="17"/>
  <c r="L341" i="17"/>
  <c r="M341" i="17" s="1"/>
  <c r="Q341" i="17" s="1"/>
  <c r="A341" i="17"/>
  <c r="W340" i="17"/>
  <c r="V340" i="17"/>
  <c r="U340" i="17"/>
  <c r="T340" i="17"/>
  <c r="S340" i="17"/>
  <c r="R340" i="17"/>
  <c r="P340" i="17"/>
  <c r="O340" i="17"/>
  <c r="L340" i="17"/>
  <c r="M340" i="17" s="1"/>
  <c r="Q340" i="17" s="1"/>
  <c r="A340" i="17"/>
  <c r="W339" i="17"/>
  <c r="V339" i="17"/>
  <c r="U339" i="17"/>
  <c r="T339" i="17"/>
  <c r="S339" i="17"/>
  <c r="R339" i="17"/>
  <c r="P339" i="17"/>
  <c r="O339" i="17"/>
  <c r="L339" i="17"/>
  <c r="M339" i="17" s="1"/>
  <c r="Q339" i="17" s="1"/>
  <c r="A339" i="17"/>
  <c r="W338" i="17"/>
  <c r="V338" i="17"/>
  <c r="U338" i="17"/>
  <c r="T338" i="17"/>
  <c r="S338" i="17"/>
  <c r="R338" i="17"/>
  <c r="P338" i="17"/>
  <c r="O338" i="17"/>
  <c r="L338" i="17"/>
  <c r="M338" i="17" s="1"/>
  <c r="Q338" i="17" s="1"/>
  <c r="A338" i="17"/>
  <c r="W337" i="17"/>
  <c r="V337" i="17"/>
  <c r="U337" i="17"/>
  <c r="T337" i="17"/>
  <c r="S337" i="17"/>
  <c r="R337" i="17"/>
  <c r="P337" i="17"/>
  <c r="O337" i="17"/>
  <c r="L337" i="17"/>
  <c r="M337" i="17" s="1"/>
  <c r="Q337" i="17" s="1"/>
  <c r="A337" i="17"/>
  <c r="W336" i="17"/>
  <c r="V336" i="17"/>
  <c r="U336" i="17"/>
  <c r="T336" i="17"/>
  <c r="S336" i="17"/>
  <c r="R336" i="17"/>
  <c r="P336" i="17"/>
  <c r="O336" i="17"/>
  <c r="L336" i="17"/>
  <c r="M336" i="17" s="1"/>
  <c r="Q336" i="17" s="1"/>
  <c r="A336" i="17"/>
  <c r="W335" i="17"/>
  <c r="V335" i="17"/>
  <c r="U335" i="17"/>
  <c r="T335" i="17"/>
  <c r="S335" i="17"/>
  <c r="R335" i="17"/>
  <c r="P335" i="17"/>
  <c r="O335" i="17"/>
  <c r="L335" i="17"/>
  <c r="M335" i="17" s="1"/>
  <c r="Q335" i="17" s="1"/>
  <c r="A335" i="17"/>
  <c r="W334" i="17"/>
  <c r="V334" i="17"/>
  <c r="U334" i="17"/>
  <c r="T334" i="17"/>
  <c r="S334" i="17"/>
  <c r="R334" i="17"/>
  <c r="P334" i="17"/>
  <c r="O334" i="17"/>
  <c r="L334" i="17"/>
  <c r="M334" i="17" s="1"/>
  <c r="Q334" i="17" s="1"/>
  <c r="A334" i="17"/>
  <c r="W333" i="17"/>
  <c r="V333" i="17"/>
  <c r="U333" i="17"/>
  <c r="T333" i="17"/>
  <c r="S333" i="17"/>
  <c r="R333" i="17"/>
  <c r="P333" i="17"/>
  <c r="O333" i="17"/>
  <c r="L333" i="17"/>
  <c r="M333" i="17" s="1"/>
  <c r="Q333" i="17" s="1"/>
  <c r="A333" i="17"/>
  <c r="W332" i="17"/>
  <c r="V332" i="17"/>
  <c r="U332" i="17"/>
  <c r="T332" i="17"/>
  <c r="S332" i="17"/>
  <c r="R332" i="17"/>
  <c r="P332" i="17"/>
  <c r="O332" i="17"/>
  <c r="L332" i="17"/>
  <c r="M332" i="17" s="1"/>
  <c r="Q332" i="17" s="1"/>
  <c r="A332" i="17"/>
  <c r="W331" i="17"/>
  <c r="V331" i="17"/>
  <c r="U331" i="17"/>
  <c r="T331" i="17"/>
  <c r="S331" i="17"/>
  <c r="R331" i="17"/>
  <c r="P331" i="17"/>
  <c r="O331" i="17"/>
  <c r="L331" i="17"/>
  <c r="M331" i="17" s="1"/>
  <c r="Q331" i="17" s="1"/>
  <c r="A331" i="17"/>
  <c r="W330" i="17"/>
  <c r="V330" i="17"/>
  <c r="U330" i="17"/>
  <c r="T330" i="17"/>
  <c r="S330" i="17"/>
  <c r="R330" i="17"/>
  <c r="P330" i="17"/>
  <c r="O330" i="17"/>
  <c r="L330" i="17"/>
  <c r="M330" i="17" s="1"/>
  <c r="Q330" i="17" s="1"/>
  <c r="A330" i="17"/>
  <c r="W329" i="17"/>
  <c r="V329" i="17"/>
  <c r="U329" i="17"/>
  <c r="T329" i="17"/>
  <c r="S329" i="17"/>
  <c r="R329" i="17"/>
  <c r="P329" i="17"/>
  <c r="O329" i="17"/>
  <c r="L329" i="17"/>
  <c r="M329" i="17" s="1"/>
  <c r="Q329" i="17" s="1"/>
  <c r="A329" i="17"/>
  <c r="W328" i="17"/>
  <c r="V328" i="17"/>
  <c r="U328" i="17"/>
  <c r="T328" i="17"/>
  <c r="S328" i="17"/>
  <c r="R328" i="17"/>
  <c r="P328" i="17"/>
  <c r="O328" i="17"/>
  <c r="L328" i="17"/>
  <c r="M328" i="17" s="1"/>
  <c r="Q328" i="17" s="1"/>
  <c r="A328" i="17"/>
  <c r="W327" i="17"/>
  <c r="V327" i="17"/>
  <c r="U327" i="17"/>
  <c r="T327" i="17"/>
  <c r="S327" i="17"/>
  <c r="R327" i="17"/>
  <c r="P327" i="17"/>
  <c r="O327" i="17"/>
  <c r="L327" i="17"/>
  <c r="M327" i="17" s="1"/>
  <c r="Q327" i="17" s="1"/>
  <c r="A327" i="17"/>
  <c r="W326" i="17"/>
  <c r="V326" i="17"/>
  <c r="U326" i="17"/>
  <c r="T326" i="17"/>
  <c r="S326" i="17"/>
  <c r="R326" i="17"/>
  <c r="P326" i="17"/>
  <c r="O326" i="17"/>
  <c r="L326" i="17"/>
  <c r="M326" i="17" s="1"/>
  <c r="Q326" i="17" s="1"/>
  <c r="A326" i="17"/>
  <c r="W325" i="17"/>
  <c r="V325" i="17"/>
  <c r="U325" i="17"/>
  <c r="T325" i="17"/>
  <c r="S325" i="17"/>
  <c r="R325" i="17"/>
  <c r="P325" i="17"/>
  <c r="O325" i="17"/>
  <c r="L325" i="17"/>
  <c r="M325" i="17" s="1"/>
  <c r="Q325" i="17" s="1"/>
  <c r="A325" i="17"/>
  <c r="W324" i="17"/>
  <c r="V324" i="17"/>
  <c r="U324" i="17"/>
  <c r="T324" i="17"/>
  <c r="S324" i="17"/>
  <c r="R324" i="17"/>
  <c r="P324" i="17"/>
  <c r="O324" i="17"/>
  <c r="L324" i="17"/>
  <c r="M324" i="17" s="1"/>
  <c r="Q324" i="17" s="1"/>
  <c r="A324" i="17"/>
  <c r="W323" i="17"/>
  <c r="V323" i="17"/>
  <c r="U323" i="17"/>
  <c r="T323" i="17"/>
  <c r="S323" i="17"/>
  <c r="R323" i="17"/>
  <c r="P323" i="17"/>
  <c r="O323" i="17"/>
  <c r="L323" i="17"/>
  <c r="M323" i="17" s="1"/>
  <c r="Q323" i="17" s="1"/>
  <c r="A323" i="17"/>
  <c r="W322" i="17"/>
  <c r="V322" i="17"/>
  <c r="U322" i="17"/>
  <c r="T322" i="17"/>
  <c r="S322" i="17"/>
  <c r="R322" i="17"/>
  <c r="P322" i="17"/>
  <c r="O322" i="17"/>
  <c r="L322" i="17"/>
  <c r="M322" i="17" s="1"/>
  <c r="Q322" i="17" s="1"/>
  <c r="A322" i="17"/>
  <c r="W321" i="17"/>
  <c r="V321" i="17"/>
  <c r="U321" i="17"/>
  <c r="T321" i="17"/>
  <c r="S321" i="17"/>
  <c r="R321" i="17"/>
  <c r="P321" i="17"/>
  <c r="O321" i="17"/>
  <c r="L321" i="17"/>
  <c r="M321" i="17" s="1"/>
  <c r="Q321" i="17" s="1"/>
  <c r="A321" i="17"/>
  <c r="W320" i="17"/>
  <c r="V320" i="17"/>
  <c r="U320" i="17"/>
  <c r="T320" i="17"/>
  <c r="S320" i="17"/>
  <c r="R320" i="17"/>
  <c r="P320" i="17"/>
  <c r="O320" i="17"/>
  <c r="L320" i="17"/>
  <c r="M320" i="17" s="1"/>
  <c r="Q320" i="17" s="1"/>
  <c r="A320" i="17"/>
  <c r="W319" i="17"/>
  <c r="V319" i="17"/>
  <c r="U319" i="17"/>
  <c r="T319" i="17"/>
  <c r="S319" i="17"/>
  <c r="R319" i="17"/>
  <c r="P319" i="17"/>
  <c r="O319" i="17"/>
  <c r="L319" i="17"/>
  <c r="M319" i="17" s="1"/>
  <c r="Q319" i="17" s="1"/>
  <c r="A319" i="17"/>
  <c r="W318" i="17"/>
  <c r="V318" i="17"/>
  <c r="U318" i="17"/>
  <c r="T318" i="17"/>
  <c r="S318" i="17"/>
  <c r="R318" i="17"/>
  <c r="P318" i="17"/>
  <c r="O318" i="17"/>
  <c r="L318" i="17"/>
  <c r="M318" i="17" s="1"/>
  <c r="Q318" i="17" s="1"/>
  <c r="A318" i="17"/>
  <c r="W317" i="17"/>
  <c r="V317" i="17"/>
  <c r="U317" i="17"/>
  <c r="T317" i="17"/>
  <c r="S317" i="17"/>
  <c r="R317" i="17"/>
  <c r="P317" i="17"/>
  <c r="O317" i="17"/>
  <c r="L317" i="17"/>
  <c r="M317" i="17" s="1"/>
  <c r="Q317" i="17" s="1"/>
  <c r="A317" i="17"/>
  <c r="W316" i="17"/>
  <c r="V316" i="17"/>
  <c r="U316" i="17"/>
  <c r="T316" i="17"/>
  <c r="S316" i="17"/>
  <c r="R316" i="17"/>
  <c r="P316" i="17"/>
  <c r="O316" i="17"/>
  <c r="L316" i="17"/>
  <c r="M316" i="17" s="1"/>
  <c r="Q316" i="17" s="1"/>
  <c r="A316" i="17"/>
  <c r="W315" i="17"/>
  <c r="V315" i="17"/>
  <c r="U315" i="17"/>
  <c r="T315" i="17"/>
  <c r="S315" i="17"/>
  <c r="R315" i="17"/>
  <c r="P315" i="17"/>
  <c r="O315" i="17"/>
  <c r="L315" i="17"/>
  <c r="M315" i="17" s="1"/>
  <c r="Q315" i="17" s="1"/>
  <c r="A315" i="17"/>
  <c r="W314" i="17"/>
  <c r="V314" i="17"/>
  <c r="U314" i="17"/>
  <c r="T314" i="17"/>
  <c r="S314" i="17"/>
  <c r="R314" i="17"/>
  <c r="P314" i="17"/>
  <c r="O314" i="17"/>
  <c r="L314" i="17"/>
  <c r="M314" i="17" s="1"/>
  <c r="Q314" i="17" s="1"/>
  <c r="A314" i="17"/>
  <c r="W313" i="17"/>
  <c r="V313" i="17"/>
  <c r="U313" i="17"/>
  <c r="T313" i="17"/>
  <c r="S313" i="17"/>
  <c r="R313" i="17"/>
  <c r="P313" i="17"/>
  <c r="O313" i="17"/>
  <c r="L313" i="17"/>
  <c r="M313" i="17" s="1"/>
  <c r="Q313" i="17" s="1"/>
  <c r="A313" i="17"/>
  <c r="W312" i="17"/>
  <c r="V312" i="17"/>
  <c r="U312" i="17"/>
  <c r="T312" i="17"/>
  <c r="S312" i="17"/>
  <c r="R312" i="17"/>
  <c r="P312" i="17"/>
  <c r="O312" i="17"/>
  <c r="L312" i="17"/>
  <c r="M312" i="17" s="1"/>
  <c r="Q312" i="17" s="1"/>
  <c r="A312" i="17"/>
  <c r="W311" i="17"/>
  <c r="V311" i="17"/>
  <c r="U311" i="17"/>
  <c r="T311" i="17"/>
  <c r="S311" i="17"/>
  <c r="R311" i="17"/>
  <c r="P311" i="17"/>
  <c r="O311" i="17"/>
  <c r="L311" i="17"/>
  <c r="M311" i="17" s="1"/>
  <c r="Q311" i="17" s="1"/>
  <c r="A311" i="17"/>
  <c r="W310" i="17"/>
  <c r="V310" i="17"/>
  <c r="U310" i="17"/>
  <c r="T310" i="17"/>
  <c r="S310" i="17"/>
  <c r="R310" i="17"/>
  <c r="P310" i="17"/>
  <c r="O310" i="17"/>
  <c r="L310" i="17"/>
  <c r="M310" i="17" s="1"/>
  <c r="Q310" i="17" s="1"/>
  <c r="A310" i="17"/>
  <c r="W309" i="17"/>
  <c r="V309" i="17"/>
  <c r="U309" i="17"/>
  <c r="T309" i="17"/>
  <c r="S309" i="17"/>
  <c r="R309" i="17"/>
  <c r="P309" i="17"/>
  <c r="O309" i="17"/>
  <c r="L309" i="17"/>
  <c r="M309" i="17" s="1"/>
  <c r="Q309" i="17" s="1"/>
  <c r="A309" i="17"/>
  <c r="W308" i="17"/>
  <c r="V308" i="17"/>
  <c r="U308" i="17"/>
  <c r="T308" i="17"/>
  <c r="S308" i="17"/>
  <c r="R308" i="17"/>
  <c r="P308" i="17"/>
  <c r="O308" i="17"/>
  <c r="L308" i="17"/>
  <c r="M308" i="17" s="1"/>
  <c r="Q308" i="17" s="1"/>
  <c r="A308" i="17"/>
  <c r="W307" i="17"/>
  <c r="V307" i="17"/>
  <c r="U307" i="17"/>
  <c r="T307" i="17"/>
  <c r="S307" i="17"/>
  <c r="R307" i="17"/>
  <c r="P307" i="17"/>
  <c r="O307" i="17"/>
  <c r="L307" i="17"/>
  <c r="M307" i="17" s="1"/>
  <c r="Q307" i="17" s="1"/>
  <c r="A307" i="17"/>
  <c r="W306" i="17"/>
  <c r="V306" i="17"/>
  <c r="U306" i="17"/>
  <c r="T306" i="17"/>
  <c r="S306" i="17"/>
  <c r="R306" i="17"/>
  <c r="P306" i="17"/>
  <c r="O306" i="17"/>
  <c r="L306" i="17"/>
  <c r="M306" i="17" s="1"/>
  <c r="Q306" i="17" s="1"/>
  <c r="A306" i="17"/>
  <c r="W305" i="17"/>
  <c r="V305" i="17"/>
  <c r="U305" i="17"/>
  <c r="T305" i="17"/>
  <c r="S305" i="17"/>
  <c r="R305" i="17"/>
  <c r="P305" i="17"/>
  <c r="O305" i="17"/>
  <c r="L305" i="17"/>
  <c r="M305" i="17" s="1"/>
  <c r="Q305" i="17" s="1"/>
  <c r="A305" i="17"/>
  <c r="W304" i="17"/>
  <c r="V304" i="17"/>
  <c r="U304" i="17"/>
  <c r="T304" i="17"/>
  <c r="S304" i="17"/>
  <c r="R304" i="17"/>
  <c r="P304" i="17"/>
  <c r="O304" i="17"/>
  <c r="L304" i="17"/>
  <c r="M304" i="17" s="1"/>
  <c r="Q304" i="17" s="1"/>
  <c r="A304" i="17"/>
  <c r="W303" i="17"/>
  <c r="V303" i="17"/>
  <c r="U303" i="17"/>
  <c r="T303" i="17"/>
  <c r="S303" i="17"/>
  <c r="R303" i="17"/>
  <c r="P303" i="17"/>
  <c r="O303" i="17"/>
  <c r="L303" i="17"/>
  <c r="M303" i="17" s="1"/>
  <c r="Q303" i="17" s="1"/>
  <c r="A303" i="17"/>
  <c r="W302" i="17"/>
  <c r="V302" i="17"/>
  <c r="U302" i="17"/>
  <c r="T302" i="17"/>
  <c r="S302" i="17"/>
  <c r="R302" i="17"/>
  <c r="P302" i="17"/>
  <c r="O302" i="17"/>
  <c r="L302" i="17"/>
  <c r="M302" i="17" s="1"/>
  <c r="Q302" i="17" s="1"/>
  <c r="A302" i="17"/>
  <c r="W301" i="17"/>
  <c r="V301" i="17"/>
  <c r="U301" i="17"/>
  <c r="T301" i="17"/>
  <c r="S301" i="17"/>
  <c r="R301" i="17"/>
  <c r="P301" i="17"/>
  <c r="O301" i="17"/>
  <c r="L301" i="17"/>
  <c r="M301" i="17" s="1"/>
  <c r="Q301" i="17" s="1"/>
  <c r="A301" i="17"/>
  <c r="W300" i="17"/>
  <c r="V300" i="17"/>
  <c r="U300" i="17"/>
  <c r="T300" i="17"/>
  <c r="S300" i="17"/>
  <c r="R300" i="17"/>
  <c r="P300" i="17"/>
  <c r="O300" i="17"/>
  <c r="L300" i="17"/>
  <c r="M300" i="17" s="1"/>
  <c r="Q300" i="17" s="1"/>
  <c r="A300" i="17"/>
  <c r="W299" i="17"/>
  <c r="V299" i="17"/>
  <c r="U299" i="17"/>
  <c r="T299" i="17"/>
  <c r="S299" i="17"/>
  <c r="R299" i="17"/>
  <c r="P299" i="17"/>
  <c r="O299" i="17"/>
  <c r="L299" i="17"/>
  <c r="M299" i="17" s="1"/>
  <c r="Q299" i="17" s="1"/>
  <c r="A299" i="17"/>
  <c r="W298" i="17"/>
  <c r="V298" i="17"/>
  <c r="U298" i="17"/>
  <c r="T298" i="17"/>
  <c r="S298" i="17"/>
  <c r="R298" i="17"/>
  <c r="P298" i="17"/>
  <c r="O298" i="17"/>
  <c r="L298" i="17"/>
  <c r="M298" i="17" s="1"/>
  <c r="Q298" i="17" s="1"/>
  <c r="A298" i="17"/>
  <c r="W297" i="17"/>
  <c r="V297" i="17"/>
  <c r="U297" i="17"/>
  <c r="T297" i="17"/>
  <c r="S297" i="17"/>
  <c r="R297" i="17"/>
  <c r="P297" i="17"/>
  <c r="O297" i="17"/>
  <c r="L297" i="17"/>
  <c r="M297" i="17" s="1"/>
  <c r="Q297" i="17" s="1"/>
  <c r="A297" i="17"/>
  <c r="W296" i="17"/>
  <c r="V296" i="17"/>
  <c r="U296" i="17"/>
  <c r="T296" i="17"/>
  <c r="S296" i="17"/>
  <c r="R296" i="17"/>
  <c r="P296" i="17"/>
  <c r="O296" i="17"/>
  <c r="L296" i="17"/>
  <c r="M296" i="17" s="1"/>
  <c r="Q296" i="17" s="1"/>
  <c r="A296" i="17"/>
  <c r="W295" i="17"/>
  <c r="V295" i="17"/>
  <c r="U295" i="17"/>
  <c r="T295" i="17"/>
  <c r="S295" i="17"/>
  <c r="R295" i="17"/>
  <c r="P295" i="17"/>
  <c r="O295" i="17"/>
  <c r="L295" i="17"/>
  <c r="M295" i="17" s="1"/>
  <c r="Q295" i="17" s="1"/>
  <c r="A295" i="17"/>
  <c r="W294" i="17"/>
  <c r="V294" i="17"/>
  <c r="U294" i="17"/>
  <c r="T294" i="17"/>
  <c r="S294" i="17"/>
  <c r="R294" i="17"/>
  <c r="P294" i="17"/>
  <c r="O294" i="17"/>
  <c r="L294" i="17"/>
  <c r="M294" i="17" s="1"/>
  <c r="Q294" i="17" s="1"/>
  <c r="A294" i="17"/>
  <c r="W293" i="17"/>
  <c r="V293" i="17"/>
  <c r="U293" i="17"/>
  <c r="T293" i="17"/>
  <c r="S293" i="17"/>
  <c r="R293" i="17"/>
  <c r="P293" i="17"/>
  <c r="O293" i="17"/>
  <c r="L293" i="17"/>
  <c r="M293" i="17" s="1"/>
  <c r="Q293" i="17" s="1"/>
  <c r="A293" i="17"/>
  <c r="W292" i="17"/>
  <c r="V292" i="17"/>
  <c r="U292" i="17"/>
  <c r="T292" i="17"/>
  <c r="S292" i="17"/>
  <c r="R292" i="17"/>
  <c r="P292" i="17"/>
  <c r="O292" i="17"/>
  <c r="L292" i="17"/>
  <c r="M292" i="17" s="1"/>
  <c r="Q292" i="17" s="1"/>
  <c r="A292" i="17"/>
  <c r="W291" i="17"/>
  <c r="V291" i="17"/>
  <c r="U291" i="17"/>
  <c r="T291" i="17"/>
  <c r="S291" i="17"/>
  <c r="R291" i="17"/>
  <c r="P291" i="17"/>
  <c r="O291" i="17"/>
  <c r="L291" i="17"/>
  <c r="M291" i="17" s="1"/>
  <c r="Q291" i="17" s="1"/>
  <c r="A291" i="17"/>
  <c r="W290" i="17"/>
  <c r="V290" i="17"/>
  <c r="U290" i="17"/>
  <c r="T290" i="17"/>
  <c r="S290" i="17"/>
  <c r="R290" i="17"/>
  <c r="P290" i="17"/>
  <c r="O290" i="17"/>
  <c r="L290" i="17"/>
  <c r="M290" i="17" s="1"/>
  <c r="Q290" i="17" s="1"/>
  <c r="A290" i="17"/>
  <c r="W289" i="17"/>
  <c r="V289" i="17"/>
  <c r="U289" i="17"/>
  <c r="T289" i="17"/>
  <c r="S289" i="17"/>
  <c r="R289" i="17"/>
  <c r="P289" i="17"/>
  <c r="O289" i="17"/>
  <c r="L289" i="17"/>
  <c r="M289" i="17" s="1"/>
  <c r="Q289" i="17" s="1"/>
  <c r="A289" i="17"/>
  <c r="W288" i="17"/>
  <c r="V288" i="17"/>
  <c r="U288" i="17"/>
  <c r="T288" i="17"/>
  <c r="S288" i="17"/>
  <c r="R288" i="17"/>
  <c r="P288" i="17"/>
  <c r="O288" i="17"/>
  <c r="L288" i="17"/>
  <c r="M288" i="17" s="1"/>
  <c r="Q288" i="17" s="1"/>
  <c r="A288" i="17"/>
  <c r="W287" i="17"/>
  <c r="V287" i="17"/>
  <c r="U287" i="17"/>
  <c r="T287" i="17"/>
  <c r="S287" i="17"/>
  <c r="R287" i="17"/>
  <c r="P287" i="17"/>
  <c r="O287" i="17"/>
  <c r="L287" i="17"/>
  <c r="M287" i="17" s="1"/>
  <c r="Q287" i="17" s="1"/>
  <c r="A287" i="17"/>
  <c r="W286" i="17"/>
  <c r="V286" i="17"/>
  <c r="U286" i="17"/>
  <c r="T286" i="17"/>
  <c r="S286" i="17"/>
  <c r="R286" i="17"/>
  <c r="P286" i="17"/>
  <c r="O286" i="17"/>
  <c r="L286" i="17"/>
  <c r="M286" i="17" s="1"/>
  <c r="Q286" i="17" s="1"/>
  <c r="A286" i="17"/>
  <c r="W285" i="17"/>
  <c r="V285" i="17"/>
  <c r="U285" i="17"/>
  <c r="T285" i="17"/>
  <c r="S285" i="17"/>
  <c r="R285" i="17"/>
  <c r="P285" i="17"/>
  <c r="O285" i="17"/>
  <c r="L285" i="17"/>
  <c r="M285" i="17" s="1"/>
  <c r="Q285" i="17" s="1"/>
  <c r="A285" i="17"/>
  <c r="W284" i="17"/>
  <c r="V284" i="17"/>
  <c r="U284" i="17"/>
  <c r="T284" i="17"/>
  <c r="S284" i="17"/>
  <c r="R284" i="17"/>
  <c r="P284" i="17"/>
  <c r="O284" i="17"/>
  <c r="L284" i="17"/>
  <c r="M284" i="17" s="1"/>
  <c r="Q284" i="17" s="1"/>
  <c r="A284" i="17"/>
  <c r="W283" i="17"/>
  <c r="V283" i="17"/>
  <c r="U283" i="17"/>
  <c r="T283" i="17"/>
  <c r="S283" i="17"/>
  <c r="R283" i="17"/>
  <c r="P283" i="17"/>
  <c r="O283" i="17"/>
  <c r="L283" i="17"/>
  <c r="M283" i="17" s="1"/>
  <c r="Q283" i="17" s="1"/>
  <c r="A283" i="17"/>
  <c r="W282" i="17"/>
  <c r="V282" i="17"/>
  <c r="U282" i="17"/>
  <c r="T282" i="17"/>
  <c r="S282" i="17"/>
  <c r="R282" i="17"/>
  <c r="P282" i="17"/>
  <c r="O282" i="17"/>
  <c r="L282" i="17"/>
  <c r="M282" i="17" s="1"/>
  <c r="Q282" i="17" s="1"/>
  <c r="A282" i="17"/>
  <c r="W281" i="17"/>
  <c r="V281" i="17"/>
  <c r="U281" i="17"/>
  <c r="T281" i="17"/>
  <c r="S281" i="17"/>
  <c r="R281" i="17"/>
  <c r="P281" i="17"/>
  <c r="O281" i="17"/>
  <c r="L281" i="17"/>
  <c r="M281" i="17" s="1"/>
  <c r="Q281" i="17" s="1"/>
  <c r="A281" i="17"/>
  <c r="W280" i="17"/>
  <c r="V280" i="17"/>
  <c r="U280" i="17"/>
  <c r="T280" i="17"/>
  <c r="S280" i="17"/>
  <c r="R280" i="17"/>
  <c r="P280" i="17"/>
  <c r="O280" i="17"/>
  <c r="L280" i="17"/>
  <c r="M280" i="17" s="1"/>
  <c r="Q280" i="17" s="1"/>
  <c r="A280" i="17"/>
  <c r="W279" i="17"/>
  <c r="V279" i="17"/>
  <c r="U279" i="17"/>
  <c r="T279" i="17"/>
  <c r="S279" i="17"/>
  <c r="R279" i="17"/>
  <c r="P279" i="17"/>
  <c r="O279" i="17"/>
  <c r="L279" i="17"/>
  <c r="M279" i="17" s="1"/>
  <c r="Q279" i="17" s="1"/>
  <c r="A279" i="17"/>
  <c r="W278" i="17"/>
  <c r="V278" i="17"/>
  <c r="U278" i="17"/>
  <c r="T278" i="17"/>
  <c r="S278" i="17"/>
  <c r="R278" i="17"/>
  <c r="P278" i="17"/>
  <c r="O278" i="17"/>
  <c r="L278" i="17"/>
  <c r="M278" i="17" s="1"/>
  <c r="Q278" i="17" s="1"/>
  <c r="A278" i="17"/>
  <c r="W277" i="17"/>
  <c r="V277" i="17"/>
  <c r="U277" i="17"/>
  <c r="T277" i="17"/>
  <c r="S277" i="17"/>
  <c r="R277" i="17"/>
  <c r="P277" i="17"/>
  <c r="O277" i="17"/>
  <c r="L277" i="17"/>
  <c r="M277" i="17" s="1"/>
  <c r="Q277" i="17" s="1"/>
  <c r="A277" i="17"/>
  <c r="W276" i="17"/>
  <c r="V276" i="17"/>
  <c r="U276" i="17"/>
  <c r="T276" i="17"/>
  <c r="S276" i="17"/>
  <c r="R276" i="17"/>
  <c r="P276" i="17"/>
  <c r="O276" i="17"/>
  <c r="L276" i="17"/>
  <c r="M276" i="17" s="1"/>
  <c r="Q276" i="17" s="1"/>
  <c r="A276" i="17"/>
  <c r="W275" i="17"/>
  <c r="V275" i="17"/>
  <c r="U275" i="17"/>
  <c r="T275" i="17"/>
  <c r="S275" i="17"/>
  <c r="R275" i="17"/>
  <c r="P275" i="17"/>
  <c r="O275" i="17"/>
  <c r="L275" i="17"/>
  <c r="M275" i="17" s="1"/>
  <c r="Q275" i="17" s="1"/>
  <c r="A275" i="17"/>
  <c r="W274" i="17"/>
  <c r="V274" i="17"/>
  <c r="U274" i="17"/>
  <c r="T274" i="17"/>
  <c r="S274" i="17"/>
  <c r="R274" i="17"/>
  <c r="P274" i="17"/>
  <c r="O274" i="17"/>
  <c r="L274" i="17"/>
  <c r="M274" i="17" s="1"/>
  <c r="Q274" i="17" s="1"/>
  <c r="A274" i="17"/>
  <c r="W273" i="17"/>
  <c r="V273" i="17"/>
  <c r="U273" i="17"/>
  <c r="T273" i="17"/>
  <c r="S273" i="17"/>
  <c r="R273" i="17"/>
  <c r="P273" i="17"/>
  <c r="O273" i="17"/>
  <c r="L273" i="17"/>
  <c r="M273" i="17" s="1"/>
  <c r="Q273" i="17" s="1"/>
  <c r="A273" i="17"/>
  <c r="W272" i="17"/>
  <c r="V272" i="17"/>
  <c r="U272" i="17"/>
  <c r="T272" i="17"/>
  <c r="S272" i="17"/>
  <c r="R272" i="17"/>
  <c r="P272" i="17"/>
  <c r="O272" i="17"/>
  <c r="L272" i="17"/>
  <c r="M272" i="17" s="1"/>
  <c r="Q272" i="17" s="1"/>
  <c r="A272" i="17"/>
  <c r="W271" i="17"/>
  <c r="V271" i="17"/>
  <c r="U271" i="17"/>
  <c r="T271" i="17"/>
  <c r="S271" i="17"/>
  <c r="R271" i="17"/>
  <c r="P271" i="17"/>
  <c r="O271" i="17"/>
  <c r="L271" i="17"/>
  <c r="M271" i="17" s="1"/>
  <c r="Q271" i="17" s="1"/>
  <c r="A271" i="17"/>
  <c r="W270" i="17"/>
  <c r="V270" i="17"/>
  <c r="U270" i="17"/>
  <c r="T270" i="17"/>
  <c r="S270" i="17"/>
  <c r="R270" i="17"/>
  <c r="P270" i="17"/>
  <c r="O270" i="17"/>
  <c r="L270" i="17"/>
  <c r="M270" i="17" s="1"/>
  <c r="Q270" i="17" s="1"/>
  <c r="A270" i="17"/>
  <c r="W269" i="17"/>
  <c r="V269" i="17"/>
  <c r="U269" i="17"/>
  <c r="T269" i="17"/>
  <c r="S269" i="17"/>
  <c r="R269" i="17"/>
  <c r="P269" i="17"/>
  <c r="O269" i="17"/>
  <c r="L269" i="17"/>
  <c r="M269" i="17" s="1"/>
  <c r="Q269" i="17" s="1"/>
  <c r="A269" i="17"/>
  <c r="W268" i="17"/>
  <c r="V268" i="17"/>
  <c r="U268" i="17"/>
  <c r="T268" i="17"/>
  <c r="S268" i="17"/>
  <c r="R268" i="17"/>
  <c r="P268" i="17"/>
  <c r="O268" i="17"/>
  <c r="L268" i="17"/>
  <c r="M268" i="17" s="1"/>
  <c r="Q268" i="17" s="1"/>
  <c r="A268" i="17"/>
  <c r="W267" i="17"/>
  <c r="V267" i="17"/>
  <c r="U267" i="17"/>
  <c r="T267" i="17"/>
  <c r="S267" i="17"/>
  <c r="R267" i="17"/>
  <c r="P267" i="17"/>
  <c r="O267" i="17"/>
  <c r="L267" i="17"/>
  <c r="M267" i="17" s="1"/>
  <c r="Q267" i="17" s="1"/>
  <c r="A267" i="17"/>
  <c r="W266" i="17"/>
  <c r="V266" i="17"/>
  <c r="U266" i="17"/>
  <c r="T266" i="17"/>
  <c r="S266" i="17"/>
  <c r="R266" i="17"/>
  <c r="P266" i="17"/>
  <c r="O266" i="17"/>
  <c r="L266" i="17"/>
  <c r="M266" i="17" s="1"/>
  <c r="Q266" i="17" s="1"/>
  <c r="A266" i="17"/>
  <c r="W265" i="17"/>
  <c r="V265" i="17"/>
  <c r="U265" i="17"/>
  <c r="T265" i="17"/>
  <c r="S265" i="17"/>
  <c r="R265" i="17"/>
  <c r="P265" i="17"/>
  <c r="O265" i="17"/>
  <c r="L265" i="17"/>
  <c r="M265" i="17" s="1"/>
  <c r="Q265" i="17" s="1"/>
  <c r="A265" i="17"/>
  <c r="W264" i="17"/>
  <c r="V264" i="17"/>
  <c r="U264" i="17"/>
  <c r="T264" i="17"/>
  <c r="S264" i="17"/>
  <c r="R264" i="17"/>
  <c r="P264" i="17"/>
  <c r="O264" i="17"/>
  <c r="L264" i="17"/>
  <c r="M264" i="17" s="1"/>
  <c r="Q264" i="17" s="1"/>
  <c r="A264" i="17"/>
  <c r="W263" i="17"/>
  <c r="V263" i="17"/>
  <c r="U263" i="17"/>
  <c r="T263" i="17"/>
  <c r="S263" i="17"/>
  <c r="R263" i="17"/>
  <c r="P263" i="17"/>
  <c r="O263" i="17"/>
  <c r="L263" i="17"/>
  <c r="M263" i="17" s="1"/>
  <c r="Q263" i="17" s="1"/>
  <c r="A263" i="17"/>
  <c r="W262" i="17"/>
  <c r="V262" i="17"/>
  <c r="U262" i="17"/>
  <c r="T262" i="17"/>
  <c r="S262" i="17"/>
  <c r="R262" i="17"/>
  <c r="P262" i="17"/>
  <c r="O262" i="17"/>
  <c r="L262" i="17"/>
  <c r="M262" i="17" s="1"/>
  <c r="Q262" i="17" s="1"/>
  <c r="A262" i="17"/>
  <c r="W261" i="17"/>
  <c r="V261" i="17"/>
  <c r="U261" i="17"/>
  <c r="T261" i="17"/>
  <c r="S261" i="17"/>
  <c r="R261" i="17"/>
  <c r="P261" i="17"/>
  <c r="O261" i="17"/>
  <c r="L261" i="17"/>
  <c r="M261" i="17" s="1"/>
  <c r="Q261" i="17" s="1"/>
  <c r="A261" i="17"/>
  <c r="W260" i="17"/>
  <c r="V260" i="17"/>
  <c r="U260" i="17"/>
  <c r="T260" i="17"/>
  <c r="S260" i="17"/>
  <c r="R260" i="17"/>
  <c r="P260" i="17"/>
  <c r="O260" i="17"/>
  <c r="L260" i="17"/>
  <c r="M260" i="17" s="1"/>
  <c r="Q260" i="17" s="1"/>
  <c r="A260" i="17"/>
  <c r="W259" i="17"/>
  <c r="V259" i="17"/>
  <c r="U259" i="17"/>
  <c r="T259" i="17"/>
  <c r="S259" i="17"/>
  <c r="R259" i="17"/>
  <c r="P259" i="17"/>
  <c r="O259" i="17"/>
  <c r="L259" i="17"/>
  <c r="M259" i="17" s="1"/>
  <c r="Q259" i="17" s="1"/>
  <c r="A259" i="17"/>
  <c r="W258" i="17"/>
  <c r="V258" i="17"/>
  <c r="U258" i="17"/>
  <c r="T258" i="17"/>
  <c r="S258" i="17"/>
  <c r="R258" i="17"/>
  <c r="P258" i="17"/>
  <c r="O258" i="17"/>
  <c r="L258" i="17"/>
  <c r="M258" i="17" s="1"/>
  <c r="Q258" i="17" s="1"/>
  <c r="A258" i="17"/>
  <c r="W257" i="17"/>
  <c r="V257" i="17"/>
  <c r="U257" i="17"/>
  <c r="T257" i="17"/>
  <c r="S257" i="17"/>
  <c r="R257" i="17"/>
  <c r="P257" i="17"/>
  <c r="O257" i="17"/>
  <c r="L257" i="17"/>
  <c r="M257" i="17" s="1"/>
  <c r="Q257" i="17" s="1"/>
  <c r="A257" i="17"/>
  <c r="W256" i="17"/>
  <c r="V256" i="17"/>
  <c r="U256" i="17"/>
  <c r="T256" i="17"/>
  <c r="S256" i="17"/>
  <c r="R256" i="17"/>
  <c r="P256" i="17"/>
  <c r="O256" i="17"/>
  <c r="L256" i="17"/>
  <c r="M256" i="17" s="1"/>
  <c r="Q256" i="17" s="1"/>
  <c r="A256" i="17"/>
  <c r="W255" i="17"/>
  <c r="V255" i="17"/>
  <c r="U255" i="17"/>
  <c r="T255" i="17"/>
  <c r="S255" i="17"/>
  <c r="R255" i="17"/>
  <c r="P255" i="17"/>
  <c r="O255" i="17"/>
  <c r="L255" i="17"/>
  <c r="M255" i="17" s="1"/>
  <c r="Q255" i="17" s="1"/>
  <c r="A255" i="17"/>
  <c r="W254" i="17"/>
  <c r="V254" i="17"/>
  <c r="U254" i="17"/>
  <c r="T254" i="17"/>
  <c r="S254" i="17"/>
  <c r="R254" i="17"/>
  <c r="P254" i="17"/>
  <c r="O254" i="17"/>
  <c r="L254" i="17"/>
  <c r="M254" i="17" s="1"/>
  <c r="Q254" i="17" s="1"/>
  <c r="A254" i="17"/>
  <c r="W253" i="17"/>
  <c r="V253" i="17"/>
  <c r="U253" i="17"/>
  <c r="T253" i="17"/>
  <c r="S253" i="17"/>
  <c r="R253" i="17"/>
  <c r="P253" i="17"/>
  <c r="O253" i="17"/>
  <c r="L253" i="17"/>
  <c r="M253" i="17" s="1"/>
  <c r="Q253" i="17" s="1"/>
  <c r="A253" i="17"/>
  <c r="W252" i="17"/>
  <c r="V252" i="17"/>
  <c r="U252" i="17"/>
  <c r="T252" i="17"/>
  <c r="S252" i="17"/>
  <c r="R252" i="17"/>
  <c r="P252" i="17"/>
  <c r="O252" i="17"/>
  <c r="L252" i="17"/>
  <c r="M252" i="17" s="1"/>
  <c r="Q252" i="17" s="1"/>
  <c r="A252" i="17"/>
  <c r="W251" i="17"/>
  <c r="V251" i="17"/>
  <c r="U251" i="17"/>
  <c r="T251" i="17"/>
  <c r="S251" i="17"/>
  <c r="R251" i="17"/>
  <c r="P251" i="17"/>
  <c r="O251" i="17"/>
  <c r="L251" i="17"/>
  <c r="M251" i="17" s="1"/>
  <c r="Q251" i="17" s="1"/>
  <c r="A251" i="17"/>
  <c r="W250" i="17"/>
  <c r="V250" i="17"/>
  <c r="U250" i="17"/>
  <c r="T250" i="17"/>
  <c r="S250" i="17"/>
  <c r="R250" i="17"/>
  <c r="P250" i="17"/>
  <c r="O250" i="17"/>
  <c r="L250" i="17"/>
  <c r="M250" i="17" s="1"/>
  <c r="Q250" i="17" s="1"/>
  <c r="A250" i="17"/>
  <c r="W249" i="17"/>
  <c r="V249" i="17"/>
  <c r="U249" i="17"/>
  <c r="T249" i="17"/>
  <c r="S249" i="17"/>
  <c r="R249" i="17"/>
  <c r="P249" i="17"/>
  <c r="O249" i="17"/>
  <c r="L249" i="17"/>
  <c r="M249" i="17" s="1"/>
  <c r="Q249" i="17" s="1"/>
  <c r="A249" i="17"/>
  <c r="W248" i="17"/>
  <c r="V248" i="17"/>
  <c r="U248" i="17"/>
  <c r="T248" i="17"/>
  <c r="S248" i="17"/>
  <c r="R248" i="17"/>
  <c r="P248" i="17"/>
  <c r="O248" i="17"/>
  <c r="L248" i="17"/>
  <c r="M248" i="17" s="1"/>
  <c r="Q248" i="17" s="1"/>
  <c r="A248" i="17"/>
  <c r="W247" i="17"/>
  <c r="V247" i="17"/>
  <c r="U247" i="17"/>
  <c r="T247" i="17"/>
  <c r="S247" i="17"/>
  <c r="R247" i="17"/>
  <c r="P247" i="17"/>
  <c r="O247" i="17"/>
  <c r="L247" i="17"/>
  <c r="M247" i="17" s="1"/>
  <c r="Q247" i="17" s="1"/>
  <c r="A247" i="17"/>
  <c r="W246" i="17"/>
  <c r="V246" i="17"/>
  <c r="U246" i="17"/>
  <c r="T246" i="17"/>
  <c r="S246" i="17"/>
  <c r="R246" i="17"/>
  <c r="P246" i="17"/>
  <c r="O246" i="17"/>
  <c r="L246" i="17"/>
  <c r="M246" i="17" s="1"/>
  <c r="Q246" i="17" s="1"/>
  <c r="A246" i="17"/>
  <c r="W245" i="17"/>
  <c r="V245" i="17"/>
  <c r="U245" i="17"/>
  <c r="T245" i="17"/>
  <c r="S245" i="17"/>
  <c r="R245" i="17"/>
  <c r="P245" i="17"/>
  <c r="O245" i="17"/>
  <c r="L245" i="17"/>
  <c r="M245" i="17" s="1"/>
  <c r="Q245" i="17" s="1"/>
  <c r="A245" i="17"/>
  <c r="W244" i="17"/>
  <c r="V244" i="17"/>
  <c r="U244" i="17"/>
  <c r="T244" i="17"/>
  <c r="S244" i="17"/>
  <c r="R244" i="17"/>
  <c r="P244" i="17"/>
  <c r="O244" i="17"/>
  <c r="L244" i="17"/>
  <c r="M244" i="17" s="1"/>
  <c r="Q244" i="17" s="1"/>
  <c r="A244" i="17"/>
  <c r="W243" i="17"/>
  <c r="V243" i="17"/>
  <c r="U243" i="17"/>
  <c r="T243" i="17"/>
  <c r="S243" i="17"/>
  <c r="R243" i="17"/>
  <c r="P243" i="17"/>
  <c r="O243" i="17"/>
  <c r="L243" i="17"/>
  <c r="M243" i="17" s="1"/>
  <c r="Q243" i="17" s="1"/>
  <c r="A243" i="17"/>
  <c r="W242" i="17"/>
  <c r="V242" i="17"/>
  <c r="U242" i="17"/>
  <c r="T242" i="17"/>
  <c r="S242" i="17"/>
  <c r="R242" i="17"/>
  <c r="P242" i="17"/>
  <c r="O242" i="17"/>
  <c r="L242" i="17"/>
  <c r="M242" i="17" s="1"/>
  <c r="Q242" i="17" s="1"/>
  <c r="A242" i="17"/>
  <c r="W241" i="17"/>
  <c r="V241" i="17"/>
  <c r="U241" i="17"/>
  <c r="T241" i="17"/>
  <c r="S241" i="17"/>
  <c r="R241" i="17"/>
  <c r="P241" i="17"/>
  <c r="O241" i="17"/>
  <c r="L241" i="17"/>
  <c r="M241" i="17" s="1"/>
  <c r="Q241" i="17" s="1"/>
  <c r="A241" i="17"/>
  <c r="W240" i="17"/>
  <c r="V240" i="17"/>
  <c r="U240" i="17"/>
  <c r="T240" i="17"/>
  <c r="S240" i="17"/>
  <c r="R240" i="17"/>
  <c r="P240" i="17"/>
  <c r="O240" i="17"/>
  <c r="L240" i="17"/>
  <c r="M240" i="17" s="1"/>
  <c r="Q240" i="17" s="1"/>
  <c r="A240" i="17"/>
  <c r="W239" i="17"/>
  <c r="V239" i="17"/>
  <c r="U239" i="17"/>
  <c r="T239" i="17"/>
  <c r="S239" i="17"/>
  <c r="R239" i="17"/>
  <c r="P239" i="17"/>
  <c r="O239" i="17"/>
  <c r="L239" i="17"/>
  <c r="M239" i="17" s="1"/>
  <c r="Q239" i="17" s="1"/>
  <c r="A239" i="17"/>
  <c r="W238" i="17"/>
  <c r="V238" i="17"/>
  <c r="U238" i="17"/>
  <c r="T238" i="17"/>
  <c r="S238" i="17"/>
  <c r="R238" i="17"/>
  <c r="P238" i="17"/>
  <c r="O238" i="17"/>
  <c r="L238" i="17"/>
  <c r="M238" i="17" s="1"/>
  <c r="Q238" i="17" s="1"/>
  <c r="A238" i="17"/>
  <c r="W237" i="17"/>
  <c r="V237" i="17"/>
  <c r="U237" i="17"/>
  <c r="T237" i="17"/>
  <c r="S237" i="17"/>
  <c r="R237" i="17"/>
  <c r="P237" i="17"/>
  <c r="O237" i="17"/>
  <c r="L237" i="17"/>
  <c r="M237" i="17" s="1"/>
  <c r="Q237" i="17" s="1"/>
  <c r="A237" i="17"/>
  <c r="W236" i="17"/>
  <c r="V236" i="17"/>
  <c r="U236" i="17"/>
  <c r="T236" i="17"/>
  <c r="S236" i="17"/>
  <c r="R236" i="17"/>
  <c r="P236" i="17"/>
  <c r="O236" i="17"/>
  <c r="L236" i="17"/>
  <c r="M236" i="17" s="1"/>
  <c r="Q236" i="17" s="1"/>
  <c r="A236" i="17"/>
  <c r="W235" i="17"/>
  <c r="V235" i="17"/>
  <c r="U235" i="17"/>
  <c r="T235" i="17"/>
  <c r="S235" i="17"/>
  <c r="R235" i="17"/>
  <c r="P235" i="17"/>
  <c r="O235" i="17"/>
  <c r="L235" i="17"/>
  <c r="M235" i="17" s="1"/>
  <c r="Q235" i="17" s="1"/>
  <c r="A235" i="17"/>
  <c r="W234" i="17"/>
  <c r="V234" i="17"/>
  <c r="U234" i="17"/>
  <c r="T234" i="17"/>
  <c r="S234" i="17"/>
  <c r="R234" i="17"/>
  <c r="P234" i="17"/>
  <c r="O234" i="17"/>
  <c r="L234" i="17"/>
  <c r="M234" i="17" s="1"/>
  <c r="Q234" i="17" s="1"/>
  <c r="A234" i="17"/>
  <c r="W233" i="17"/>
  <c r="V233" i="17"/>
  <c r="U233" i="17"/>
  <c r="T233" i="17"/>
  <c r="S233" i="17"/>
  <c r="R233" i="17"/>
  <c r="P233" i="17"/>
  <c r="O233" i="17"/>
  <c r="L233" i="17"/>
  <c r="M233" i="17" s="1"/>
  <c r="Q233" i="17" s="1"/>
  <c r="A233" i="17"/>
  <c r="W232" i="17"/>
  <c r="V232" i="17"/>
  <c r="U232" i="17"/>
  <c r="T232" i="17"/>
  <c r="S232" i="17"/>
  <c r="R232" i="17"/>
  <c r="P232" i="17"/>
  <c r="O232" i="17"/>
  <c r="L232" i="17"/>
  <c r="M232" i="17" s="1"/>
  <c r="Q232" i="17" s="1"/>
  <c r="A232" i="17"/>
  <c r="W231" i="17"/>
  <c r="V231" i="17"/>
  <c r="U231" i="17"/>
  <c r="T231" i="17"/>
  <c r="S231" i="17"/>
  <c r="R231" i="17"/>
  <c r="P231" i="17"/>
  <c r="O231" i="17"/>
  <c r="L231" i="17"/>
  <c r="M231" i="17" s="1"/>
  <c r="Q231" i="17" s="1"/>
  <c r="A231" i="17"/>
  <c r="W230" i="17"/>
  <c r="V230" i="17"/>
  <c r="U230" i="17"/>
  <c r="T230" i="17"/>
  <c r="S230" i="17"/>
  <c r="R230" i="17"/>
  <c r="P230" i="17"/>
  <c r="O230" i="17"/>
  <c r="L230" i="17"/>
  <c r="M230" i="17" s="1"/>
  <c r="Q230" i="17" s="1"/>
  <c r="A230" i="17"/>
  <c r="W229" i="17"/>
  <c r="V229" i="17"/>
  <c r="U229" i="17"/>
  <c r="T229" i="17"/>
  <c r="S229" i="17"/>
  <c r="R229" i="17"/>
  <c r="P229" i="17"/>
  <c r="O229" i="17"/>
  <c r="L229" i="17"/>
  <c r="M229" i="17" s="1"/>
  <c r="Q229" i="17" s="1"/>
  <c r="A229" i="17"/>
  <c r="W228" i="17"/>
  <c r="V228" i="17"/>
  <c r="U228" i="17"/>
  <c r="T228" i="17"/>
  <c r="S228" i="17"/>
  <c r="R228" i="17"/>
  <c r="P228" i="17"/>
  <c r="O228" i="17"/>
  <c r="L228" i="17"/>
  <c r="M228" i="17" s="1"/>
  <c r="Q228" i="17" s="1"/>
  <c r="A228" i="17"/>
  <c r="W227" i="17"/>
  <c r="V227" i="17"/>
  <c r="U227" i="17"/>
  <c r="T227" i="17"/>
  <c r="S227" i="17"/>
  <c r="R227" i="17"/>
  <c r="P227" i="17"/>
  <c r="O227" i="17"/>
  <c r="L227" i="17"/>
  <c r="M227" i="17" s="1"/>
  <c r="Q227" i="17" s="1"/>
  <c r="A227" i="17"/>
  <c r="W226" i="17"/>
  <c r="V226" i="17"/>
  <c r="U226" i="17"/>
  <c r="T226" i="17"/>
  <c r="S226" i="17"/>
  <c r="R226" i="17"/>
  <c r="P226" i="17"/>
  <c r="O226" i="17"/>
  <c r="L226" i="17"/>
  <c r="M226" i="17" s="1"/>
  <c r="Q226" i="17" s="1"/>
  <c r="A226" i="17"/>
  <c r="W225" i="17"/>
  <c r="V225" i="17"/>
  <c r="U225" i="17"/>
  <c r="T225" i="17"/>
  <c r="S225" i="17"/>
  <c r="R225" i="17"/>
  <c r="P225" i="17"/>
  <c r="O225" i="17"/>
  <c r="L225" i="17"/>
  <c r="M225" i="17" s="1"/>
  <c r="Q225" i="17" s="1"/>
  <c r="A225" i="17"/>
  <c r="W224" i="17"/>
  <c r="V224" i="17"/>
  <c r="U224" i="17"/>
  <c r="T224" i="17"/>
  <c r="S224" i="17"/>
  <c r="R224" i="17"/>
  <c r="P224" i="17"/>
  <c r="O224" i="17"/>
  <c r="L224" i="17"/>
  <c r="M224" i="17" s="1"/>
  <c r="Q224" i="17" s="1"/>
  <c r="A224" i="17"/>
  <c r="W223" i="17"/>
  <c r="V223" i="17"/>
  <c r="U223" i="17"/>
  <c r="T223" i="17"/>
  <c r="S223" i="17"/>
  <c r="R223" i="17"/>
  <c r="P223" i="17"/>
  <c r="O223" i="17"/>
  <c r="L223" i="17"/>
  <c r="M223" i="17" s="1"/>
  <c r="Q223" i="17" s="1"/>
  <c r="A223" i="17"/>
  <c r="W222" i="17"/>
  <c r="V222" i="17"/>
  <c r="U222" i="17"/>
  <c r="T222" i="17"/>
  <c r="S222" i="17"/>
  <c r="R222" i="17"/>
  <c r="P222" i="17"/>
  <c r="O222" i="17"/>
  <c r="L222" i="17"/>
  <c r="M222" i="17" s="1"/>
  <c r="Q222" i="17" s="1"/>
  <c r="A222" i="17"/>
  <c r="W221" i="17"/>
  <c r="V221" i="17"/>
  <c r="U221" i="17"/>
  <c r="T221" i="17"/>
  <c r="S221" i="17"/>
  <c r="R221" i="17"/>
  <c r="P221" i="17"/>
  <c r="O221" i="17"/>
  <c r="L221" i="17"/>
  <c r="M221" i="17" s="1"/>
  <c r="Q221" i="17" s="1"/>
  <c r="A221" i="17"/>
  <c r="W220" i="17"/>
  <c r="V220" i="17"/>
  <c r="U220" i="17"/>
  <c r="T220" i="17"/>
  <c r="S220" i="17"/>
  <c r="R220" i="17"/>
  <c r="P220" i="17"/>
  <c r="O220" i="17"/>
  <c r="L220" i="17"/>
  <c r="M220" i="17" s="1"/>
  <c r="Q220" i="17" s="1"/>
  <c r="A220" i="17"/>
  <c r="W219" i="17"/>
  <c r="V219" i="17"/>
  <c r="U219" i="17"/>
  <c r="T219" i="17"/>
  <c r="S219" i="17"/>
  <c r="R219" i="17"/>
  <c r="P219" i="17"/>
  <c r="O219" i="17"/>
  <c r="L219" i="17"/>
  <c r="M219" i="17" s="1"/>
  <c r="Q219" i="17" s="1"/>
  <c r="A219" i="17"/>
  <c r="W218" i="17"/>
  <c r="V218" i="17"/>
  <c r="U218" i="17"/>
  <c r="T218" i="17"/>
  <c r="S218" i="17"/>
  <c r="R218" i="17"/>
  <c r="P218" i="17"/>
  <c r="O218" i="17"/>
  <c r="L218" i="17"/>
  <c r="M218" i="17" s="1"/>
  <c r="Q218" i="17" s="1"/>
  <c r="A218" i="17"/>
  <c r="W217" i="17"/>
  <c r="V217" i="17"/>
  <c r="U217" i="17"/>
  <c r="T217" i="17"/>
  <c r="S217" i="17"/>
  <c r="R217" i="17"/>
  <c r="P217" i="17"/>
  <c r="O217" i="17"/>
  <c r="L217" i="17"/>
  <c r="M217" i="17" s="1"/>
  <c r="Q217" i="17" s="1"/>
  <c r="A217" i="17"/>
  <c r="W216" i="17"/>
  <c r="V216" i="17"/>
  <c r="T216" i="17"/>
  <c r="S216" i="17"/>
  <c r="R216" i="17"/>
  <c r="O216" i="17"/>
  <c r="L216" i="17"/>
  <c r="M216" i="17" s="1"/>
  <c r="Q216" i="17" s="1"/>
  <c r="A216" i="17"/>
  <c r="W215" i="17"/>
  <c r="V215" i="17"/>
  <c r="T215" i="17"/>
  <c r="S215" i="17"/>
  <c r="R215" i="17"/>
  <c r="O215" i="17"/>
  <c r="L215" i="17"/>
  <c r="M215" i="17" s="1"/>
  <c r="Q215" i="17" s="1"/>
  <c r="A215" i="17"/>
  <c r="W214" i="17"/>
  <c r="V214" i="17"/>
  <c r="T214" i="17"/>
  <c r="S214" i="17"/>
  <c r="R214" i="17"/>
  <c r="O214" i="17"/>
  <c r="L214" i="17"/>
  <c r="M214" i="17" s="1"/>
  <c r="Q214" i="17" s="1"/>
  <c r="A214" i="17"/>
  <c r="W213" i="17"/>
  <c r="V213" i="17"/>
  <c r="T213" i="17"/>
  <c r="S213" i="17"/>
  <c r="R213" i="17"/>
  <c r="O213" i="17"/>
  <c r="L213" i="17"/>
  <c r="M213" i="17" s="1"/>
  <c r="Q213" i="17" s="1"/>
  <c r="A213" i="17"/>
  <c r="W212" i="17"/>
  <c r="V212" i="17"/>
  <c r="U212" i="17"/>
  <c r="T212" i="17"/>
  <c r="S212" i="17"/>
  <c r="R212" i="17"/>
  <c r="P212" i="17"/>
  <c r="O212" i="17"/>
  <c r="L212" i="17"/>
  <c r="A212" i="17"/>
  <c r="W211" i="17"/>
  <c r="V211" i="17"/>
  <c r="U211" i="17"/>
  <c r="T211" i="17"/>
  <c r="S211" i="17"/>
  <c r="R211" i="17"/>
  <c r="P211" i="17"/>
  <c r="O211" i="17"/>
  <c r="L211" i="17"/>
  <c r="A211" i="17"/>
  <c r="W210" i="17"/>
  <c r="V210" i="17"/>
  <c r="U210" i="17"/>
  <c r="T210" i="17"/>
  <c r="S210" i="17"/>
  <c r="R210" i="17"/>
  <c r="P210" i="17"/>
  <c r="O210" i="17"/>
  <c r="L210" i="17"/>
  <c r="A210" i="17"/>
  <c r="W209" i="17"/>
  <c r="V209" i="17"/>
  <c r="U209" i="17"/>
  <c r="T209" i="17"/>
  <c r="S209" i="17"/>
  <c r="R209" i="17"/>
  <c r="P209" i="17"/>
  <c r="O209" i="17"/>
  <c r="L209" i="17"/>
  <c r="A209" i="17"/>
  <c r="W208" i="17"/>
  <c r="V208" i="17"/>
  <c r="U208" i="17"/>
  <c r="T208" i="17"/>
  <c r="S208" i="17"/>
  <c r="R208" i="17"/>
  <c r="P208" i="17"/>
  <c r="O208" i="17"/>
  <c r="L208" i="17"/>
  <c r="A208" i="17"/>
  <c r="W207" i="17"/>
  <c r="V207" i="17"/>
  <c r="U207" i="17"/>
  <c r="T207" i="17"/>
  <c r="S207" i="17"/>
  <c r="R207" i="17"/>
  <c r="P207" i="17"/>
  <c r="O207" i="17"/>
  <c r="L207" i="17"/>
  <c r="A207" i="17"/>
  <c r="W206" i="17"/>
  <c r="V206" i="17"/>
  <c r="U206" i="17"/>
  <c r="T206" i="17"/>
  <c r="S206" i="17"/>
  <c r="R206" i="17"/>
  <c r="P206" i="17"/>
  <c r="O206" i="17"/>
  <c r="L206" i="17"/>
  <c r="M206" i="17" s="1"/>
  <c r="A206" i="17"/>
  <c r="W205" i="17"/>
  <c r="V205" i="17"/>
  <c r="U205" i="17"/>
  <c r="T205" i="17"/>
  <c r="S205" i="17"/>
  <c r="R205" i="17"/>
  <c r="P205" i="17"/>
  <c r="O205" i="17"/>
  <c r="L205" i="17"/>
  <c r="A205" i="17"/>
  <c r="W204" i="17"/>
  <c r="V204" i="17"/>
  <c r="U204" i="17"/>
  <c r="T204" i="17"/>
  <c r="S204" i="17"/>
  <c r="R204" i="17"/>
  <c r="P204" i="17"/>
  <c r="O204" i="17"/>
  <c r="L204" i="17"/>
  <c r="M204" i="17" s="1"/>
  <c r="A204" i="17"/>
  <c r="W203" i="17"/>
  <c r="V203" i="17"/>
  <c r="U203" i="17"/>
  <c r="T203" i="17"/>
  <c r="S203" i="17"/>
  <c r="R203" i="17"/>
  <c r="P203" i="17"/>
  <c r="O203" i="17"/>
  <c r="L203" i="17"/>
  <c r="A203" i="17"/>
  <c r="W202" i="17"/>
  <c r="V202" i="17"/>
  <c r="U202" i="17"/>
  <c r="T202" i="17"/>
  <c r="S202" i="17"/>
  <c r="R202" i="17"/>
  <c r="P202" i="17"/>
  <c r="O202" i="17"/>
  <c r="L202" i="17"/>
  <c r="M202" i="17" s="1"/>
  <c r="A202" i="17"/>
  <c r="W201" i="17"/>
  <c r="V201" i="17"/>
  <c r="U201" i="17"/>
  <c r="T201" i="17"/>
  <c r="S201" i="17"/>
  <c r="R201" i="17"/>
  <c r="P201" i="17"/>
  <c r="O201" i="17"/>
  <c r="L201" i="17"/>
  <c r="A201" i="17"/>
  <c r="W200" i="17"/>
  <c r="V200" i="17"/>
  <c r="U200" i="17"/>
  <c r="T200" i="17"/>
  <c r="S200" i="17"/>
  <c r="R200" i="17"/>
  <c r="P200" i="17"/>
  <c r="O200" i="17"/>
  <c r="L200" i="17"/>
  <c r="M200" i="17" s="1"/>
  <c r="A200" i="17"/>
  <c r="W199" i="17"/>
  <c r="V199" i="17"/>
  <c r="U199" i="17"/>
  <c r="T199" i="17"/>
  <c r="S199" i="17"/>
  <c r="R199" i="17"/>
  <c r="P199" i="17"/>
  <c r="O199" i="17"/>
  <c r="L199" i="17"/>
  <c r="A199" i="17"/>
  <c r="W198" i="17"/>
  <c r="V198" i="17"/>
  <c r="U198" i="17"/>
  <c r="T198" i="17"/>
  <c r="S198" i="17"/>
  <c r="R198" i="17"/>
  <c r="P198" i="17"/>
  <c r="O198" i="17"/>
  <c r="L198" i="17"/>
  <c r="M198" i="17" s="1"/>
  <c r="A198" i="17"/>
  <c r="W197" i="17"/>
  <c r="V197" i="17"/>
  <c r="U197" i="17"/>
  <c r="T197" i="17"/>
  <c r="S197" i="17"/>
  <c r="R197" i="17"/>
  <c r="P197" i="17"/>
  <c r="O197" i="17"/>
  <c r="L197" i="17"/>
  <c r="A197" i="17"/>
  <c r="W196" i="17"/>
  <c r="V196" i="17"/>
  <c r="T196" i="17"/>
  <c r="S196" i="17"/>
  <c r="R196" i="17"/>
  <c r="O196" i="17"/>
  <c r="L196" i="17"/>
  <c r="A196" i="17"/>
  <c r="W195" i="17"/>
  <c r="V195" i="17"/>
  <c r="T195" i="17"/>
  <c r="S195" i="17"/>
  <c r="R195" i="17"/>
  <c r="O195" i="17"/>
  <c r="L195" i="17"/>
  <c r="A195" i="17"/>
  <c r="W194" i="17"/>
  <c r="V194" i="17"/>
  <c r="T194" i="17"/>
  <c r="S194" i="17"/>
  <c r="R194" i="17"/>
  <c r="O194" i="17"/>
  <c r="L194" i="17"/>
  <c r="A194" i="17"/>
  <c r="W193" i="17"/>
  <c r="V193" i="17"/>
  <c r="U193" i="17"/>
  <c r="T193" i="17"/>
  <c r="S193" i="17"/>
  <c r="R193" i="17"/>
  <c r="P193" i="17"/>
  <c r="O193" i="17"/>
  <c r="L193" i="17"/>
  <c r="M193" i="17" s="1"/>
  <c r="A193" i="17"/>
  <c r="W192" i="17"/>
  <c r="V192" i="17"/>
  <c r="U192" i="17"/>
  <c r="T192" i="17"/>
  <c r="S192" i="17"/>
  <c r="R192" i="17"/>
  <c r="P192" i="17"/>
  <c r="O192" i="17"/>
  <c r="L192" i="17"/>
  <c r="M192" i="17" s="1"/>
  <c r="A192" i="17"/>
  <c r="W191" i="17"/>
  <c r="V191" i="17"/>
  <c r="U191" i="17"/>
  <c r="T191" i="17"/>
  <c r="S191" i="17"/>
  <c r="R191" i="17"/>
  <c r="P191" i="17"/>
  <c r="O191" i="17"/>
  <c r="L191" i="17"/>
  <c r="M191" i="17" s="1"/>
  <c r="A191" i="17"/>
  <c r="W190" i="17"/>
  <c r="V190" i="17"/>
  <c r="U190" i="17"/>
  <c r="T190" i="17"/>
  <c r="S190" i="17"/>
  <c r="R190" i="17"/>
  <c r="P190" i="17"/>
  <c r="O190" i="17"/>
  <c r="L190" i="17"/>
  <c r="A190" i="17"/>
  <c r="W189" i="17"/>
  <c r="V189" i="17"/>
  <c r="U189" i="17"/>
  <c r="T189" i="17"/>
  <c r="S189" i="17"/>
  <c r="R189" i="17"/>
  <c r="P189" i="17"/>
  <c r="O189" i="17"/>
  <c r="L189" i="17"/>
  <c r="M189" i="17" s="1"/>
  <c r="A189" i="17"/>
  <c r="W188" i="17"/>
  <c r="V188" i="17"/>
  <c r="U188" i="17"/>
  <c r="T188" i="17"/>
  <c r="S188" i="17"/>
  <c r="R188" i="17"/>
  <c r="P188" i="17"/>
  <c r="O188" i="17"/>
  <c r="L188" i="17"/>
  <c r="A188" i="17"/>
  <c r="W187" i="17"/>
  <c r="V187" i="17"/>
  <c r="U187" i="17"/>
  <c r="T187" i="17"/>
  <c r="S187" i="17"/>
  <c r="R187" i="17"/>
  <c r="P187" i="17"/>
  <c r="O187" i="17"/>
  <c r="L187" i="17"/>
  <c r="M187" i="17" s="1"/>
  <c r="A187" i="17"/>
  <c r="W186" i="17"/>
  <c r="V186" i="17"/>
  <c r="U186" i="17"/>
  <c r="T186" i="17"/>
  <c r="S186" i="17"/>
  <c r="R186" i="17"/>
  <c r="P186" i="17"/>
  <c r="O186" i="17"/>
  <c r="L186" i="17"/>
  <c r="A186" i="17"/>
  <c r="W185" i="17"/>
  <c r="V185" i="17"/>
  <c r="U185" i="17"/>
  <c r="T185" i="17"/>
  <c r="S185" i="17"/>
  <c r="R185" i="17"/>
  <c r="P185" i="17"/>
  <c r="O185" i="17"/>
  <c r="L185" i="17"/>
  <c r="M185" i="17" s="1"/>
  <c r="A185" i="17"/>
  <c r="W184" i="17"/>
  <c r="V184" i="17"/>
  <c r="U184" i="17"/>
  <c r="T184" i="17"/>
  <c r="S184" i="17"/>
  <c r="R184" i="17"/>
  <c r="P184" i="17"/>
  <c r="O184" i="17"/>
  <c r="L184" i="17"/>
  <c r="A184" i="17"/>
  <c r="W183" i="17"/>
  <c r="V183" i="17"/>
  <c r="U183" i="17"/>
  <c r="T183" i="17"/>
  <c r="S183" i="17"/>
  <c r="R183" i="17"/>
  <c r="P183" i="17"/>
  <c r="O183" i="17"/>
  <c r="L183" i="17"/>
  <c r="M183" i="17" s="1"/>
  <c r="A183" i="17"/>
  <c r="W182" i="17"/>
  <c r="V182" i="17"/>
  <c r="U182" i="17"/>
  <c r="T182" i="17"/>
  <c r="S182" i="17"/>
  <c r="R182" i="17"/>
  <c r="P182" i="17"/>
  <c r="O182" i="17"/>
  <c r="L182" i="17"/>
  <c r="A182" i="17"/>
  <c r="W181" i="17"/>
  <c r="V181" i="17"/>
  <c r="U181" i="17"/>
  <c r="T181" i="17"/>
  <c r="S181" i="17"/>
  <c r="R181" i="17"/>
  <c r="P181" i="17"/>
  <c r="O181" i="17"/>
  <c r="L181" i="17"/>
  <c r="M181" i="17" s="1"/>
  <c r="A181" i="17"/>
  <c r="W180" i="17"/>
  <c r="V180" i="17"/>
  <c r="U180" i="17"/>
  <c r="T180" i="17"/>
  <c r="S180" i="17"/>
  <c r="R180" i="17"/>
  <c r="P180" i="17"/>
  <c r="O180" i="17"/>
  <c r="L180" i="17"/>
  <c r="M180" i="17" s="1"/>
  <c r="A180" i="17"/>
  <c r="W179" i="17"/>
  <c r="V179" i="17"/>
  <c r="U179" i="17"/>
  <c r="T179" i="17"/>
  <c r="S179" i="17"/>
  <c r="R179" i="17"/>
  <c r="P179" i="17"/>
  <c r="O179" i="17"/>
  <c r="M179" i="17"/>
  <c r="Q179" i="17" s="1"/>
  <c r="L179" i="17"/>
  <c r="A179" i="17"/>
  <c r="W178" i="17"/>
  <c r="V178" i="17"/>
  <c r="U178" i="17"/>
  <c r="T178" i="17"/>
  <c r="S178" i="17"/>
  <c r="R178" i="17"/>
  <c r="P178" i="17"/>
  <c r="O178" i="17"/>
  <c r="L178" i="17"/>
  <c r="M178" i="17" s="1"/>
  <c r="Q178" i="17" s="1"/>
  <c r="A178" i="17"/>
  <c r="W177" i="17"/>
  <c r="V177" i="17"/>
  <c r="U177" i="17"/>
  <c r="T177" i="17"/>
  <c r="S177" i="17"/>
  <c r="R177" i="17"/>
  <c r="P177" i="17"/>
  <c r="O177" i="17"/>
  <c r="L177" i="17"/>
  <c r="M177" i="17" s="1"/>
  <c r="Q177" i="17" s="1"/>
  <c r="A177" i="17"/>
  <c r="W176" i="17"/>
  <c r="V176" i="17"/>
  <c r="U176" i="17"/>
  <c r="T176" i="17"/>
  <c r="S176" i="17"/>
  <c r="R176" i="17"/>
  <c r="P176" i="17"/>
  <c r="O176" i="17"/>
  <c r="L176" i="17"/>
  <c r="M176" i="17" s="1"/>
  <c r="A176" i="17"/>
  <c r="W175" i="17"/>
  <c r="V175" i="17"/>
  <c r="U175" i="17"/>
  <c r="T175" i="17"/>
  <c r="S175" i="17"/>
  <c r="R175" i="17"/>
  <c r="P175" i="17"/>
  <c r="O175" i="17"/>
  <c r="L175" i="17"/>
  <c r="A175" i="17"/>
  <c r="W174" i="17"/>
  <c r="V174" i="17"/>
  <c r="T174" i="17"/>
  <c r="S174" i="17"/>
  <c r="R174" i="17"/>
  <c r="O174" i="17"/>
  <c r="L174" i="17"/>
  <c r="A174" i="17"/>
  <c r="W173" i="17"/>
  <c r="V173" i="17"/>
  <c r="T173" i="17"/>
  <c r="S173" i="17"/>
  <c r="R173" i="17"/>
  <c r="O173" i="17"/>
  <c r="L173" i="17"/>
  <c r="A173" i="17"/>
  <c r="W172" i="17"/>
  <c r="V172" i="17"/>
  <c r="T172" i="17"/>
  <c r="S172" i="17"/>
  <c r="R172" i="17"/>
  <c r="O172" i="17"/>
  <c r="L172" i="17"/>
  <c r="M172" i="17" s="1"/>
  <c r="A172" i="17"/>
  <c r="W171" i="17"/>
  <c r="V171" i="17"/>
  <c r="T171" i="17"/>
  <c r="S171" i="17"/>
  <c r="R171" i="17"/>
  <c r="O171" i="17"/>
  <c r="L171" i="17"/>
  <c r="A171" i="17"/>
  <c r="W170" i="17"/>
  <c r="V170" i="17"/>
  <c r="T170" i="17"/>
  <c r="S170" i="17"/>
  <c r="R170" i="17"/>
  <c r="O170" i="17"/>
  <c r="L170" i="17"/>
  <c r="M170" i="17" s="1"/>
  <c r="A170" i="17"/>
  <c r="W169" i="17"/>
  <c r="V169" i="17"/>
  <c r="T169" i="17"/>
  <c r="S169" i="17"/>
  <c r="R169" i="17"/>
  <c r="O169" i="17"/>
  <c r="L169" i="17"/>
  <c r="A169" i="17"/>
  <c r="W168" i="17"/>
  <c r="V168" i="17"/>
  <c r="T168" i="17"/>
  <c r="S168" i="17"/>
  <c r="R168" i="17"/>
  <c r="O168" i="17"/>
  <c r="L168" i="17"/>
  <c r="M168" i="17" s="1"/>
  <c r="A168" i="17"/>
  <c r="W167" i="17"/>
  <c r="V167" i="17"/>
  <c r="T167" i="17"/>
  <c r="S167" i="17"/>
  <c r="R167" i="17"/>
  <c r="O167" i="17"/>
  <c r="L167" i="17"/>
  <c r="A167" i="17"/>
  <c r="W166" i="17"/>
  <c r="V166" i="17"/>
  <c r="T166" i="17"/>
  <c r="S166" i="17"/>
  <c r="R166" i="17"/>
  <c r="O166" i="17"/>
  <c r="L166" i="17"/>
  <c r="M166" i="17" s="1"/>
  <c r="A166" i="17"/>
  <c r="W165" i="17"/>
  <c r="V165" i="17"/>
  <c r="T165" i="17"/>
  <c r="S165" i="17"/>
  <c r="R165" i="17"/>
  <c r="O165" i="17"/>
  <c r="L165" i="17"/>
  <c r="M165" i="17" s="1"/>
  <c r="A165" i="17"/>
  <c r="W164" i="17"/>
  <c r="V164" i="17"/>
  <c r="T164" i="17"/>
  <c r="S164" i="17"/>
  <c r="R164" i="17"/>
  <c r="O164" i="17"/>
  <c r="L164" i="17"/>
  <c r="M164" i="17" s="1"/>
  <c r="A164" i="17"/>
  <c r="W163" i="17"/>
  <c r="V163" i="17"/>
  <c r="T163" i="17"/>
  <c r="S163" i="17"/>
  <c r="R163" i="17"/>
  <c r="O163" i="17"/>
  <c r="L163" i="17"/>
  <c r="A163" i="17"/>
  <c r="W162" i="17"/>
  <c r="V162" i="17"/>
  <c r="T162" i="17"/>
  <c r="S162" i="17"/>
  <c r="R162" i="17"/>
  <c r="O162" i="17"/>
  <c r="L162" i="17"/>
  <c r="M162" i="17" s="1"/>
  <c r="A162" i="17"/>
  <c r="W161" i="17"/>
  <c r="V161" i="17"/>
  <c r="T161" i="17"/>
  <c r="S161" i="17"/>
  <c r="R161" i="17"/>
  <c r="O161" i="17"/>
  <c r="L161" i="17"/>
  <c r="A161" i="17"/>
  <c r="W160" i="17"/>
  <c r="V160" i="17"/>
  <c r="T160" i="17"/>
  <c r="S160" i="17"/>
  <c r="R160" i="17"/>
  <c r="O160" i="17"/>
  <c r="L160" i="17"/>
  <c r="M160" i="17" s="1"/>
  <c r="A160" i="17"/>
  <c r="W159" i="17"/>
  <c r="V159" i="17"/>
  <c r="T159" i="17"/>
  <c r="S159" i="17"/>
  <c r="R159" i="17"/>
  <c r="O159" i="17"/>
  <c r="L159" i="17"/>
  <c r="A159" i="17"/>
  <c r="W158" i="17"/>
  <c r="V158" i="17"/>
  <c r="T158" i="17"/>
  <c r="S158" i="17"/>
  <c r="R158" i="17"/>
  <c r="O158" i="17"/>
  <c r="L158" i="17"/>
  <c r="M158" i="17" s="1"/>
  <c r="A158" i="17"/>
  <c r="W157" i="17"/>
  <c r="V157" i="17"/>
  <c r="T157" i="17"/>
  <c r="S157" i="17"/>
  <c r="R157" i="17"/>
  <c r="O157" i="17"/>
  <c r="L157" i="17"/>
  <c r="A157" i="17"/>
  <c r="W156" i="17"/>
  <c r="V156" i="17"/>
  <c r="T156" i="17"/>
  <c r="S156" i="17"/>
  <c r="R156" i="17"/>
  <c r="O156" i="17"/>
  <c r="L156" i="17"/>
  <c r="M156" i="17" s="1"/>
  <c r="A156" i="17"/>
  <c r="W155" i="17"/>
  <c r="V155" i="17"/>
  <c r="T155" i="17"/>
  <c r="S155" i="17"/>
  <c r="R155" i="17"/>
  <c r="O155" i="17"/>
  <c r="L155" i="17"/>
  <c r="A155" i="17"/>
  <c r="W154" i="17"/>
  <c r="V154" i="17"/>
  <c r="T154" i="17"/>
  <c r="S154" i="17"/>
  <c r="R154" i="17"/>
  <c r="O154" i="17"/>
  <c r="L154" i="17"/>
  <c r="M154" i="17" s="1"/>
  <c r="A154" i="17"/>
  <c r="W153" i="17"/>
  <c r="V153" i="17"/>
  <c r="T153" i="17"/>
  <c r="S153" i="17"/>
  <c r="R153" i="17"/>
  <c r="O153" i="17"/>
  <c r="L153" i="17"/>
  <c r="M153" i="17" s="1"/>
  <c r="A153" i="17"/>
  <c r="W152" i="17"/>
  <c r="V152" i="17"/>
  <c r="T152" i="17"/>
  <c r="S152" i="17"/>
  <c r="R152" i="17"/>
  <c r="O152" i="17"/>
  <c r="L152" i="17"/>
  <c r="M152" i="17" s="1"/>
  <c r="A152" i="17"/>
  <c r="W151" i="17"/>
  <c r="V151" i="17"/>
  <c r="T151" i="17"/>
  <c r="S151" i="17"/>
  <c r="R151" i="17"/>
  <c r="O151" i="17"/>
  <c r="L151" i="17"/>
  <c r="A151" i="17"/>
  <c r="W150" i="17"/>
  <c r="V150" i="17"/>
  <c r="T150" i="17"/>
  <c r="S150" i="17"/>
  <c r="R150" i="17"/>
  <c r="O150" i="17"/>
  <c r="L150" i="17"/>
  <c r="M150" i="17" s="1"/>
  <c r="A150" i="17"/>
  <c r="W149" i="17"/>
  <c r="J23" i="65" s="1"/>
  <c r="V149" i="17"/>
  <c r="U149" i="17"/>
  <c r="T149" i="17"/>
  <c r="G23" i="65" s="1"/>
  <c r="S149" i="17"/>
  <c r="F23" i="65" s="1"/>
  <c r="R149" i="17"/>
  <c r="P149" i="17"/>
  <c r="C23" i="65" s="1"/>
  <c r="O149" i="17"/>
  <c r="B23" i="65" s="1"/>
  <c r="L149" i="17"/>
  <c r="A149" i="17"/>
  <c r="W148" i="17"/>
  <c r="J22" i="65" s="1"/>
  <c r="V148" i="17"/>
  <c r="I22" i="65" s="1"/>
  <c r="U148" i="17"/>
  <c r="H22" i="65" s="1"/>
  <c r="T148" i="17"/>
  <c r="G22" i="65" s="1"/>
  <c r="S148" i="17"/>
  <c r="F22" i="65" s="1"/>
  <c r="R148" i="17"/>
  <c r="E22" i="65" s="1"/>
  <c r="P148" i="17"/>
  <c r="C22" i="65" s="1"/>
  <c r="O148" i="17"/>
  <c r="B22" i="65" s="1"/>
  <c r="L148" i="17"/>
  <c r="M148" i="17" s="1"/>
  <c r="A148" i="17"/>
  <c r="W147" i="17"/>
  <c r="J21" i="65" s="1"/>
  <c r="V147" i="17"/>
  <c r="U147" i="17"/>
  <c r="T147" i="17"/>
  <c r="G21" i="65" s="1"/>
  <c r="S147" i="17"/>
  <c r="F21" i="65" s="1"/>
  <c r="R147" i="17"/>
  <c r="P147" i="17"/>
  <c r="C21" i="65" s="1"/>
  <c r="O147" i="17"/>
  <c r="B21" i="65" s="1"/>
  <c r="L147" i="17"/>
  <c r="A147" i="17"/>
  <c r="W146" i="17"/>
  <c r="J20" i="65" s="1"/>
  <c r="V146" i="17"/>
  <c r="I20" i="65" s="1"/>
  <c r="U146" i="17"/>
  <c r="H20" i="65" s="1"/>
  <c r="T146" i="17"/>
  <c r="G20" i="65" s="1"/>
  <c r="S146" i="17"/>
  <c r="F20" i="65" s="1"/>
  <c r="R146" i="17"/>
  <c r="E20" i="65" s="1"/>
  <c r="P146" i="17"/>
  <c r="C20" i="65" s="1"/>
  <c r="O146" i="17"/>
  <c r="B20" i="65" s="1"/>
  <c r="L146" i="17"/>
  <c r="M146" i="17" s="1"/>
  <c r="A146" i="17"/>
  <c r="W145" i="17"/>
  <c r="J19" i="65" s="1"/>
  <c r="V145" i="17"/>
  <c r="U145" i="17"/>
  <c r="T145" i="17"/>
  <c r="G19" i="65" s="1"/>
  <c r="S145" i="17"/>
  <c r="F19" i="65" s="1"/>
  <c r="R145" i="17"/>
  <c r="P145" i="17"/>
  <c r="C19" i="65" s="1"/>
  <c r="O145" i="17"/>
  <c r="B19" i="65" s="1"/>
  <c r="L145" i="17"/>
  <c r="A145" i="17"/>
  <c r="W144" i="17"/>
  <c r="J18" i="65" s="1"/>
  <c r="V144" i="17"/>
  <c r="I18" i="65" s="1"/>
  <c r="U144" i="17"/>
  <c r="H18" i="65" s="1"/>
  <c r="T144" i="17"/>
  <c r="G18" i="65" s="1"/>
  <c r="S144" i="17"/>
  <c r="F18" i="65" s="1"/>
  <c r="R144" i="17"/>
  <c r="E18" i="65" s="1"/>
  <c r="P144" i="17"/>
  <c r="C18" i="65" s="1"/>
  <c r="O144" i="17"/>
  <c r="B18" i="65" s="1"/>
  <c r="L144" i="17"/>
  <c r="M144" i="17" s="1"/>
  <c r="A144" i="17"/>
  <c r="W143" i="17"/>
  <c r="J17" i="65" s="1"/>
  <c r="V143" i="17"/>
  <c r="U143" i="17"/>
  <c r="T143" i="17"/>
  <c r="G17" i="65" s="1"/>
  <c r="S143" i="17"/>
  <c r="F17" i="65" s="1"/>
  <c r="R143" i="17"/>
  <c r="P143" i="17"/>
  <c r="C17" i="65" s="1"/>
  <c r="O143" i="17"/>
  <c r="B17" i="65" s="1"/>
  <c r="L143" i="17"/>
  <c r="A143" i="17"/>
  <c r="W142" i="17"/>
  <c r="J16" i="65" s="1"/>
  <c r="V142" i="17"/>
  <c r="I16" i="65" s="1"/>
  <c r="U142" i="17"/>
  <c r="H16" i="65" s="1"/>
  <c r="T142" i="17"/>
  <c r="G16" i="65" s="1"/>
  <c r="S142" i="17"/>
  <c r="F16" i="65" s="1"/>
  <c r="R142" i="17"/>
  <c r="E16" i="65" s="1"/>
  <c r="P142" i="17"/>
  <c r="C16" i="65" s="1"/>
  <c r="O142" i="17"/>
  <c r="B16" i="65" s="1"/>
  <c r="L142" i="17"/>
  <c r="A142" i="17"/>
  <c r="W141" i="17"/>
  <c r="J15" i="65" s="1"/>
  <c r="V141" i="17"/>
  <c r="U141" i="17"/>
  <c r="T141" i="17"/>
  <c r="G15" i="65" s="1"/>
  <c r="S141" i="17"/>
  <c r="F15" i="65" s="1"/>
  <c r="R141" i="17"/>
  <c r="E15" i="65" s="1"/>
  <c r="P141" i="17"/>
  <c r="C15" i="65" s="1"/>
  <c r="O141" i="17"/>
  <c r="B15" i="65" s="1"/>
  <c r="L141" i="17"/>
  <c r="A141" i="17"/>
  <c r="W140" i="17"/>
  <c r="J14" i="65" s="1"/>
  <c r="V140" i="17"/>
  <c r="U140" i="17"/>
  <c r="T140" i="17"/>
  <c r="G14" i="65" s="1"/>
  <c r="S140" i="17"/>
  <c r="F14" i="65" s="1"/>
  <c r="R140" i="17"/>
  <c r="P140" i="17"/>
  <c r="C14" i="65" s="1"/>
  <c r="O140" i="17"/>
  <c r="B14" i="65" s="1"/>
  <c r="L140" i="17"/>
  <c r="A140" i="17"/>
  <c r="W139" i="17"/>
  <c r="J13" i="65" s="1"/>
  <c r="V139" i="17"/>
  <c r="I13" i="65" s="1"/>
  <c r="U139" i="17"/>
  <c r="H13" i="65" s="1"/>
  <c r="T139" i="17"/>
  <c r="G13" i="65" s="1"/>
  <c r="S139" i="17"/>
  <c r="F13" i="65" s="1"/>
  <c r="R139" i="17"/>
  <c r="E13" i="65" s="1"/>
  <c r="P139" i="17"/>
  <c r="C13" i="65" s="1"/>
  <c r="O139" i="17"/>
  <c r="B13" i="65" s="1"/>
  <c r="L139" i="17"/>
  <c r="A139" i="17"/>
  <c r="W138" i="17"/>
  <c r="J12" i="65" s="1"/>
  <c r="V138" i="17"/>
  <c r="U138" i="17"/>
  <c r="T138" i="17"/>
  <c r="G12" i="65" s="1"/>
  <c r="S138" i="17"/>
  <c r="F12" i="65" s="1"/>
  <c r="R138" i="17"/>
  <c r="P138" i="17"/>
  <c r="C12" i="65" s="1"/>
  <c r="O138" i="17"/>
  <c r="B12" i="65" s="1"/>
  <c r="L138" i="17"/>
  <c r="A138" i="17"/>
  <c r="W137" i="17"/>
  <c r="J11" i="65" s="1"/>
  <c r="V137" i="17"/>
  <c r="U137" i="17"/>
  <c r="T137" i="17"/>
  <c r="G11" i="65" s="1"/>
  <c r="S137" i="17"/>
  <c r="F11" i="65" s="1"/>
  <c r="R137" i="17"/>
  <c r="E11" i="65" s="1"/>
  <c r="P137" i="17"/>
  <c r="C11" i="65" s="1"/>
  <c r="O137" i="17"/>
  <c r="B11" i="65" s="1"/>
  <c r="L137" i="17"/>
  <c r="A137" i="17"/>
  <c r="W136" i="17"/>
  <c r="J10" i="65" s="1"/>
  <c r="V136" i="17"/>
  <c r="I10" i="65" s="1"/>
  <c r="U136" i="17"/>
  <c r="H10" i="65" s="1"/>
  <c r="T136" i="17"/>
  <c r="G10" i="65" s="1"/>
  <c r="S136" i="17"/>
  <c r="F10" i="65" s="1"/>
  <c r="R136" i="17"/>
  <c r="E10" i="65" s="1"/>
  <c r="P136" i="17"/>
  <c r="C10" i="65" s="1"/>
  <c r="O136" i="17"/>
  <c r="B10" i="65" s="1"/>
  <c r="L136" i="17"/>
  <c r="A136" i="17"/>
  <c r="W135" i="17"/>
  <c r="J9" i="65" s="1"/>
  <c r="V135" i="17"/>
  <c r="U135" i="17"/>
  <c r="T135" i="17"/>
  <c r="S135" i="17"/>
  <c r="F9" i="65" s="1"/>
  <c r="R135" i="17"/>
  <c r="E9" i="65" s="1"/>
  <c r="P135" i="17"/>
  <c r="C9" i="65" s="1"/>
  <c r="O135" i="17"/>
  <c r="B9" i="65" s="1"/>
  <c r="L135" i="17"/>
  <c r="A135" i="17"/>
  <c r="W134" i="17"/>
  <c r="J8" i="65" s="1"/>
  <c r="V134" i="17"/>
  <c r="U134" i="17"/>
  <c r="T134" i="17"/>
  <c r="G8" i="65" s="1"/>
  <c r="S134" i="17"/>
  <c r="F8" i="65" s="1"/>
  <c r="R134" i="17"/>
  <c r="P134" i="17"/>
  <c r="C8" i="65" s="1"/>
  <c r="O134" i="17"/>
  <c r="B8" i="65" s="1"/>
  <c r="L134" i="17"/>
  <c r="A134" i="17"/>
  <c r="W133" i="17"/>
  <c r="J7" i="65" s="1"/>
  <c r="V133" i="17"/>
  <c r="I7" i="65" s="1"/>
  <c r="U133" i="17"/>
  <c r="H7" i="65" s="1"/>
  <c r="T133" i="17"/>
  <c r="G7" i="65" s="1"/>
  <c r="S133" i="17"/>
  <c r="F7" i="65" s="1"/>
  <c r="R133" i="17"/>
  <c r="E7" i="65" s="1"/>
  <c r="P133" i="17"/>
  <c r="C7" i="65" s="1"/>
  <c r="O133" i="17"/>
  <c r="B7" i="65" s="1"/>
  <c r="L133" i="17"/>
  <c r="A133" i="17"/>
  <c r="W132" i="17"/>
  <c r="V132" i="17"/>
  <c r="U132" i="17"/>
  <c r="T132" i="17"/>
  <c r="S132" i="17"/>
  <c r="R132" i="17"/>
  <c r="P132" i="17"/>
  <c r="O132" i="17"/>
  <c r="L132" i="17"/>
  <c r="A132" i="17"/>
  <c r="W131" i="17"/>
  <c r="V131" i="17"/>
  <c r="U131" i="17"/>
  <c r="T131" i="17"/>
  <c r="S131" i="17"/>
  <c r="R131" i="17"/>
  <c r="P131" i="17"/>
  <c r="O131" i="17"/>
  <c r="L131" i="17"/>
  <c r="A131" i="17"/>
  <c r="W130" i="17"/>
  <c r="V130" i="17"/>
  <c r="U130" i="17"/>
  <c r="T130" i="17"/>
  <c r="S130" i="17"/>
  <c r="R130" i="17"/>
  <c r="P130" i="17"/>
  <c r="O130" i="17"/>
  <c r="L130" i="17"/>
  <c r="A130" i="17"/>
  <c r="W129" i="17"/>
  <c r="V129" i="17"/>
  <c r="U129" i="17"/>
  <c r="T129" i="17"/>
  <c r="S129" i="17"/>
  <c r="R129" i="17"/>
  <c r="P129" i="17"/>
  <c r="O129" i="17"/>
  <c r="L129" i="17"/>
  <c r="A129" i="17"/>
  <c r="W128" i="17"/>
  <c r="V128" i="17"/>
  <c r="U128" i="17"/>
  <c r="T128" i="17"/>
  <c r="S128" i="17"/>
  <c r="R128" i="17"/>
  <c r="P128" i="17"/>
  <c r="O128" i="17"/>
  <c r="L128" i="17"/>
  <c r="A128" i="17"/>
  <c r="W127" i="17"/>
  <c r="V127" i="17"/>
  <c r="U127" i="17"/>
  <c r="T127" i="17"/>
  <c r="S127" i="17"/>
  <c r="R127" i="17"/>
  <c r="P127" i="17"/>
  <c r="O127" i="17"/>
  <c r="L127" i="17"/>
  <c r="A127" i="17"/>
  <c r="W126" i="17"/>
  <c r="V126" i="17"/>
  <c r="U126" i="17"/>
  <c r="T126" i="17"/>
  <c r="S126" i="17"/>
  <c r="R126" i="17"/>
  <c r="P126" i="17"/>
  <c r="O126" i="17"/>
  <c r="L126" i="17"/>
  <c r="A126" i="17"/>
  <c r="W125" i="17"/>
  <c r="V125" i="17"/>
  <c r="U125" i="17"/>
  <c r="T125" i="17"/>
  <c r="S125" i="17"/>
  <c r="R125" i="17"/>
  <c r="P125" i="17"/>
  <c r="O125" i="17"/>
  <c r="L125" i="17"/>
  <c r="A125" i="17"/>
  <c r="W124" i="17"/>
  <c r="V124" i="17"/>
  <c r="U124" i="17"/>
  <c r="T124" i="17"/>
  <c r="S124" i="17"/>
  <c r="R124" i="17"/>
  <c r="P124" i="17"/>
  <c r="O124" i="17"/>
  <c r="L124" i="17"/>
  <c r="A124" i="17"/>
  <c r="W123" i="17"/>
  <c r="V123" i="17"/>
  <c r="U123" i="17"/>
  <c r="T123" i="17"/>
  <c r="S123" i="17"/>
  <c r="R123" i="17"/>
  <c r="P123" i="17"/>
  <c r="O123" i="17"/>
  <c r="L123" i="17"/>
  <c r="A123" i="17"/>
  <c r="W122" i="17"/>
  <c r="V122" i="17"/>
  <c r="U122" i="17"/>
  <c r="T122" i="17"/>
  <c r="S122" i="17"/>
  <c r="R122" i="17"/>
  <c r="P122" i="17"/>
  <c r="O122" i="17"/>
  <c r="L122" i="17"/>
  <c r="A122" i="17"/>
  <c r="W121" i="17"/>
  <c r="V121" i="17"/>
  <c r="U121" i="17"/>
  <c r="T121" i="17"/>
  <c r="S121" i="17"/>
  <c r="R121" i="17"/>
  <c r="P121" i="17"/>
  <c r="O121" i="17"/>
  <c r="L121" i="17"/>
  <c r="A121" i="17"/>
  <c r="W120" i="17"/>
  <c r="V120" i="17"/>
  <c r="U120" i="17"/>
  <c r="T120" i="17"/>
  <c r="S120" i="17"/>
  <c r="R120" i="17"/>
  <c r="P120" i="17"/>
  <c r="C26" i="40" s="1"/>
  <c r="O120" i="17"/>
  <c r="L120" i="17"/>
  <c r="A120" i="17"/>
  <c r="W119" i="17"/>
  <c r="V119" i="17"/>
  <c r="U119" i="17"/>
  <c r="T119" i="17"/>
  <c r="S119" i="17"/>
  <c r="R119" i="17"/>
  <c r="P119" i="17"/>
  <c r="O119" i="17"/>
  <c r="L119" i="17"/>
  <c r="A119" i="17"/>
  <c r="W118" i="17"/>
  <c r="V118" i="17"/>
  <c r="U118" i="17"/>
  <c r="T118" i="17"/>
  <c r="S118" i="17"/>
  <c r="P118" i="17"/>
  <c r="O118" i="17"/>
  <c r="L118" i="17"/>
  <c r="A118" i="17"/>
  <c r="W117" i="17"/>
  <c r="V117" i="17"/>
  <c r="U117" i="17"/>
  <c r="T117" i="17"/>
  <c r="S117" i="17"/>
  <c r="R117" i="17"/>
  <c r="P117" i="17"/>
  <c r="O117" i="17"/>
  <c r="L117" i="17"/>
  <c r="A117" i="17"/>
  <c r="W116" i="17"/>
  <c r="V116" i="17"/>
  <c r="U116" i="17"/>
  <c r="T116" i="17"/>
  <c r="S116" i="17"/>
  <c r="R116" i="17"/>
  <c r="P116" i="17"/>
  <c r="O116" i="17"/>
  <c r="L116" i="17"/>
  <c r="A116" i="17"/>
  <c r="W115" i="17"/>
  <c r="V115" i="17"/>
  <c r="U115" i="17"/>
  <c r="T115" i="17"/>
  <c r="S115" i="17"/>
  <c r="R115" i="17"/>
  <c r="P115" i="17"/>
  <c r="O115" i="17"/>
  <c r="L115" i="17"/>
  <c r="A115" i="17"/>
  <c r="W114" i="17"/>
  <c r="V114" i="17"/>
  <c r="U114" i="17"/>
  <c r="T114" i="17"/>
  <c r="S114" i="17"/>
  <c r="R114" i="17"/>
  <c r="P114" i="17"/>
  <c r="O114" i="17"/>
  <c r="L114" i="17"/>
  <c r="A114" i="17"/>
  <c r="W113" i="17"/>
  <c r="V113" i="17"/>
  <c r="U113" i="17"/>
  <c r="T113" i="17"/>
  <c r="S113" i="17"/>
  <c r="R113" i="17"/>
  <c r="P113" i="17"/>
  <c r="O113" i="17"/>
  <c r="L113" i="17"/>
  <c r="A113" i="17"/>
  <c r="W112" i="17"/>
  <c r="V112" i="17"/>
  <c r="U112" i="17"/>
  <c r="T112" i="17"/>
  <c r="S112" i="17"/>
  <c r="R112" i="17"/>
  <c r="P112" i="17"/>
  <c r="O112" i="17"/>
  <c r="L112" i="17"/>
  <c r="A112" i="17"/>
  <c r="W111" i="17"/>
  <c r="V111" i="17"/>
  <c r="U111" i="17"/>
  <c r="T111" i="17"/>
  <c r="S111" i="17"/>
  <c r="R111" i="17"/>
  <c r="P111" i="17"/>
  <c r="O111" i="17"/>
  <c r="L111" i="17"/>
  <c r="A111" i="17"/>
  <c r="W110" i="17"/>
  <c r="V110" i="17"/>
  <c r="U110" i="17"/>
  <c r="T110" i="17"/>
  <c r="S110" i="17"/>
  <c r="R110" i="17"/>
  <c r="P110" i="17"/>
  <c r="O110" i="17"/>
  <c r="L110" i="17"/>
  <c r="A110" i="17"/>
  <c r="W109" i="17"/>
  <c r="V109" i="17"/>
  <c r="U109" i="17"/>
  <c r="T109" i="17"/>
  <c r="S109" i="17"/>
  <c r="R109" i="17"/>
  <c r="P109" i="17"/>
  <c r="O109" i="17"/>
  <c r="L109" i="17"/>
  <c r="A109" i="17"/>
  <c r="W108" i="17"/>
  <c r="V108" i="17"/>
  <c r="U108" i="17"/>
  <c r="T108" i="17"/>
  <c r="S108" i="17"/>
  <c r="R108" i="17"/>
  <c r="P108" i="17"/>
  <c r="O108" i="17"/>
  <c r="L108" i="17"/>
  <c r="A108" i="17"/>
  <c r="W107" i="17"/>
  <c r="V107" i="17"/>
  <c r="U107" i="17"/>
  <c r="T107" i="17"/>
  <c r="S107" i="17"/>
  <c r="R107" i="17"/>
  <c r="P107" i="17"/>
  <c r="O107" i="17"/>
  <c r="L107" i="17"/>
  <c r="A107" i="17"/>
  <c r="W106" i="17"/>
  <c r="V106" i="17"/>
  <c r="U106" i="17"/>
  <c r="T106" i="17"/>
  <c r="S106" i="17"/>
  <c r="R106" i="17"/>
  <c r="P106" i="17"/>
  <c r="O106" i="17"/>
  <c r="L106" i="17"/>
  <c r="A106" i="17"/>
  <c r="W105" i="17"/>
  <c r="J21" i="61" s="1"/>
  <c r="V105" i="17"/>
  <c r="U105" i="17"/>
  <c r="T105" i="17"/>
  <c r="S105" i="17"/>
  <c r="R105" i="17"/>
  <c r="P105" i="17"/>
  <c r="O105" i="17"/>
  <c r="L105" i="17"/>
  <c r="A105" i="17"/>
  <c r="W104" i="17"/>
  <c r="J20" i="61" s="1"/>
  <c r="V104" i="17"/>
  <c r="U104" i="17"/>
  <c r="T104" i="17"/>
  <c r="S104" i="17"/>
  <c r="R104" i="17"/>
  <c r="P104" i="17"/>
  <c r="O104" i="17"/>
  <c r="L104" i="17"/>
  <c r="A104" i="17"/>
  <c r="W103" i="17"/>
  <c r="V103" i="17"/>
  <c r="U103" i="17"/>
  <c r="T103" i="17"/>
  <c r="S103" i="17"/>
  <c r="R103" i="17"/>
  <c r="P103" i="17"/>
  <c r="O103" i="17"/>
  <c r="L103" i="17"/>
  <c r="A103" i="17"/>
  <c r="W102" i="17"/>
  <c r="J18" i="61" s="1"/>
  <c r="V102" i="17"/>
  <c r="U102" i="17"/>
  <c r="T102" i="17"/>
  <c r="S102" i="17"/>
  <c r="R102" i="17"/>
  <c r="P102" i="17"/>
  <c r="C25" i="40" s="1"/>
  <c r="O102" i="17"/>
  <c r="L102" i="17"/>
  <c r="A102" i="17"/>
  <c r="W101" i="17"/>
  <c r="J17" i="61" s="1"/>
  <c r="V101" i="17"/>
  <c r="U101" i="17"/>
  <c r="T101" i="17"/>
  <c r="S101" i="17"/>
  <c r="R101" i="17"/>
  <c r="P101" i="17"/>
  <c r="O101" i="17"/>
  <c r="L101" i="17"/>
  <c r="A101" i="17"/>
  <c r="W100" i="17"/>
  <c r="J16" i="61" s="1"/>
  <c r="V100" i="17"/>
  <c r="U100" i="17"/>
  <c r="T100" i="17"/>
  <c r="S100" i="17"/>
  <c r="R100" i="17"/>
  <c r="P100" i="17"/>
  <c r="O100" i="17"/>
  <c r="L100" i="17"/>
  <c r="A100" i="17"/>
  <c r="W99" i="17"/>
  <c r="J15" i="61" s="1"/>
  <c r="V99" i="17"/>
  <c r="U99" i="17"/>
  <c r="T99" i="17"/>
  <c r="S99" i="17"/>
  <c r="R99" i="17"/>
  <c r="P99" i="17"/>
  <c r="O99" i="17"/>
  <c r="L99" i="17"/>
  <c r="A99" i="17"/>
  <c r="W98" i="17"/>
  <c r="J14" i="61" s="1"/>
  <c r="V98" i="17"/>
  <c r="U98" i="17"/>
  <c r="T98" i="17"/>
  <c r="S98" i="17"/>
  <c r="R98" i="17"/>
  <c r="P98" i="17"/>
  <c r="O98" i="17"/>
  <c r="L98" i="17"/>
  <c r="A98" i="17"/>
  <c r="W97" i="17"/>
  <c r="J13" i="61" s="1"/>
  <c r="V97" i="17"/>
  <c r="U97" i="17"/>
  <c r="H24" i="40" s="1"/>
  <c r="T97" i="17"/>
  <c r="S97" i="17"/>
  <c r="R97" i="17"/>
  <c r="P97" i="17"/>
  <c r="C24" i="40" s="1"/>
  <c r="O97" i="17"/>
  <c r="L97" i="17"/>
  <c r="A97" i="17"/>
  <c r="W96" i="17"/>
  <c r="J12" i="61" s="1"/>
  <c r="V96" i="17"/>
  <c r="U96" i="17"/>
  <c r="T96" i="17"/>
  <c r="S96" i="17"/>
  <c r="R96" i="17"/>
  <c r="P96" i="17"/>
  <c r="O96" i="17"/>
  <c r="L96" i="17"/>
  <c r="A96" i="17"/>
  <c r="W95" i="17"/>
  <c r="V95" i="17"/>
  <c r="U95" i="17"/>
  <c r="T95" i="17"/>
  <c r="S95" i="17"/>
  <c r="R95" i="17"/>
  <c r="P95" i="17"/>
  <c r="O95" i="17"/>
  <c r="L95" i="17"/>
  <c r="A95" i="17"/>
  <c r="W94" i="17"/>
  <c r="V94" i="17"/>
  <c r="U94" i="17"/>
  <c r="T94" i="17"/>
  <c r="S94" i="17"/>
  <c r="R94" i="17"/>
  <c r="P94" i="17"/>
  <c r="O94" i="17"/>
  <c r="L94" i="17"/>
  <c r="A94" i="17"/>
  <c r="W93" i="17"/>
  <c r="V93" i="17"/>
  <c r="U93" i="17"/>
  <c r="T93" i="17"/>
  <c r="S93" i="17"/>
  <c r="R93" i="17"/>
  <c r="P93" i="17"/>
  <c r="O93" i="17"/>
  <c r="L93" i="17"/>
  <c r="A93" i="17"/>
  <c r="W92" i="17"/>
  <c r="V92" i="17"/>
  <c r="U92" i="17"/>
  <c r="T92" i="17"/>
  <c r="S92" i="17"/>
  <c r="R92" i="17"/>
  <c r="P92" i="17"/>
  <c r="O92" i="17"/>
  <c r="L92" i="17"/>
  <c r="A92" i="17"/>
  <c r="W91" i="17"/>
  <c r="V91" i="17"/>
  <c r="U91" i="17"/>
  <c r="T91" i="17"/>
  <c r="S91" i="17"/>
  <c r="R91" i="17"/>
  <c r="P91" i="17"/>
  <c r="O91" i="17"/>
  <c r="L91" i="17"/>
  <c r="A91" i="17"/>
  <c r="W90" i="17"/>
  <c r="V90" i="17"/>
  <c r="U90" i="17"/>
  <c r="T90" i="17"/>
  <c r="S90" i="17"/>
  <c r="R90" i="17"/>
  <c r="P90" i="17"/>
  <c r="O90" i="17"/>
  <c r="L90" i="17"/>
  <c r="A90" i="17"/>
  <c r="W89" i="17"/>
  <c r="V89" i="17"/>
  <c r="U89" i="17"/>
  <c r="T89" i="17"/>
  <c r="S89" i="17"/>
  <c r="R89" i="17"/>
  <c r="P89" i="17"/>
  <c r="O89" i="17"/>
  <c r="L89" i="17"/>
  <c r="A89" i="17"/>
  <c r="W88" i="17"/>
  <c r="V88" i="17"/>
  <c r="U88" i="17"/>
  <c r="T88" i="17"/>
  <c r="S88" i="17"/>
  <c r="R88" i="17"/>
  <c r="P88" i="17"/>
  <c r="O88" i="17"/>
  <c r="L88" i="17"/>
  <c r="A88" i="17"/>
  <c r="W87" i="17"/>
  <c r="V87" i="17"/>
  <c r="U87" i="17"/>
  <c r="T87" i="17"/>
  <c r="S87" i="17"/>
  <c r="R87" i="17"/>
  <c r="P87" i="17"/>
  <c r="O87" i="17"/>
  <c r="L87" i="17"/>
  <c r="A87" i="17"/>
  <c r="W86" i="17"/>
  <c r="V86" i="17"/>
  <c r="U86" i="17"/>
  <c r="T86" i="17"/>
  <c r="S86" i="17"/>
  <c r="R86" i="17"/>
  <c r="P86" i="17"/>
  <c r="O86" i="17"/>
  <c r="L86" i="17"/>
  <c r="A86" i="17"/>
  <c r="W85" i="17"/>
  <c r="V85" i="17"/>
  <c r="U85" i="17"/>
  <c r="T85" i="17"/>
  <c r="S85" i="17"/>
  <c r="R85" i="17"/>
  <c r="P85" i="17"/>
  <c r="O85" i="17"/>
  <c r="L85" i="17"/>
  <c r="A85" i="17"/>
  <c r="W84" i="17"/>
  <c r="V84" i="17"/>
  <c r="U84" i="17"/>
  <c r="T84" i="17"/>
  <c r="S84" i="17"/>
  <c r="R84" i="17"/>
  <c r="P84" i="17"/>
  <c r="O84" i="17"/>
  <c r="L84" i="17"/>
  <c r="A84" i="17"/>
  <c r="W83" i="17"/>
  <c r="V83" i="17"/>
  <c r="U83" i="17"/>
  <c r="T83" i="17"/>
  <c r="S83" i="17"/>
  <c r="R83" i="17"/>
  <c r="P83" i="17"/>
  <c r="O83" i="17"/>
  <c r="L83" i="17"/>
  <c r="A83" i="17"/>
  <c r="W82" i="17"/>
  <c r="V82" i="17"/>
  <c r="U82" i="17"/>
  <c r="T82" i="17"/>
  <c r="S82" i="17"/>
  <c r="R82" i="17"/>
  <c r="P82" i="17"/>
  <c r="O82" i="17"/>
  <c r="L82" i="17"/>
  <c r="A82" i="17"/>
  <c r="W81" i="17"/>
  <c r="V81" i="17"/>
  <c r="U81" i="17"/>
  <c r="T81" i="17"/>
  <c r="S81" i="17"/>
  <c r="R81" i="17"/>
  <c r="P81" i="17"/>
  <c r="O81" i="17"/>
  <c r="L81" i="17"/>
  <c r="A81" i="17"/>
  <c r="W80" i="17"/>
  <c r="V80" i="17"/>
  <c r="U80" i="17"/>
  <c r="T80" i="17"/>
  <c r="S80" i="17"/>
  <c r="R80" i="17"/>
  <c r="P80" i="17"/>
  <c r="O80" i="17"/>
  <c r="L80" i="17"/>
  <c r="A80" i="17"/>
  <c r="W79" i="17"/>
  <c r="V79" i="17"/>
  <c r="U79" i="17"/>
  <c r="T79" i="17"/>
  <c r="S79" i="17"/>
  <c r="R79" i="17"/>
  <c r="P79" i="17"/>
  <c r="O79" i="17"/>
  <c r="L79" i="17"/>
  <c r="A79" i="17"/>
  <c r="W78" i="17"/>
  <c r="V78" i="17"/>
  <c r="U78" i="17"/>
  <c r="T78" i="17"/>
  <c r="S78" i="17"/>
  <c r="R78" i="17"/>
  <c r="P78" i="17"/>
  <c r="O78" i="17"/>
  <c r="L78" i="17"/>
  <c r="M78" i="17" s="1"/>
  <c r="A78" i="17"/>
  <c r="W77" i="17"/>
  <c r="V77" i="17"/>
  <c r="U77" i="17"/>
  <c r="T77" i="17"/>
  <c r="S77" i="17"/>
  <c r="R77" i="17"/>
  <c r="P77" i="17"/>
  <c r="O77" i="17"/>
  <c r="L77" i="17"/>
  <c r="M77" i="17" s="1"/>
  <c r="A77" i="17"/>
  <c r="W76" i="17"/>
  <c r="V76" i="17"/>
  <c r="U76" i="17"/>
  <c r="T76" i="17"/>
  <c r="S76" i="17"/>
  <c r="R76" i="17"/>
  <c r="P76" i="17"/>
  <c r="O76" i="17"/>
  <c r="L76" i="17"/>
  <c r="M76" i="17" s="1"/>
  <c r="A76" i="17"/>
  <c r="W75" i="17"/>
  <c r="V75" i="17"/>
  <c r="U75" i="17"/>
  <c r="T75" i="17"/>
  <c r="S75" i="17"/>
  <c r="R75" i="17"/>
  <c r="P75" i="17"/>
  <c r="O75" i="17"/>
  <c r="L75" i="17"/>
  <c r="M75" i="17" s="1"/>
  <c r="A75" i="17"/>
  <c r="W74" i="17"/>
  <c r="V74" i="17"/>
  <c r="U74" i="17"/>
  <c r="T74" i="17"/>
  <c r="S74" i="17"/>
  <c r="R74" i="17"/>
  <c r="P74" i="17"/>
  <c r="O74" i="17"/>
  <c r="L74" i="17"/>
  <c r="M74" i="17" s="1"/>
  <c r="A74" i="17"/>
  <c r="W73" i="17"/>
  <c r="V73" i="17"/>
  <c r="U73" i="17"/>
  <c r="T73" i="17"/>
  <c r="S73" i="17"/>
  <c r="R73" i="17"/>
  <c r="P73" i="17"/>
  <c r="O73" i="17"/>
  <c r="L73" i="17"/>
  <c r="M73" i="17" s="1"/>
  <c r="A73" i="17"/>
  <c r="W72" i="17"/>
  <c r="V72" i="17"/>
  <c r="U72" i="17"/>
  <c r="T72" i="17"/>
  <c r="S72" i="17"/>
  <c r="R72" i="17"/>
  <c r="P72" i="17"/>
  <c r="O72" i="17"/>
  <c r="L72" i="17"/>
  <c r="M72" i="17" s="1"/>
  <c r="A72" i="17"/>
  <c r="W71" i="17"/>
  <c r="V71" i="17"/>
  <c r="U71" i="17"/>
  <c r="T71" i="17"/>
  <c r="S71" i="17"/>
  <c r="R71" i="17"/>
  <c r="P71" i="17"/>
  <c r="O71" i="17"/>
  <c r="L71" i="17"/>
  <c r="M71" i="17" s="1"/>
  <c r="A71" i="17"/>
  <c r="W70" i="17"/>
  <c r="V70" i="17"/>
  <c r="U70" i="17"/>
  <c r="T70" i="17"/>
  <c r="S70" i="17"/>
  <c r="R70" i="17"/>
  <c r="P70" i="17"/>
  <c r="O70" i="17"/>
  <c r="L70" i="17"/>
  <c r="M70" i="17" s="1"/>
  <c r="A70" i="17"/>
  <c r="W69" i="17"/>
  <c r="V69" i="17"/>
  <c r="U69" i="17"/>
  <c r="T69" i="17"/>
  <c r="S69" i="17"/>
  <c r="R69" i="17"/>
  <c r="P69" i="17"/>
  <c r="O69" i="17"/>
  <c r="L69" i="17"/>
  <c r="M69" i="17" s="1"/>
  <c r="A69" i="17"/>
  <c r="W68" i="17"/>
  <c r="V68" i="17"/>
  <c r="U68" i="17"/>
  <c r="T68" i="17"/>
  <c r="S68" i="17"/>
  <c r="R68" i="17"/>
  <c r="P68" i="17"/>
  <c r="O68" i="17"/>
  <c r="L68" i="17"/>
  <c r="M68" i="17" s="1"/>
  <c r="A68" i="17"/>
  <c r="W67" i="17"/>
  <c r="V67" i="17"/>
  <c r="U67" i="17"/>
  <c r="T67" i="17"/>
  <c r="S67" i="17"/>
  <c r="R67" i="17"/>
  <c r="P67" i="17"/>
  <c r="O67" i="17"/>
  <c r="L67" i="17"/>
  <c r="M67" i="17" s="1"/>
  <c r="A67" i="17"/>
  <c r="W66" i="17"/>
  <c r="V66" i="17"/>
  <c r="U66" i="17"/>
  <c r="T66" i="17"/>
  <c r="S66" i="17"/>
  <c r="R66" i="17"/>
  <c r="P66" i="17"/>
  <c r="O66" i="17"/>
  <c r="L66" i="17"/>
  <c r="M66" i="17" s="1"/>
  <c r="A66" i="17"/>
  <c r="W65" i="17"/>
  <c r="V65" i="17"/>
  <c r="T65" i="17"/>
  <c r="S65" i="17"/>
  <c r="R65" i="17"/>
  <c r="O65" i="17"/>
  <c r="L65" i="17"/>
  <c r="M65" i="17" s="1"/>
  <c r="A65" i="17"/>
  <c r="W64" i="17"/>
  <c r="V64" i="17"/>
  <c r="T64" i="17"/>
  <c r="S64" i="17"/>
  <c r="R64" i="17"/>
  <c r="O64" i="17"/>
  <c r="L64" i="17"/>
  <c r="M64" i="17" s="1"/>
  <c r="A64" i="17"/>
  <c r="W63" i="17"/>
  <c r="V63" i="17"/>
  <c r="T63" i="17"/>
  <c r="S63" i="17"/>
  <c r="R63" i="17"/>
  <c r="E26" i="49" s="1"/>
  <c r="O63" i="17"/>
  <c r="L63" i="17"/>
  <c r="M63" i="17" s="1"/>
  <c r="A63" i="17"/>
  <c r="W62" i="17"/>
  <c r="V62" i="17"/>
  <c r="T62" i="17"/>
  <c r="S62" i="17"/>
  <c r="R62" i="17"/>
  <c r="O62" i="17"/>
  <c r="L62" i="17"/>
  <c r="M62" i="17" s="1"/>
  <c r="A62" i="17"/>
  <c r="W61" i="17"/>
  <c r="V61" i="17"/>
  <c r="T61" i="17"/>
  <c r="S61" i="17"/>
  <c r="R61" i="17"/>
  <c r="E24" i="49" s="1"/>
  <c r="O61" i="17"/>
  <c r="L61" i="17"/>
  <c r="M61" i="17" s="1"/>
  <c r="A61" i="17"/>
  <c r="W60" i="17"/>
  <c r="V60" i="17"/>
  <c r="T60" i="17"/>
  <c r="S60" i="17"/>
  <c r="R60" i="17"/>
  <c r="O60" i="17"/>
  <c r="L60" i="17"/>
  <c r="M60" i="17" s="1"/>
  <c r="A60" i="17"/>
  <c r="W59" i="17"/>
  <c r="V59" i="17"/>
  <c r="T59" i="17"/>
  <c r="S59" i="17"/>
  <c r="R59" i="17"/>
  <c r="O59" i="17"/>
  <c r="L59" i="17"/>
  <c r="M59" i="17" s="1"/>
  <c r="A59" i="17"/>
  <c r="W58" i="17"/>
  <c r="V58" i="17"/>
  <c r="I21" i="49" s="1"/>
  <c r="T58" i="17"/>
  <c r="S58" i="17"/>
  <c r="R58" i="17"/>
  <c r="E21" i="49" s="1"/>
  <c r="O58" i="17"/>
  <c r="L58" i="17"/>
  <c r="M58" i="17" s="1"/>
  <c r="A58" i="17"/>
  <c r="W57" i="17"/>
  <c r="V57" i="17"/>
  <c r="T57" i="17"/>
  <c r="S57" i="17"/>
  <c r="R57" i="17"/>
  <c r="O57" i="17"/>
  <c r="L57" i="17"/>
  <c r="M57" i="17" s="1"/>
  <c r="A57" i="17"/>
  <c r="W56" i="17"/>
  <c r="V56" i="17"/>
  <c r="T56" i="17"/>
  <c r="S56" i="17"/>
  <c r="R56" i="17"/>
  <c r="O56" i="17"/>
  <c r="L56" i="17"/>
  <c r="M56" i="17" s="1"/>
  <c r="A56" i="17"/>
  <c r="W55" i="17"/>
  <c r="V55" i="17"/>
  <c r="T55" i="17"/>
  <c r="S55" i="17"/>
  <c r="R55" i="17"/>
  <c r="E18" i="49" s="1"/>
  <c r="O55" i="17"/>
  <c r="L55" i="17"/>
  <c r="M55" i="17" s="1"/>
  <c r="A55" i="17"/>
  <c r="W54" i="17"/>
  <c r="V54" i="17"/>
  <c r="T54" i="17"/>
  <c r="S54" i="17"/>
  <c r="R54" i="17"/>
  <c r="O54" i="17"/>
  <c r="L54" i="17"/>
  <c r="M54" i="17" s="1"/>
  <c r="A54" i="17"/>
  <c r="W53" i="17"/>
  <c r="V53" i="17"/>
  <c r="T53" i="17"/>
  <c r="S53" i="17"/>
  <c r="R53" i="17"/>
  <c r="E16" i="49" s="1"/>
  <c r="O53" i="17"/>
  <c r="L53" i="17"/>
  <c r="M53" i="17" s="1"/>
  <c r="A53" i="17"/>
  <c r="W52" i="17"/>
  <c r="V52" i="17"/>
  <c r="T52" i="17"/>
  <c r="S52" i="17"/>
  <c r="R52" i="17"/>
  <c r="O52" i="17"/>
  <c r="L52" i="17"/>
  <c r="M52" i="17" s="1"/>
  <c r="A52" i="17"/>
  <c r="W51" i="17"/>
  <c r="V51" i="17"/>
  <c r="T51" i="17"/>
  <c r="S51" i="17"/>
  <c r="R51" i="17"/>
  <c r="E14" i="49" s="1"/>
  <c r="O51" i="17"/>
  <c r="L51" i="17"/>
  <c r="M51" i="17" s="1"/>
  <c r="A51" i="17"/>
  <c r="W50" i="17"/>
  <c r="V50" i="17"/>
  <c r="T50" i="17"/>
  <c r="S50" i="17"/>
  <c r="R50" i="17"/>
  <c r="O50" i="17"/>
  <c r="L50" i="17"/>
  <c r="M50" i="17" s="1"/>
  <c r="A50" i="17"/>
  <c r="W49" i="17"/>
  <c r="V49" i="17"/>
  <c r="T49" i="17"/>
  <c r="S49" i="17"/>
  <c r="R49" i="17"/>
  <c r="O49" i="17"/>
  <c r="L49" i="17"/>
  <c r="A49" i="17"/>
  <c r="W48" i="17"/>
  <c r="V48" i="17"/>
  <c r="T48" i="17"/>
  <c r="S48" i="17"/>
  <c r="R48" i="17"/>
  <c r="E11" i="49" s="1"/>
  <c r="O48" i="17"/>
  <c r="L48" i="17"/>
  <c r="A48" i="17"/>
  <c r="W47" i="17"/>
  <c r="V47" i="17"/>
  <c r="T47" i="17"/>
  <c r="S47" i="17"/>
  <c r="R47" i="17"/>
  <c r="O47" i="17"/>
  <c r="L47" i="17"/>
  <c r="A47" i="17"/>
  <c r="W46" i="17"/>
  <c r="V46" i="17"/>
  <c r="T46" i="17"/>
  <c r="S46" i="17"/>
  <c r="R46" i="17"/>
  <c r="E9" i="49" s="1"/>
  <c r="O46" i="17"/>
  <c r="L46" i="17"/>
  <c r="A46" i="17"/>
  <c r="W45" i="17"/>
  <c r="V45" i="17"/>
  <c r="T45" i="17"/>
  <c r="S45" i="17"/>
  <c r="R45" i="17"/>
  <c r="E8" i="49" s="1"/>
  <c r="O45" i="17"/>
  <c r="L45" i="17"/>
  <c r="A45" i="17"/>
  <c r="W44" i="17"/>
  <c r="V44" i="17"/>
  <c r="T44" i="17"/>
  <c r="S44" i="17"/>
  <c r="R44" i="17"/>
  <c r="E7" i="49" s="1"/>
  <c r="O44" i="17"/>
  <c r="L44" i="17"/>
  <c r="A44" i="17"/>
  <c r="W43" i="17"/>
  <c r="V43" i="17"/>
  <c r="T43" i="17"/>
  <c r="S43" i="17"/>
  <c r="R43" i="17"/>
  <c r="E6" i="49" s="1"/>
  <c r="O43" i="17"/>
  <c r="L43" i="17"/>
  <c r="A43" i="17"/>
  <c r="W42" i="17"/>
  <c r="J27" i="46" s="1"/>
  <c r="V42" i="17"/>
  <c r="T42" i="17"/>
  <c r="G27" i="46" s="1"/>
  <c r="S42" i="17"/>
  <c r="F27" i="46" s="1"/>
  <c r="R42" i="17"/>
  <c r="O42" i="17"/>
  <c r="B27" i="46" s="1"/>
  <c r="L42" i="17"/>
  <c r="A42" i="17"/>
  <c r="W41" i="17"/>
  <c r="J26" i="46" s="1"/>
  <c r="V41" i="17"/>
  <c r="T41" i="17"/>
  <c r="G26" i="46" s="1"/>
  <c r="S41" i="17"/>
  <c r="F26" i="46" s="1"/>
  <c r="R41" i="17"/>
  <c r="O41" i="17"/>
  <c r="B26" i="46" s="1"/>
  <c r="L41" i="17"/>
  <c r="A41" i="17"/>
  <c r="W40" i="17"/>
  <c r="J25" i="46" s="1"/>
  <c r="V40" i="17"/>
  <c r="T40" i="17"/>
  <c r="G25" i="46" s="1"/>
  <c r="S40" i="17"/>
  <c r="F25" i="46" s="1"/>
  <c r="R40" i="17"/>
  <c r="O40" i="17"/>
  <c r="B25" i="46" s="1"/>
  <c r="L40" i="17"/>
  <c r="A40" i="17"/>
  <c r="W39" i="17"/>
  <c r="J24" i="46" s="1"/>
  <c r="V39" i="17"/>
  <c r="T39" i="17"/>
  <c r="G24" i="46" s="1"/>
  <c r="S39" i="17"/>
  <c r="F24" i="46" s="1"/>
  <c r="R39" i="17"/>
  <c r="O39" i="17"/>
  <c r="B24" i="46" s="1"/>
  <c r="L39" i="17"/>
  <c r="A39" i="17"/>
  <c r="W38" i="17"/>
  <c r="J23" i="46" s="1"/>
  <c r="V38" i="17"/>
  <c r="I23" i="46" s="1"/>
  <c r="T38" i="17"/>
  <c r="G23" i="46" s="1"/>
  <c r="S38" i="17"/>
  <c r="F23" i="46" s="1"/>
  <c r="R38" i="17"/>
  <c r="E23" i="46" s="1"/>
  <c r="O38" i="17"/>
  <c r="B23" i="46" s="1"/>
  <c r="L38" i="17"/>
  <c r="A38" i="17"/>
  <c r="W37" i="17"/>
  <c r="V37" i="17"/>
  <c r="T37" i="17"/>
  <c r="G22" i="46" s="1"/>
  <c r="S37" i="17"/>
  <c r="F22" i="46" s="1"/>
  <c r="R37" i="17"/>
  <c r="O37" i="17"/>
  <c r="B22" i="46" s="1"/>
  <c r="L37" i="17"/>
  <c r="A37" i="17"/>
  <c r="W36" i="17"/>
  <c r="V36" i="17"/>
  <c r="T36" i="17"/>
  <c r="G21" i="46" s="1"/>
  <c r="S36" i="17"/>
  <c r="F21" i="46" s="1"/>
  <c r="R36" i="17"/>
  <c r="O36" i="17"/>
  <c r="B21" i="46" s="1"/>
  <c r="L36" i="17"/>
  <c r="A36" i="17"/>
  <c r="W35" i="17"/>
  <c r="V35" i="17"/>
  <c r="I20" i="46" s="1"/>
  <c r="T35" i="17"/>
  <c r="G20" i="46" s="1"/>
  <c r="S35" i="17"/>
  <c r="F20" i="46" s="1"/>
  <c r="R35" i="17"/>
  <c r="E20" i="46" s="1"/>
  <c r="O35" i="17"/>
  <c r="B20" i="46" s="1"/>
  <c r="L35" i="17"/>
  <c r="A35" i="17"/>
  <c r="W34" i="17"/>
  <c r="J19" i="46" s="1"/>
  <c r="V34" i="17"/>
  <c r="T34" i="17"/>
  <c r="G19" i="46" s="1"/>
  <c r="S34" i="17"/>
  <c r="F19" i="46" s="1"/>
  <c r="R34" i="17"/>
  <c r="O34" i="17"/>
  <c r="B19" i="46" s="1"/>
  <c r="L34" i="17"/>
  <c r="A34" i="17"/>
  <c r="W33" i="17"/>
  <c r="J18" i="46" s="1"/>
  <c r="V33" i="17"/>
  <c r="T33" i="17"/>
  <c r="G18" i="46" s="1"/>
  <c r="S33" i="17"/>
  <c r="F18" i="46" s="1"/>
  <c r="R33" i="17"/>
  <c r="O33" i="17"/>
  <c r="B18" i="46" s="1"/>
  <c r="L33" i="17"/>
  <c r="A33" i="17"/>
  <c r="W32" i="17"/>
  <c r="J17" i="46" s="1"/>
  <c r="V32" i="17"/>
  <c r="I17" i="46" s="1"/>
  <c r="T32" i="17"/>
  <c r="G17" i="46" s="1"/>
  <c r="S32" i="17"/>
  <c r="F17" i="46" s="1"/>
  <c r="R32" i="17"/>
  <c r="E17" i="46" s="1"/>
  <c r="O32" i="17"/>
  <c r="B17" i="46" s="1"/>
  <c r="L32" i="17"/>
  <c r="A32" i="17"/>
  <c r="W31" i="17"/>
  <c r="V31" i="17"/>
  <c r="T31" i="17"/>
  <c r="G16" i="46" s="1"/>
  <c r="S31" i="17"/>
  <c r="F16" i="46" s="1"/>
  <c r="R31" i="17"/>
  <c r="O31" i="17"/>
  <c r="B16" i="46" s="1"/>
  <c r="L31" i="17"/>
  <c r="A31" i="17"/>
  <c r="W30" i="17"/>
  <c r="J16" i="47" s="1"/>
  <c r="V30" i="17"/>
  <c r="I15" i="46" s="1"/>
  <c r="T30" i="17"/>
  <c r="G15" i="46" s="1"/>
  <c r="S30" i="17"/>
  <c r="F15" i="46" s="1"/>
  <c r="R30" i="17"/>
  <c r="E15" i="46" s="1"/>
  <c r="O30" i="17"/>
  <c r="B15" i="46" s="1"/>
  <c r="L30" i="17"/>
  <c r="A30" i="17"/>
  <c r="W29" i="17"/>
  <c r="V29" i="17"/>
  <c r="I14" i="46" s="1"/>
  <c r="T29" i="17"/>
  <c r="G14" i="46" s="1"/>
  <c r="S29" i="17"/>
  <c r="F14" i="46" s="1"/>
  <c r="R29" i="17"/>
  <c r="E14" i="46" s="1"/>
  <c r="O29" i="17"/>
  <c r="B14" i="46" s="1"/>
  <c r="L29" i="17"/>
  <c r="A29" i="17"/>
  <c r="W28" i="17"/>
  <c r="V28" i="17"/>
  <c r="T28" i="17"/>
  <c r="G13" i="46" s="1"/>
  <c r="S28" i="17"/>
  <c r="F13" i="46" s="1"/>
  <c r="R28" i="17"/>
  <c r="O28" i="17"/>
  <c r="B13" i="46" s="1"/>
  <c r="L28" i="17"/>
  <c r="A28" i="17"/>
  <c r="W27" i="17"/>
  <c r="V27" i="17"/>
  <c r="T27" i="17"/>
  <c r="G12" i="46" s="1"/>
  <c r="S27" i="17"/>
  <c r="F12" i="46" s="1"/>
  <c r="R27" i="17"/>
  <c r="E12" i="46" s="1"/>
  <c r="O27" i="17"/>
  <c r="B12" i="46" s="1"/>
  <c r="L27" i="17"/>
  <c r="A27" i="17"/>
  <c r="W26" i="17"/>
  <c r="V26" i="17"/>
  <c r="T26" i="17"/>
  <c r="G11" i="46" s="1"/>
  <c r="S26" i="17"/>
  <c r="F11" i="46" s="1"/>
  <c r="R26" i="17"/>
  <c r="O26" i="17"/>
  <c r="B11" i="46" s="1"/>
  <c r="L26" i="17"/>
  <c r="A26" i="17"/>
  <c r="W25" i="17"/>
  <c r="J10" i="46" s="1"/>
  <c r="V25" i="17"/>
  <c r="T25" i="17"/>
  <c r="G10" i="46" s="1"/>
  <c r="S25" i="17"/>
  <c r="F10" i="46" s="1"/>
  <c r="R25" i="17"/>
  <c r="E10" i="46" s="1"/>
  <c r="O25" i="17"/>
  <c r="B10" i="46" s="1"/>
  <c r="L25" i="17"/>
  <c r="A25" i="17"/>
  <c r="W24" i="17"/>
  <c r="V24" i="17"/>
  <c r="T24" i="17"/>
  <c r="G9" i="46" s="1"/>
  <c r="S24" i="17"/>
  <c r="F9" i="46" s="1"/>
  <c r="R24" i="17"/>
  <c r="O24" i="17"/>
  <c r="B9" i="46" s="1"/>
  <c r="L24" i="17"/>
  <c r="A24" i="17"/>
  <c r="W23" i="17"/>
  <c r="V23" i="17"/>
  <c r="I8" i="46" s="1"/>
  <c r="T23" i="17"/>
  <c r="G8" i="46" s="1"/>
  <c r="S23" i="17"/>
  <c r="F8" i="46" s="1"/>
  <c r="R23" i="17"/>
  <c r="E8" i="46" s="1"/>
  <c r="O23" i="17"/>
  <c r="B8" i="46" s="1"/>
  <c r="L23" i="17"/>
  <c r="A23" i="17"/>
  <c r="W22" i="17"/>
  <c r="J8" i="47" s="1"/>
  <c r="V22" i="17"/>
  <c r="T22" i="17"/>
  <c r="G7" i="46" s="1"/>
  <c r="S22" i="17"/>
  <c r="F7" i="46" s="1"/>
  <c r="R22" i="17"/>
  <c r="E7" i="46" s="1"/>
  <c r="O22" i="17"/>
  <c r="B7" i="46" s="1"/>
  <c r="L22" i="17"/>
  <c r="A22" i="17"/>
  <c r="W21" i="17"/>
  <c r="J7" i="47" s="1"/>
  <c r="V21" i="17"/>
  <c r="I6" i="46" s="1"/>
  <c r="T21" i="17"/>
  <c r="G6" i="46" s="1"/>
  <c r="S21" i="17"/>
  <c r="F6" i="46" s="1"/>
  <c r="R21" i="17"/>
  <c r="E6" i="46" s="1"/>
  <c r="O21" i="17"/>
  <c r="B6" i="46" s="1"/>
  <c r="L21" i="17"/>
  <c r="A21" i="17"/>
  <c r="W20" i="17"/>
  <c r="V20" i="17"/>
  <c r="T20" i="17"/>
  <c r="S20" i="17"/>
  <c r="R20" i="17"/>
  <c r="O20" i="17"/>
  <c r="L20" i="17"/>
  <c r="A20" i="17"/>
  <c r="W19" i="17"/>
  <c r="V19" i="17"/>
  <c r="T19" i="17"/>
  <c r="S19" i="17"/>
  <c r="R19" i="17"/>
  <c r="O19" i="17"/>
  <c r="L19" i="17"/>
  <c r="A19" i="17"/>
  <c r="W18" i="17"/>
  <c r="V18" i="17"/>
  <c r="T18" i="17"/>
  <c r="S18" i="17"/>
  <c r="R18" i="17"/>
  <c r="O18" i="17"/>
  <c r="L18" i="17"/>
  <c r="A18" i="17"/>
  <c r="W17" i="17"/>
  <c r="V17" i="17"/>
  <c r="T17" i="17"/>
  <c r="S17" i="17"/>
  <c r="R17" i="17"/>
  <c r="O17" i="17"/>
  <c r="L17" i="17"/>
  <c r="A17" i="17"/>
  <c r="W16" i="17"/>
  <c r="V16" i="17"/>
  <c r="T16" i="17"/>
  <c r="S16" i="17"/>
  <c r="R16" i="17"/>
  <c r="O16" i="17"/>
  <c r="L16" i="17"/>
  <c r="A16" i="17"/>
  <c r="W15" i="17"/>
  <c r="V15" i="17"/>
  <c r="T15" i="17"/>
  <c r="S15" i="17"/>
  <c r="R15" i="17"/>
  <c r="O15" i="17"/>
  <c r="L15" i="17"/>
  <c r="A15" i="17"/>
  <c r="W14" i="17"/>
  <c r="V14" i="17"/>
  <c r="T14" i="17"/>
  <c r="S14" i="17"/>
  <c r="R14" i="17"/>
  <c r="O14" i="17"/>
  <c r="L14" i="17"/>
  <c r="A14" i="17"/>
  <c r="W13" i="17"/>
  <c r="V13" i="17"/>
  <c r="T13" i="17"/>
  <c r="S13" i="17"/>
  <c r="R13" i="17"/>
  <c r="O13" i="17"/>
  <c r="L13" i="17"/>
  <c r="A13" i="17"/>
  <c r="W12" i="17"/>
  <c r="V12" i="17"/>
  <c r="T12" i="17"/>
  <c r="S12" i="17"/>
  <c r="R12" i="17"/>
  <c r="O12" i="17"/>
  <c r="L12" i="17"/>
  <c r="A12" i="17"/>
  <c r="W11" i="17"/>
  <c r="V11" i="17"/>
  <c r="T11" i="17"/>
  <c r="S11" i="17"/>
  <c r="R11" i="17"/>
  <c r="O11" i="17"/>
  <c r="L11" i="17"/>
  <c r="A11" i="17"/>
  <c r="W10" i="17"/>
  <c r="V10" i="17"/>
  <c r="T10" i="17"/>
  <c r="S10" i="17"/>
  <c r="R10" i="17"/>
  <c r="O10" i="17"/>
  <c r="L10" i="17"/>
  <c r="A10" i="17"/>
  <c r="W9" i="17"/>
  <c r="V9" i="17"/>
  <c r="T9" i="17"/>
  <c r="S9" i="17"/>
  <c r="R9" i="17"/>
  <c r="O9" i="17"/>
  <c r="L9" i="17"/>
  <c r="A9" i="17"/>
  <c r="W8" i="17"/>
  <c r="V8" i="17"/>
  <c r="T8" i="17"/>
  <c r="S8" i="17"/>
  <c r="R8" i="17"/>
  <c r="O8" i="17"/>
  <c r="A8" i="17"/>
  <c r="W7" i="17"/>
  <c r="V7" i="17"/>
  <c r="T7" i="17"/>
  <c r="S7" i="17"/>
  <c r="R7" i="17"/>
  <c r="O7" i="17"/>
  <c r="L7" i="17"/>
  <c r="A7" i="17"/>
  <c r="W6" i="17"/>
  <c r="V6" i="17"/>
  <c r="T6" i="17"/>
  <c r="R6" i="17"/>
  <c r="E9" i="44" s="1"/>
  <c r="O6" i="17"/>
  <c r="L6" i="17"/>
  <c r="A6" i="17"/>
  <c r="W5" i="17"/>
  <c r="V5" i="17"/>
  <c r="T5" i="17"/>
  <c r="R5" i="17"/>
  <c r="O5" i="17"/>
  <c r="L5" i="17"/>
  <c r="A5" i="17"/>
  <c r="W4" i="17"/>
  <c r="V4" i="17"/>
  <c r="T4" i="17"/>
  <c r="R4" i="17"/>
  <c r="O4" i="17"/>
  <c r="B7" i="44" s="1"/>
  <c r="L4" i="17"/>
  <c r="A4" i="17"/>
  <c r="X2" i="17"/>
  <c r="J2" i="17"/>
  <c r="I2" i="17"/>
  <c r="J29" i="50" l="1"/>
  <c r="J28" i="49"/>
  <c r="J28" i="50"/>
  <c r="J27" i="49"/>
  <c r="J27" i="50"/>
  <c r="J26" i="49"/>
  <c r="J26" i="50"/>
  <c r="J25" i="49"/>
  <c r="J25" i="50"/>
  <c r="J24" i="49"/>
  <c r="J21" i="50"/>
  <c r="J20" i="49"/>
  <c r="J20" i="50"/>
  <c r="J19" i="49"/>
  <c r="J19" i="50"/>
  <c r="J18" i="49"/>
  <c r="J18" i="50"/>
  <c r="J17" i="49"/>
  <c r="J17" i="50"/>
  <c r="J16" i="49"/>
  <c r="J16" i="50"/>
  <c r="J15" i="49"/>
  <c r="J15" i="50"/>
  <c r="J14" i="49"/>
  <c r="J14" i="50"/>
  <c r="J13" i="49"/>
  <c r="J13" i="50"/>
  <c r="J12" i="49"/>
  <c r="J12" i="50"/>
  <c r="J11" i="49"/>
  <c r="J11" i="50"/>
  <c r="J10" i="49"/>
  <c r="J10" i="50"/>
  <c r="J9" i="49"/>
  <c r="J9" i="50"/>
  <c r="J8" i="49"/>
  <c r="J8" i="50"/>
  <c r="J7" i="49"/>
  <c r="J7" i="50"/>
  <c r="J6" i="49"/>
  <c r="E13" i="49"/>
  <c r="J22" i="46"/>
  <c r="J23" i="47"/>
  <c r="J21" i="46"/>
  <c r="J22" i="47"/>
  <c r="J20" i="46"/>
  <c r="J21" i="47"/>
  <c r="J16" i="46"/>
  <c r="J17" i="47"/>
  <c r="E7" i="44"/>
  <c r="E6" i="43"/>
  <c r="D10" i="45"/>
  <c r="F10" i="44"/>
  <c r="F9" i="43"/>
  <c r="I10" i="44"/>
  <c r="I9" i="43"/>
  <c r="E11" i="43"/>
  <c r="E12" i="44"/>
  <c r="E15" i="43"/>
  <c r="E16" i="44"/>
  <c r="J7" i="46"/>
  <c r="J8" i="46"/>
  <c r="J9" i="46"/>
  <c r="J12" i="46"/>
  <c r="J13" i="46"/>
  <c r="I7" i="44"/>
  <c r="I6" i="43"/>
  <c r="B8" i="45"/>
  <c r="B8" i="44"/>
  <c r="B7" i="43"/>
  <c r="B10" i="45"/>
  <c r="B10" i="44"/>
  <c r="B9" i="43"/>
  <c r="E12" i="43"/>
  <c r="E13" i="44"/>
  <c r="E19" i="43"/>
  <c r="E20" i="44"/>
  <c r="J6" i="46"/>
  <c r="J11" i="46"/>
  <c r="J14" i="46"/>
  <c r="J15" i="46"/>
  <c r="E8" i="44"/>
  <c r="E7" i="43"/>
  <c r="B9" i="45"/>
  <c r="B9" i="44"/>
  <c r="B8" i="43"/>
  <c r="E9" i="43"/>
  <c r="E10" i="44"/>
  <c r="B12" i="45"/>
  <c r="B12" i="44"/>
  <c r="B11" i="43"/>
  <c r="F12" i="44"/>
  <c r="D12" i="45"/>
  <c r="F11" i="43"/>
  <c r="I12" i="44"/>
  <c r="I11" i="43"/>
  <c r="B13" i="45"/>
  <c r="B13" i="44"/>
  <c r="B12" i="43"/>
  <c r="D13" i="45"/>
  <c r="F13" i="44"/>
  <c r="F12" i="43"/>
  <c r="I12" i="43"/>
  <c r="I13" i="44"/>
  <c r="B14" i="45"/>
  <c r="B14" i="44"/>
  <c r="B13" i="43"/>
  <c r="F14" i="44"/>
  <c r="D14" i="45"/>
  <c r="F13" i="43"/>
  <c r="B15" i="45"/>
  <c r="B15" i="44"/>
  <c r="B14" i="43"/>
  <c r="D15" i="45"/>
  <c r="F15" i="44"/>
  <c r="F14" i="43"/>
  <c r="B16" i="45"/>
  <c r="B16" i="44"/>
  <c r="B15" i="43"/>
  <c r="F16" i="44"/>
  <c r="D16" i="45"/>
  <c r="F15" i="43"/>
  <c r="I16" i="44"/>
  <c r="I15" i="43"/>
  <c r="B17" i="45"/>
  <c r="B17" i="44"/>
  <c r="B16" i="43"/>
  <c r="D17" i="45"/>
  <c r="F17" i="44"/>
  <c r="F16" i="43"/>
  <c r="B18" i="45"/>
  <c r="B18" i="44"/>
  <c r="B17" i="43"/>
  <c r="F18" i="44"/>
  <c r="D18" i="45"/>
  <c r="F17" i="43"/>
  <c r="B19" i="45"/>
  <c r="B19" i="44"/>
  <c r="B18" i="43"/>
  <c r="D19" i="45"/>
  <c r="F19" i="44"/>
  <c r="F18" i="43"/>
  <c r="B20" i="45"/>
  <c r="B20" i="44"/>
  <c r="B19" i="43"/>
  <c r="F20" i="44"/>
  <c r="D20" i="45"/>
  <c r="F19" i="43"/>
  <c r="I19" i="43"/>
  <c r="I20" i="44"/>
  <c r="B21" i="45"/>
  <c r="B21" i="44"/>
  <c r="B20" i="43"/>
  <c r="D21" i="45"/>
  <c r="F21" i="44"/>
  <c r="F20" i="43"/>
  <c r="B22" i="45"/>
  <c r="B22" i="44"/>
  <c r="B21" i="43"/>
  <c r="F22" i="44"/>
  <c r="D22" i="45"/>
  <c r="F21" i="43"/>
  <c r="B23" i="44"/>
  <c r="B22" i="43"/>
  <c r="D23" i="45"/>
  <c r="F23" i="44"/>
  <c r="F22" i="43"/>
  <c r="A16" i="24"/>
  <c r="A20" i="24"/>
  <c r="G10" i="44"/>
  <c r="E10" i="45"/>
  <c r="G9" i="43"/>
  <c r="E12" i="45"/>
  <c r="G12" i="44"/>
  <c r="G11" i="43"/>
  <c r="E9" i="45"/>
  <c r="G9" i="44"/>
  <c r="G8" i="43"/>
  <c r="G14" i="44"/>
  <c r="E14" i="45"/>
  <c r="G13" i="43"/>
  <c r="G17" i="44"/>
  <c r="E17" i="45"/>
  <c r="G16" i="43"/>
  <c r="E20" i="45"/>
  <c r="G20" i="44"/>
  <c r="G19" i="43"/>
  <c r="E23" i="45"/>
  <c r="G23" i="44"/>
  <c r="G22" i="43"/>
  <c r="G8" i="44"/>
  <c r="E8" i="45"/>
  <c r="G7" i="43"/>
  <c r="E13" i="45"/>
  <c r="G13" i="44"/>
  <c r="G12" i="43"/>
  <c r="E16" i="45"/>
  <c r="G16" i="44"/>
  <c r="G15" i="43"/>
  <c r="G19" i="44"/>
  <c r="E19" i="45"/>
  <c r="G18" i="43"/>
  <c r="E22" i="45"/>
  <c r="G22" i="44"/>
  <c r="G21" i="43"/>
  <c r="G15" i="44"/>
  <c r="E15" i="45"/>
  <c r="G14" i="43"/>
  <c r="E18" i="45"/>
  <c r="G18" i="44"/>
  <c r="G17" i="43"/>
  <c r="E7" i="45"/>
  <c r="G7" i="44"/>
  <c r="G6" i="43"/>
  <c r="G21" i="44"/>
  <c r="E21" i="45"/>
  <c r="G20" i="43"/>
  <c r="E11" i="45"/>
  <c r="G11" i="44"/>
  <c r="G10" i="43"/>
  <c r="E10" i="43"/>
  <c r="E11" i="44"/>
  <c r="D11" i="45"/>
  <c r="F11" i="44"/>
  <c r="F10" i="43"/>
  <c r="B11" i="44"/>
  <c r="B11" i="45"/>
  <c r="B10" i="43"/>
  <c r="J19" i="44"/>
  <c r="J18" i="43"/>
  <c r="J18" i="44"/>
  <c r="J17" i="43"/>
  <c r="J17" i="44"/>
  <c r="J16" i="43"/>
  <c r="J16" i="44"/>
  <c r="J15" i="43"/>
  <c r="J7" i="44"/>
  <c r="J6" i="43"/>
  <c r="J12" i="44"/>
  <c r="J11" i="43"/>
  <c r="J11" i="44"/>
  <c r="J10" i="43"/>
  <c r="J8" i="44"/>
  <c r="J7" i="43"/>
  <c r="J9" i="44"/>
  <c r="J8" i="43"/>
  <c r="J10" i="44"/>
  <c r="J9" i="43"/>
  <c r="J23" i="44"/>
  <c r="J22" i="43"/>
  <c r="J22" i="44"/>
  <c r="J21" i="43"/>
  <c r="J21" i="44"/>
  <c r="J20" i="43"/>
  <c r="J20" i="44"/>
  <c r="J19" i="43"/>
  <c r="J15" i="44"/>
  <c r="J14" i="43"/>
  <c r="J14" i="44"/>
  <c r="J13" i="43"/>
  <c r="J13" i="44"/>
  <c r="J12" i="43"/>
  <c r="S2" i="17"/>
  <c r="T2" i="17"/>
  <c r="F7" i="34"/>
  <c r="D8" i="38"/>
  <c r="F8" i="35"/>
  <c r="F10" i="34"/>
  <c r="F11" i="35"/>
  <c r="D11" i="38"/>
  <c r="F13" i="34"/>
  <c r="D14" i="38"/>
  <c r="F14" i="35"/>
  <c r="G7" i="34"/>
  <c r="E8" i="38"/>
  <c r="G8" i="35"/>
  <c r="G10" i="34"/>
  <c r="E11" i="38"/>
  <c r="G11" i="35"/>
  <c r="G13" i="34"/>
  <c r="E14" i="38"/>
  <c r="G14" i="35"/>
  <c r="E6" i="34"/>
  <c r="E7" i="35"/>
  <c r="J7" i="34"/>
  <c r="J8" i="35"/>
  <c r="E9" i="34"/>
  <c r="E10" i="35"/>
  <c r="J10" i="34"/>
  <c r="J11" i="35"/>
  <c r="J13" i="34"/>
  <c r="J14" i="35"/>
  <c r="B6" i="34"/>
  <c r="B7" i="35"/>
  <c r="B7" i="38"/>
  <c r="B9" i="34"/>
  <c r="B10" i="38"/>
  <c r="B10" i="35"/>
  <c r="F9" i="34"/>
  <c r="F10" i="35"/>
  <c r="D10" i="38"/>
  <c r="G6" i="34"/>
  <c r="E7" i="38"/>
  <c r="G7" i="35"/>
  <c r="G9" i="34"/>
  <c r="G10" i="35"/>
  <c r="E10" i="38"/>
  <c r="G12" i="34"/>
  <c r="G13" i="35"/>
  <c r="E13" i="38"/>
  <c r="I6" i="34"/>
  <c r="I7" i="35"/>
  <c r="B8" i="34"/>
  <c r="B9" i="35"/>
  <c r="B9" i="38"/>
  <c r="I9" i="34"/>
  <c r="I10" i="35"/>
  <c r="B11" i="34"/>
  <c r="B12" i="38"/>
  <c r="B12" i="35"/>
  <c r="J6" i="34"/>
  <c r="J7" i="35"/>
  <c r="E8" i="34"/>
  <c r="E9" i="35"/>
  <c r="J9" i="34"/>
  <c r="J10" i="35"/>
  <c r="E11" i="34"/>
  <c r="E12" i="35"/>
  <c r="J12" i="34"/>
  <c r="J13" i="35"/>
  <c r="B12" i="34"/>
  <c r="B13" i="38"/>
  <c r="B13" i="35"/>
  <c r="F12" i="34"/>
  <c r="F13" i="35"/>
  <c r="D13" i="38"/>
  <c r="F8" i="34"/>
  <c r="D9" i="38"/>
  <c r="F9" i="35"/>
  <c r="F11" i="34"/>
  <c r="F12" i="35"/>
  <c r="D12" i="38"/>
  <c r="F6" i="34"/>
  <c r="F7" i="35"/>
  <c r="D7" i="38"/>
  <c r="G8" i="34"/>
  <c r="E9" i="38"/>
  <c r="G9" i="35"/>
  <c r="G11" i="34"/>
  <c r="G12" i="35"/>
  <c r="E12" i="38"/>
  <c r="B7" i="34"/>
  <c r="B8" i="38"/>
  <c r="B8" i="35"/>
  <c r="I8" i="34"/>
  <c r="I9" i="35"/>
  <c r="B10" i="34"/>
  <c r="B11" i="38"/>
  <c r="B11" i="35"/>
  <c r="I11" i="34"/>
  <c r="I12" i="35"/>
  <c r="B13" i="34"/>
  <c r="B14" i="38"/>
  <c r="B14" i="35"/>
  <c r="J8" i="34"/>
  <c r="J9" i="35"/>
  <c r="J11" i="34"/>
  <c r="J12" i="35"/>
  <c r="A15" i="65"/>
  <c r="D8" i="33"/>
  <c r="F8" i="32"/>
  <c r="F7" i="31"/>
  <c r="D11" i="33"/>
  <c r="F11" i="32"/>
  <c r="F10" i="31"/>
  <c r="D14" i="33"/>
  <c r="F14" i="32"/>
  <c r="F13" i="31"/>
  <c r="F17" i="32"/>
  <c r="D17" i="33"/>
  <c r="F16" i="31"/>
  <c r="F20" i="32"/>
  <c r="D20" i="33"/>
  <c r="F19" i="31"/>
  <c r="Q72" i="17"/>
  <c r="I8" i="32"/>
  <c r="I7" i="31"/>
  <c r="B10" i="33"/>
  <c r="B10" i="32"/>
  <c r="B9" i="31"/>
  <c r="I11" i="32"/>
  <c r="I10" i="31"/>
  <c r="B13" i="32"/>
  <c r="B13" i="33"/>
  <c r="B12" i="31"/>
  <c r="I14" i="32"/>
  <c r="I13" i="31"/>
  <c r="B16" i="33"/>
  <c r="B16" i="32"/>
  <c r="B15" i="31"/>
  <c r="B19" i="32"/>
  <c r="B19" i="33"/>
  <c r="B18" i="31"/>
  <c r="J15" i="32"/>
  <c r="J14" i="31"/>
  <c r="E6" i="31"/>
  <c r="E7" i="32"/>
  <c r="J8" i="32"/>
  <c r="J7" i="31"/>
  <c r="J11" i="32"/>
  <c r="J10" i="31"/>
  <c r="J14" i="32"/>
  <c r="J13" i="31"/>
  <c r="E15" i="31"/>
  <c r="E16" i="32"/>
  <c r="J17" i="32"/>
  <c r="J16" i="31"/>
  <c r="J20" i="32"/>
  <c r="J19" i="31"/>
  <c r="E13" i="31"/>
  <c r="E14" i="32"/>
  <c r="F7" i="32"/>
  <c r="F6" i="31"/>
  <c r="D10" i="33"/>
  <c r="F10" i="32"/>
  <c r="F9" i="31"/>
  <c r="D13" i="33"/>
  <c r="F13" i="32"/>
  <c r="F12" i="31"/>
  <c r="F16" i="32"/>
  <c r="D16" i="33"/>
  <c r="F15" i="31"/>
  <c r="F19" i="32"/>
  <c r="D19" i="33"/>
  <c r="F18" i="31"/>
  <c r="E7" i="31"/>
  <c r="E8" i="32"/>
  <c r="J18" i="32"/>
  <c r="J17" i="31"/>
  <c r="I7" i="32"/>
  <c r="I6" i="31"/>
  <c r="B9" i="32"/>
  <c r="B9" i="33"/>
  <c r="B8" i="31"/>
  <c r="B12" i="32"/>
  <c r="B12" i="33"/>
  <c r="B11" i="31"/>
  <c r="B15" i="33"/>
  <c r="B15" i="32"/>
  <c r="B14" i="31"/>
  <c r="I16" i="32"/>
  <c r="I15" i="31"/>
  <c r="B18" i="32"/>
  <c r="B18" i="33"/>
  <c r="B17" i="31"/>
  <c r="B21" i="32"/>
  <c r="B21" i="33"/>
  <c r="B20" i="31"/>
  <c r="J9" i="32"/>
  <c r="J8" i="31"/>
  <c r="J7" i="32"/>
  <c r="J6" i="31"/>
  <c r="E8" i="31"/>
  <c r="E9" i="32"/>
  <c r="J10" i="32"/>
  <c r="J9" i="31"/>
  <c r="E11" i="31"/>
  <c r="E12" i="32"/>
  <c r="J13" i="32"/>
  <c r="J12" i="31"/>
  <c r="J16" i="32"/>
  <c r="J15" i="31"/>
  <c r="E17" i="31"/>
  <c r="E18" i="32"/>
  <c r="J19" i="32"/>
  <c r="J18" i="31"/>
  <c r="J12" i="32"/>
  <c r="J11" i="31"/>
  <c r="J21" i="32"/>
  <c r="J20" i="31"/>
  <c r="A19" i="65"/>
  <c r="D9" i="33"/>
  <c r="F9" i="32"/>
  <c r="F8" i="31"/>
  <c r="D12" i="33"/>
  <c r="F12" i="32"/>
  <c r="F11" i="31"/>
  <c r="F15" i="32"/>
  <c r="D15" i="33"/>
  <c r="F14" i="31"/>
  <c r="F18" i="32"/>
  <c r="D18" i="33"/>
  <c r="F17" i="31"/>
  <c r="D21" i="33"/>
  <c r="F21" i="32"/>
  <c r="F20" i="31"/>
  <c r="E10" i="31"/>
  <c r="E11" i="32"/>
  <c r="B8" i="33"/>
  <c r="B8" i="32"/>
  <c r="B7" i="31"/>
  <c r="B11" i="32"/>
  <c r="B11" i="33"/>
  <c r="B10" i="31"/>
  <c r="I12" i="32"/>
  <c r="I11" i="31"/>
  <c r="B14" i="33"/>
  <c r="B14" i="32"/>
  <c r="B13" i="31"/>
  <c r="B17" i="32"/>
  <c r="B17" i="33"/>
  <c r="B16" i="31"/>
  <c r="I18" i="32"/>
  <c r="I17" i="31"/>
  <c r="B20" i="33"/>
  <c r="B20" i="32"/>
  <c r="B19" i="31"/>
  <c r="G13" i="32"/>
  <c r="E13" i="33"/>
  <c r="G12" i="31"/>
  <c r="G19" i="32"/>
  <c r="E19" i="33"/>
  <c r="G18" i="31"/>
  <c r="G7" i="32"/>
  <c r="E7" i="33"/>
  <c r="G6" i="31"/>
  <c r="E10" i="33"/>
  <c r="G10" i="32"/>
  <c r="G9" i="31"/>
  <c r="E16" i="33"/>
  <c r="G16" i="32"/>
  <c r="G15" i="31"/>
  <c r="G9" i="32"/>
  <c r="E9" i="33"/>
  <c r="G8" i="31"/>
  <c r="E18" i="33"/>
  <c r="G18" i="32"/>
  <c r="G17" i="31"/>
  <c r="G12" i="32"/>
  <c r="E12" i="33"/>
  <c r="G11" i="31"/>
  <c r="G15" i="32"/>
  <c r="E15" i="33"/>
  <c r="G14" i="31"/>
  <c r="G21" i="32"/>
  <c r="E21" i="33"/>
  <c r="G20" i="31"/>
  <c r="G14" i="32"/>
  <c r="E14" i="33"/>
  <c r="G13" i="31"/>
  <c r="E20" i="33"/>
  <c r="G20" i="32"/>
  <c r="G19" i="31"/>
  <c r="E8" i="33"/>
  <c r="G8" i="32"/>
  <c r="G7" i="31"/>
  <c r="E11" i="33"/>
  <c r="G11" i="32"/>
  <c r="G10" i="31"/>
  <c r="G17" i="32"/>
  <c r="E17" i="33"/>
  <c r="G16" i="31"/>
  <c r="A14" i="24"/>
  <c r="A31" i="24"/>
  <c r="A12" i="24"/>
  <c r="A17" i="65"/>
  <c r="A27" i="24"/>
  <c r="A8" i="24"/>
  <c r="A24" i="24"/>
  <c r="A20" i="65"/>
  <c r="A9" i="65"/>
  <c r="A23" i="65"/>
  <c r="A21" i="65"/>
  <c r="E9" i="64"/>
  <c r="G9" i="65"/>
  <c r="A18" i="24"/>
  <c r="A12" i="65"/>
  <c r="A7" i="65"/>
  <c r="A22" i="65"/>
  <c r="A10" i="65"/>
  <c r="A8" i="65"/>
  <c r="A14" i="65"/>
  <c r="A16" i="65"/>
  <c r="A13" i="65"/>
  <c r="A11" i="65"/>
  <c r="A18" i="65"/>
  <c r="Q56" i="17"/>
  <c r="J14" i="63"/>
  <c r="C23" i="42"/>
  <c r="J10" i="61"/>
  <c r="J22" i="61"/>
  <c r="J9" i="61"/>
  <c r="Q65" i="17"/>
  <c r="H23" i="40"/>
  <c r="J19" i="61"/>
  <c r="J25" i="61"/>
  <c r="J24" i="61"/>
  <c r="J11" i="61"/>
  <c r="J7" i="61"/>
  <c r="Q176" i="17"/>
  <c r="Q68" i="17"/>
  <c r="M175" i="17"/>
  <c r="Q175" i="17" s="1"/>
  <c r="Q60" i="17"/>
  <c r="J8" i="61"/>
  <c r="Q53" i="17"/>
  <c r="Q77" i="17"/>
  <c r="E7" i="39"/>
  <c r="J11" i="40"/>
  <c r="J18" i="40"/>
  <c r="J23" i="40"/>
  <c r="B24" i="39"/>
  <c r="C22" i="39"/>
  <c r="Q52" i="17"/>
  <c r="Q76" i="17"/>
  <c r="M196" i="17"/>
  <c r="Q196" i="17" s="1"/>
  <c r="F14" i="39"/>
  <c r="H22" i="39"/>
  <c r="J10" i="40"/>
  <c r="E13" i="39"/>
  <c r="J17" i="40"/>
  <c r="F20" i="39"/>
  <c r="C23" i="39"/>
  <c r="M195" i="17"/>
  <c r="Q195" i="17" s="1"/>
  <c r="J9" i="40"/>
  <c r="F13" i="39"/>
  <c r="J26" i="40"/>
  <c r="H23" i="39"/>
  <c r="C23" i="40"/>
  <c r="J16" i="40"/>
  <c r="F19" i="39"/>
  <c r="J22" i="40"/>
  <c r="C24" i="39"/>
  <c r="C24" i="42"/>
  <c r="Q58" i="17"/>
  <c r="Q66" i="17"/>
  <c r="J8" i="40"/>
  <c r="B10" i="39"/>
  <c r="E11" i="39"/>
  <c r="J15" i="40"/>
  <c r="E24" i="40"/>
  <c r="C25" i="39"/>
  <c r="C25" i="42"/>
  <c r="J7" i="40"/>
  <c r="F11" i="39"/>
  <c r="J21" i="40"/>
  <c r="J25" i="40"/>
  <c r="C26" i="42"/>
  <c r="Q64" i="17"/>
  <c r="J23" i="61"/>
  <c r="J14" i="40"/>
  <c r="B22" i="39"/>
  <c r="G23" i="39"/>
  <c r="F10" i="39"/>
  <c r="J13" i="40"/>
  <c r="F17" i="39"/>
  <c r="J20" i="40"/>
  <c r="E23" i="40"/>
  <c r="E9" i="39"/>
  <c r="B16" i="42"/>
  <c r="E16" i="39"/>
  <c r="J24" i="40"/>
  <c r="B7" i="39"/>
  <c r="J12" i="40"/>
  <c r="F16" i="39"/>
  <c r="J19" i="40"/>
  <c r="G22" i="39"/>
  <c r="Q54" i="17"/>
  <c r="Q70" i="17"/>
  <c r="Q78" i="17"/>
  <c r="F8" i="39"/>
  <c r="E15" i="39"/>
  <c r="C12" i="59"/>
  <c r="C12" i="58"/>
  <c r="C11" i="57"/>
  <c r="E21" i="59"/>
  <c r="G21" i="58"/>
  <c r="G20" i="57"/>
  <c r="E26" i="58"/>
  <c r="E25" i="57"/>
  <c r="I14" i="61"/>
  <c r="I13" i="60"/>
  <c r="B17" i="62"/>
  <c r="B17" i="61"/>
  <c r="B16" i="60"/>
  <c r="B16" i="27"/>
  <c r="B16" i="26"/>
  <c r="B15" i="63"/>
  <c r="B22" i="27"/>
  <c r="B22" i="26"/>
  <c r="B21" i="63"/>
  <c r="D19" i="64"/>
  <c r="D19" i="29"/>
  <c r="F19" i="30"/>
  <c r="F18" i="28"/>
  <c r="M203" i="17"/>
  <c r="Q203" i="17" s="1"/>
  <c r="D10" i="56"/>
  <c r="F10" i="55"/>
  <c r="F9" i="54"/>
  <c r="J14" i="55"/>
  <c r="J13" i="54"/>
  <c r="E23" i="56"/>
  <c r="G23" i="55"/>
  <c r="G22" i="54"/>
  <c r="B11" i="59"/>
  <c r="B11" i="58"/>
  <c r="B10" i="57"/>
  <c r="B19" i="59"/>
  <c r="B19" i="58"/>
  <c r="B18" i="57"/>
  <c r="E18" i="61"/>
  <c r="E17" i="60"/>
  <c r="I7" i="26"/>
  <c r="I6" i="63"/>
  <c r="E18" i="27"/>
  <c r="G18" i="26"/>
  <c r="G17" i="63"/>
  <c r="B28" i="27"/>
  <c r="B28" i="26"/>
  <c r="B27" i="63"/>
  <c r="E20" i="29"/>
  <c r="E20" i="64"/>
  <c r="G20" i="30"/>
  <c r="G19" i="28"/>
  <c r="D26" i="42"/>
  <c r="F26" i="40"/>
  <c r="F25" i="39"/>
  <c r="M5" i="17"/>
  <c r="Q5" i="17" s="1"/>
  <c r="M9" i="17"/>
  <c r="Q9" i="17" s="1"/>
  <c r="M12" i="17"/>
  <c r="Q12" i="17" s="1"/>
  <c r="M17" i="17"/>
  <c r="Q17" i="17" s="1"/>
  <c r="M21" i="17"/>
  <c r="Q21" i="17" s="1"/>
  <c r="D6" i="46" s="1"/>
  <c r="M25" i="17"/>
  <c r="Q25" i="17" s="1"/>
  <c r="M30" i="17"/>
  <c r="Q30" i="17" s="1"/>
  <c r="D15" i="46" s="1"/>
  <c r="M33" i="17"/>
  <c r="Q33" i="17" s="1"/>
  <c r="M36" i="17"/>
  <c r="Q36" i="17" s="1"/>
  <c r="M38" i="17"/>
  <c r="Q38" i="17" s="1"/>
  <c r="D23" i="46" s="1"/>
  <c r="M41" i="17"/>
  <c r="Q41" i="17" s="1"/>
  <c r="M43" i="17"/>
  <c r="Q43" i="17" s="1"/>
  <c r="M44" i="17"/>
  <c r="Q44" i="17" s="1"/>
  <c r="M47" i="17"/>
  <c r="Q47" i="17" s="1"/>
  <c r="M49" i="17"/>
  <c r="Q49" i="17" s="1"/>
  <c r="D9" i="56"/>
  <c r="F9" i="55"/>
  <c r="F8" i="54"/>
  <c r="D21" i="56"/>
  <c r="F21" i="55"/>
  <c r="F20" i="54"/>
  <c r="J25" i="55"/>
  <c r="J24" i="54"/>
  <c r="D14" i="59"/>
  <c r="F14" i="58"/>
  <c r="F13" i="57"/>
  <c r="M82" i="17"/>
  <c r="Q82" i="17" s="1"/>
  <c r="C19" i="59"/>
  <c r="C19" i="58"/>
  <c r="C18" i="57"/>
  <c r="D20" i="59"/>
  <c r="F20" i="58"/>
  <c r="F19" i="57"/>
  <c r="H21" i="58"/>
  <c r="H20" i="57"/>
  <c r="J22" i="58"/>
  <c r="J21" i="57"/>
  <c r="M88" i="17"/>
  <c r="Q88" i="17" s="1"/>
  <c r="C25" i="59"/>
  <c r="C25" i="58"/>
  <c r="C24" i="57"/>
  <c r="D26" i="59"/>
  <c r="F26" i="58"/>
  <c r="F25" i="57"/>
  <c r="H7" i="61"/>
  <c r="H6" i="60"/>
  <c r="M94" i="17"/>
  <c r="Q94" i="17" s="1"/>
  <c r="C11" i="62"/>
  <c r="C11" i="61"/>
  <c r="C10" i="60"/>
  <c r="D12" i="62"/>
  <c r="F12" i="61"/>
  <c r="F11" i="60"/>
  <c r="M100" i="17"/>
  <c r="Q100" i="17" s="1"/>
  <c r="C17" i="62"/>
  <c r="C17" i="61"/>
  <c r="C16" i="60"/>
  <c r="D18" i="62"/>
  <c r="F18" i="61"/>
  <c r="F17" i="60"/>
  <c r="M106" i="17"/>
  <c r="Q106" i="17" s="1"/>
  <c r="C23" i="62"/>
  <c r="C23" i="61"/>
  <c r="C22" i="60"/>
  <c r="D24" i="62"/>
  <c r="F24" i="61"/>
  <c r="F23" i="60"/>
  <c r="J7" i="26"/>
  <c r="J6" i="63"/>
  <c r="M112" i="17"/>
  <c r="Q112" i="17" s="1"/>
  <c r="C10" i="27"/>
  <c r="C10" i="26"/>
  <c r="C9" i="63"/>
  <c r="D11" i="27"/>
  <c r="F11" i="26"/>
  <c r="F10" i="63"/>
  <c r="J13" i="26"/>
  <c r="J12" i="63"/>
  <c r="M118" i="17"/>
  <c r="Q118" i="17" s="1"/>
  <c r="C16" i="27"/>
  <c r="C16" i="26"/>
  <c r="C15" i="63"/>
  <c r="D17" i="27"/>
  <c r="F17" i="26"/>
  <c r="F16" i="63"/>
  <c r="J19" i="26"/>
  <c r="J18" i="63"/>
  <c r="M124" i="17"/>
  <c r="Q124" i="17" s="1"/>
  <c r="C22" i="27"/>
  <c r="C22" i="26"/>
  <c r="C21" i="63"/>
  <c r="D23" i="27"/>
  <c r="F23" i="26"/>
  <c r="F22" i="63"/>
  <c r="H24" i="26"/>
  <c r="H23" i="63"/>
  <c r="J25" i="26"/>
  <c r="J24" i="63"/>
  <c r="M130" i="17"/>
  <c r="Q130" i="17" s="1"/>
  <c r="C28" i="27"/>
  <c r="C28" i="26"/>
  <c r="C27" i="63"/>
  <c r="D29" i="27"/>
  <c r="F29" i="26"/>
  <c r="F28" i="63"/>
  <c r="H7" i="30"/>
  <c r="H6" i="28"/>
  <c r="J8" i="30"/>
  <c r="J7" i="28"/>
  <c r="M136" i="17"/>
  <c r="Q136" i="17" s="1"/>
  <c r="D10" i="65" s="1"/>
  <c r="C11" i="64"/>
  <c r="C11" i="29"/>
  <c r="C11" i="30"/>
  <c r="C10" i="28"/>
  <c r="D12" i="29"/>
  <c r="D12" i="64"/>
  <c r="F12" i="30"/>
  <c r="F11" i="28"/>
  <c r="H13" i="30"/>
  <c r="H12" i="28"/>
  <c r="J14" i="30"/>
  <c r="J13" i="28"/>
  <c r="M142" i="17"/>
  <c r="Q142" i="17" s="1"/>
  <c r="D16" i="65" s="1"/>
  <c r="C17" i="29"/>
  <c r="C17" i="30"/>
  <c r="C17" i="64"/>
  <c r="C16" i="28"/>
  <c r="E18" i="30"/>
  <c r="E17" i="28"/>
  <c r="E7" i="40"/>
  <c r="E6" i="39"/>
  <c r="D8" i="42"/>
  <c r="F8" i="40"/>
  <c r="F7" i="39"/>
  <c r="E21" i="40"/>
  <c r="E20" i="39"/>
  <c r="E22" i="42"/>
  <c r="G22" i="40"/>
  <c r="G21" i="39"/>
  <c r="D22" i="56"/>
  <c r="F22" i="55"/>
  <c r="F21" i="54"/>
  <c r="J7" i="58"/>
  <c r="J6" i="57"/>
  <c r="E13" i="62"/>
  <c r="G13" i="61"/>
  <c r="G12" i="60"/>
  <c r="E25" i="62"/>
  <c r="G25" i="61"/>
  <c r="G24" i="60"/>
  <c r="B10" i="27"/>
  <c r="B10" i="26"/>
  <c r="B9" i="63"/>
  <c r="E11" i="26"/>
  <c r="E10" i="63"/>
  <c r="E7" i="29"/>
  <c r="E7" i="64"/>
  <c r="G7" i="30"/>
  <c r="G6" i="28"/>
  <c r="B11" i="29"/>
  <c r="B11" i="64"/>
  <c r="B11" i="30"/>
  <c r="B10" i="28"/>
  <c r="B17" i="64"/>
  <c r="B17" i="29"/>
  <c r="B17" i="30"/>
  <c r="B16" i="28"/>
  <c r="M182" i="17"/>
  <c r="Q182" i="17" s="1"/>
  <c r="M190" i="17"/>
  <c r="Q190" i="17" s="1"/>
  <c r="M6" i="17"/>
  <c r="Q6" i="17" s="1"/>
  <c r="M11" i="17"/>
  <c r="Q11" i="17" s="1"/>
  <c r="M13" i="17"/>
  <c r="Q13" i="17" s="1"/>
  <c r="M16" i="17"/>
  <c r="Q16" i="17" s="1"/>
  <c r="M19" i="17"/>
  <c r="Q19" i="17" s="1"/>
  <c r="M22" i="17"/>
  <c r="Q22" i="17" s="1"/>
  <c r="M23" i="17"/>
  <c r="Q23" i="17" s="1"/>
  <c r="D8" i="46" s="1"/>
  <c r="M26" i="17"/>
  <c r="Q26" i="17" s="1"/>
  <c r="M29" i="17"/>
  <c r="Q29" i="17" s="1"/>
  <c r="D14" i="46" s="1"/>
  <c r="M32" i="17"/>
  <c r="Q32" i="17" s="1"/>
  <c r="D17" i="46" s="1"/>
  <c r="M34" i="17"/>
  <c r="Q34" i="17" s="1"/>
  <c r="M37" i="17"/>
  <c r="Q37" i="17" s="1"/>
  <c r="M39" i="17"/>
  <c r="Q39" i="17" s="1"/>
  <c r="M40" i="17"/>
  <c r="Q40" i="17" s="1"/>
  <c r="M42" i="17"/>
  <c r="Q42" i="17" s="1"/>
  <c r="M45" i="17"/>
  <c r="Q45" i="17" s="1"/>
  <c r="M48" i="17"/>
  <c r="Q48" i="17" s="1"/>
  <c r="E10" i="56"/>
  <c r="G10" i="55"/>
  <c r="G9" i="54"/>
  <c r="J13" i="55"/>
  <c r="J12" i="54"/>
  <c r="B17" i="55"/>
  <c r="B17" i="56"/>
  <c r="B16" i="54"/>
  <c r="C18" i="56"/>
  <c r="C18" i="55"/>
  <c r="C17" i="54"/>
  <c r="E19" i="54"/>
  <c r="E20" i="55"/>
  <c r="E22" i="56"/>
  <c r="G22" i="55"/>
  <c r="G21" i="54"/>
  <c r="B10" i="59"/>
  <c r="B10" i="58"/>
  <c r="B9" i="57"/>
  <c r="C11" i="59"/>
  <c r="C11" i="58"/>
  <c r="C10" i="57"/>
  <c r="E13" i="58"/>
  <c r="E12" i="57"/>
  <c r="J16" i="58"/>
  <c r="J15" i="57"/>
  <c r="B7" i="45"/>
  <c r="B6" i="43"/>
  <c r="B23" i="45"/>
  <c r="Q51" i="17"/>
  <c r="E7" i="55"/>
  <c r="E6" i="54"/>
  <c r="D8" i="56"/>
  <c r="F8" i="55"/>
  <c r="F7" i="54"/>
  <c r="E9" i="56"/>
  <c r="G9" i="55"/>
  <c r="G8" i="54"/>
  <c r="H10" i="55"/>
  <c r="H9" i="54"/>
  <c r="J12" i="55"/>
  <c r="J11" i="54"/>
  <c r="B16" i="56"/>
  <c r="B16" i="55"/>
  <c r="B15" i="54"/>
  <c r="C17" i="56"/>
  <c r="C17" i="55"/>
  <c r="C16" i="54"/>
  <c r="Q63" i="17"/>
  <c r="D20" i="56"/>
  <c r="F20" i="55"/>
  <c r="F19" i="54"/>
  <c r="E21" i="56"/>
  <c r="G21" i="55"/>
  <c r="G20" i="54"/>
  <c r="H22" i="55"/>
  <c r="H21" i="54"/>
  <c r="J24" i="55"/>
  <c r="J23" i="54"/>
  <c r="B9" i="59"/>
  <c r="B9" i="58"/>
  <c r="B8" i="57"/>
  <c r="C10" i="59"/>
  <c r="C10" i="58"/>
  <c r="C9" i="57"/>
  <c r="Q75" i="17"/>
  <c r="D13" i="59"/>
  <c r="F13" i="58"/>
  <c r="F12" i="57"/>
  <c r="E14" i="59"/>
  <c r="G14" i="58"/>
  <c r="G13" i="57"/>
  <c r="B18" i="59"/>
  <c r="B18" i="58"/>
  <c r="B17" i="57"/>
  <c r="E19" i="58"/>
  <c r="E18" i="57"/>
  <c r="E20" i="59"/>
  <c r="G20" i="58"/>
  <c r="G19" i="57"/>
  <c r="I21" i="58"/>
  <c r="I20" i="57"/>
  <c r="B24" i="59"/>
  <c r="B24" i="58"/>
  <c r="B23" i="57"/>
  <c r="E26" i="59"/>
  <c r="G26" i="58"/>
  <c r="G25" i="57"/>
  <c r="I7" i="61"/>
  <c r="I6" i="60"/>
  <c r="B10" i="62"/>
  <c r="B10" i="61"/>
  <c r="B9" i="60"/>
  <c r="E12" i="62"/>
  <c r="G12" i="61"/>
  <c r="G11" i="60"/>
  <c r="B16" i="62"/>
  <c r="B16" i="61"/>
  <c r="B15" i="60"/>
  <c r="E17" i="61"/>
  <c r="E16" i="60"/>
  <c r="E18" i="62"/>
  <c r="G18" i="61"/>
  <c r="G17" i="60"/>
  <c r="B22" i="62"/>
  <c r="B22" i="61"/>
  <c r="B21" i="60"/>
  <c r="E24" i="62"/>
  <c r="G24" i="61"/>
  <c r="G23" i="60"/>
  <c r="B9" i="27"/>
  <c r="B9" i="26"/>
  <c r="B8" i="63"/>
  <c r="E11" i="27"/>
  <c r="G11" i="26"/>
  <c r="G10" i="63"/>
  <c r="B15" i="27"/>
  <c r="B15" i="26"/>
  <c r="B14" i="63"/>
  <c r="E16" i="26"/>
  <c r="E15" i="63"/>
  <c r="E17" i="27"/>
  <c r="G17" i="26"/>
  <c r="G16" i="63"/>
  <c r="B21" i="27"/>
  <c r="B21" i="26"/>
  <c r="B20" i="63"/>
  <c r="E22" i="26"/>
  <c r="E21" i="63"/>
  <c r="E23" i="27"/>
  <c r="G23" i="26"/>
  <c r="G22" i="63"/>
  <c r="I24" i="26"/>
  <c r="I23" i="63"/>
  <c r="B27" i="27"/>
  <c r="B27" i="26"/>
  <c r="B26" i="63"/>
  <c r="E29" i="27"/>
  <c r="G29" i="26"/>
  <c r="G28" i="63"/>
  <c r="B10" i="29"/>
  <c r="B10" i="64"/>
  <c r="B10" i="30"/>
  <c r="B9" i="28"/>
  <c r="E11" i="30"/>
  <c r="E10" i="28"/>
  <c r="E12" i="29"/>
  <c r="E12" i="64"/>
  <c r="G12" i="30"/>
  <c r="G11" i="28"/>
  <c r="B16" i="64"/>
  <c r="B16" i="29"/>
  <c r="B16" i="30"/>
  <c r="B15" i="28"/>
  <c r="M149" i="17"/>
  <c r="Q149" i="17" s="1"/>
  <c r="D7" i="33"/>
  <c r="M155" i="17"/>
  <c r="Q155" i="17" s="1"/>
  <c r="M163" i="17"/>
  <c r="Q163" i="17" s="1"/>
  <c r="M171" i="17"/>
  <c r="Q171" i="17" s="1"/>
  <c r="I9" i="40"/>
  <c r="I8" i="39"/>
  <c r="E15" i="42"/>
  <c r="G15" i="40"/>
  <c r="G14" i="39"/>
  <c r="C7" i="56"/>
  <c r="C7" i="55"/>
  <c r="C6" i="54"/>
  <c r="B18" i="56"/>
  <c r="B18" i="55"/>
  <c r="B17" i="54"/>
  <c r="E15" i="59"/>
  <c r="G15" i="58"/>
  <c r="G14" i="57"/>
  <c r="B11" i="62"/>
  <c r="B11" i="61"/>
  <c r="B10" i="60"/>
  <c r="E19" i="62"/>
  <c r="G19" i="61"/>
  <c r="G18" i="60"/>
  <c r="B23" i="62"/>
  <c r="B23" i="61"/>
  <c r="B22" i="60"/>
  <c r="E12" i="27"/>
  <c r="G12" i="26"/>
  <c r="G11" i="63"/>
  <c r="E9" i="42"/>
  <c r="G9" i="40"/>
  <c r="G8" i="39"/>
  <c r="M4" i="17"/>
  <c r="Q4" i="17" s="1"/>
  <c r="M8" i="17"/>
  <c r="Q8" i="17" s="1"/>
  <c r="M10" i="17"/>
  <c r="Q10" i="17" s="1"/>
  <c r="M14" i="17"/>
  <c r="Q14" i="17" s="1"/>
  <c r="M18" i="17"/>
  <c r="Q18" i="17" s="1"/>
  <c r="M20" i="17"/>
  <c r="Q20" i="17" s="1"/>
  <c r="M24" i="17"/>
  <c r="Q24" i="17" s="1"/>
  <c r="M27" i="17"/>
  <c r="Q27" i="17" s="1"/>
  <c r="M31" i="17"/>
  <c r="Q31" i="17" s="1"/>
  <c r="M35" i="17"/>
  <c r="Q35" i="17" s="1"/>
  <c r="D20" i="46" s="1"/>
  <c r="M46" i="17"/>
  <c r="Q46" i="17" s="1"/>
  <c r="Q50" i="17"/>
  <c r="E8" i="56"/>
  <c r="G8" i="55"/>
  <c r="G7" i="54"/>
  <c r="D19" i="56"/>
  <c r="F19" i="55"/>
  <c r="F18" i="54"/>
  <c r="I22" i="55"/>
  <c r="I21" i="54"/>
  <c r="J23" i="55"/>
  <c r="J22" i="54"/>
  <c r="C9" i="59"/>
  <c r="C9" i="58"/>
  <c r="C8" i="57"/>
  <c r="Q74" i="17"/>
  <c r="E13" i="59"/>
  <c r="G13" i="58"/>
  <c r="G12" i="57"/>
  <c r="J15" i="58"/>
  <c r="J14" i="57"/>
  <c r="F19" i="58"/>
  <c r="D19" i="59"/>
  <c r="F18" i="57"/>
  <c r="M87" i="17"/>
  <c r="Q87" i="17" s="1"/>
  <c r="C24" i="58"/>
  <c r="C24" i="59"/>
  <c r="C23" i="57"/>
  <c r="D25" i="59"/>
  <c r="F25" i="58"/>
  <c r="F24" i="57"/>
  <c r="M93" i="17"/>
  <c r="Q93" i="17" s="1"/>
  <c r="C10" i="62"/>
  <c r="C10" i="61"/>
  <c r="C9" i="60"/>
  <c r="D11" i="62"/>
  <c r="F11" i="61"/>
  <c r="F10" i="60"/>
  <c r="M99" i="17"/>
  <c r="Q99" i="17" s="1"/>
  <c r="C16" i="62"/>
  <c r="C16" i="61"/>
  <c r="C15" i="60"/>
  <c r="D17" i="62"/>
  <c r="F17" i="61"/>
  <c r="F16" i="60"/>
  <c r="H18" i="61"/>
  <c r="H17" i="60"/>
  <c r="M105" i="17"/>
  <c r="Q105" i="17" s="1"/>
  <c r="C22" i="62"/>
  <c r="C22" i="61"/>
  <c r="C21" i="60"/>
  <c r="D23" i="62"/>
  <c r="F23" i="61"/>
  <c r="F22" i="60"/>
  <c r="M111" i="17"/>
  <c r="Q111" i="17" s="1"/>
  <c r="C9" i="26"/>
  <c r="C9" i="27"/>
  <c r="C8" i="63"/>
  <c r="D10" i="27"/>
  <c r="F10" i="26"/>
  <c r="F9" i="63"/>
  <c r="J12" i="26"/>
  <c r="J11" i="63"/>
  <c r="M117" i="17"/>
  <c r="Q117" i="17" s="1"/>
  <c r="C15" i="27"/>
  <c r="C15" i="26"/>
  <c r="C14" i="63"/>
  <c r="F16" i="26"/>
  <c r="D16" i="27"/>
  <c r="F15" i="63"/>
  <c r="H17" i="26"/>
  <c r="H16" i="63"/>
  <c r="J18" i="26"/>
  <c r="J17" i="63"/>
  <c r="M123" i="17"/>
  <c r="Q123" i="17" s="1"/>
  <c r="C21" i="27"/>
  <c r="C21" i="26"/>
  <c r="C20" i="63"/>
  <c r="D22" i="27"/>
  <c r="F22" i="26"/>
  <c r="F21" i="63"/>
  <c r="J24" i="26"/>
  <c r="J23" i="63"/>
  <c r="M129" i="17"/>
  <c r="Q129" i="17" s="1"/>
  <c r="C27" i="27"/>
  <c r="C27" i="26"/>
  <c r="C26" i="63"/>
  <c r="D28" i="27"/>
  <c r="F28" i="26"/>
  <c r="F27" i="63"/>
  <c r="J7" i="30"/>
  <c r="J6" i="28"/>
  <c r="M135" i="17"/>
  <c r="Q135" i="17" s="1"/>
  <c r="C10" i="29"/>
  <c r="C10" i="64"/>
  <c r="C10" i="30"/>
  <c r="C9" i="28"/>
  <c r="D11" i="29"/>
  <c r="D11" i="64"/>
  <c r="F11" i="30"/>
  <c r="F10" i="28"/>
  <c r="J13" i="30"/>
  <c r="J12" i="28"/>
  <c r="M141" i="17"/>
  <c r="Q141" i="17" s="1"/>
  <c r="C16" i="29"/>
  <c r="C16" i="64"/>
  <c r="C16" i="30"/>
  <c r="C15" i="28"/>
  <c r="J20" i="30"/>
  <c r="J19" i="28"/>
  <c r="B23" i="29"/>
  <c r="B23" i="64"/>
  <c r="B23" i="30"/>
  <c r="B22" i="28"/>
  <c r="E7" i="42"/>
  <c r="G7" i="40"/>
  <c r="G6" i="39"/>
  <c r="E13" i="40"/>
  <c r="E12" i="39"/>
  <c r="C19" i="56"/>
  <c r="C19" i="55"/>
  <c r="C18" i="54"/>
  <c r="E7" i="62"/>
  <c r="G7" i="61"/>
  <c r="G6" i="60"/>
  <c r="E12" i="61"/>
  <c r="E11" i="60"/>
  <c r="I20" i="61"/>
  <c r="I19" i="60"/>
  <c r="E17" i="26"/>
  <c r="E16" i="63"/>
  <c r="E24" i="27"/>
  <c r="G24" i="26"/>
  <c r="G23" i="63"/>
  <c r="C18" i="29"/>
  <c r="C18" i="64"/>
  <c r="C18" i="30"/>
  <c r="C17" i="28"/>
  <c r="M7" i="17"/>
  <c r="Q7" i="17" s="1"/>
  <c r="M15" i="17"/>
  <c r="Q15" i="17" s="1"/>
  <c r="M28" i="17"/>
  <c r="Q28" i="17" s="1"/>
  <c r="F7" i="55"/>
  <c r="D7" i="56"/>
  <c r="F6" i="54"/>
  <c r="I10" i="55"/>
  <c r="I9" i="54"/>
  <c r="J11" i="55"/>
  <c r="J10" i="54"/>
  <c r="B15" i="56"/>
  <c r="B15" i="55"/>
  <c r="B14" i="54"/>
  <c r="C16" i="55"/>
  <c r="C16" i="56"/>
  <c r="C15" i="54"/>
  <c r="Q62" i="17"/>
  <c r="E18" i="55"/>
  <c r="E17" i="54"/>
  <c r="E20" i="56"/>
  <c r="G20" i="55"/>
  <c r="G19" i="54"/>
  <c r="B8" i="59"/>
  <c r="B8" i="58"/>
  <c r="B7" i="57"/>
  <c r="E11" i="58"/>
  <c r="E10" i="57"/>
  <c r="D12" i="59"/>
  <c r="F12" i="58"/>
  <c r="F11" i="57"/>
  <c r="M81" i="17"/>
  <c r="Q81" i="17" s="1"/>
  <c r="C18" i="59"/>
  <c r="C18" i="58"/>
  <c r="C17" i="57"/>
  <c r="J21" i="58"/>
  <c r="J20" i="57"/>
  <c r="E7" i="56"/>
  <c r="G7" i="55"/>
  <c r="G6" i="54"/>
  <c r="J10" i="55"/>
  <c r="J9" i="54"/>
  <c r="B14" i="56"/>
  <c r="B14" i="55"/>
  <c r="B13" i="54"/>
  <c r="C15" i="56"/>
  <c r="C15" i="55"/>
  <c r="C14" i="54"/>
  <c r="Q61" i="17"/>
  <c r="E17" i="55"/>
  <c r="E16" i="54"/>
  <c r="D18" i="56"/>
  <c r="F18" i="55"/>
  <c r="F17" i="54"/>
  <c r="E19" i="56"/>
  <c r="G19" i="55"/>
  <c r="G18" i="54"/>
  <c r="H20" i="55"/>
  <c r="H19" i="54"/>
  <c r="J22" i="55"/>
  <c r="J21" i="54"/>
  <c r="B7" i="59"/>
  <c r="B7" i="58"/>
  <c r="B6" i="57"/>
  <c r="C8" i="59"/>
  <c r="C8" i="58"/>
  <c r="C7" i="57"/>
  <c r="Q73" i="17"/>
  <c r="D11" i="59"/>
  <c r="F11" i="58"/>
  <c r="F10" i="57"/>
  <c r="E12" i="59"/>
  <c r="G12" i="58"/>
  <c r="G11" i="57"/>
  <c r="H13" i="58"/>
  <c r="H12" i="57"/>
  <c r="B17" i="59"/>
  <c r="B17" i="58"/>
  <c r="B16" i="57"/>
  <c r="E19" i="59"/>
  <c r="G19" i="58"/>
  <c r="G18" i="57"/>
  <c r="B23" i="59"/>
  <c r="B23" i="58"/>
  <c r="B22" i="57"/>
  <c r="E25" i="59"/>
  <c r="G25" i="58"/>
  <c r="G24" i="57"/>
  <c r="B9" i="62"/>
  <c r="B9" i="61"/>
  <c r="B8" i="60"/>
  <c r="E10" i="61"/>
  <c r="E9" i="60"/>
  <c r="E11" i="62"/>
  <c r="G11" i="61"/>
  <c r="G10" i="60"/>
  <c r="B15" i="62"/>
  <c r="B15" i="61"/>
  <c r="B14" i="60"/>
  <c r="E16" i="61"/>
  <c r="E15" i="60"/>
  <c r="E17" i="62"/>
  <c r="G17" i="61"/>
  <c r="G16" i="60"/>
  <c r="I18" i="61"/>
  <c r="I17" i="60"/>
  <c r="B21" i="62"/>
  <c r="B21" i="61"/>
  <c r="B20" i="60"/>
  <c r="E22" i="61"/>
  <c r="E21" i="60"/>
  <c r="E23" i="62"/>
  <c r="G23" i="61"/>
  <c r="G22" i="60"/>
  <c r="B8" i="27"/>
  <c r="B8" i="26"/>
  <c r="B7" i="63"/>
  <c r="E9" i="26"/>
  <c r="E8" i="63"/>
  <c r="E10" i="27"/>
  <c r="G10" i="26"/>
  <c r="G9" i="63"/>
  <c r="B14" i="26"/>
  <c r="B14" i="27"/>
  <c r="B13" i="63"/>
  <c r="E15" i="26"/>
  <c r="E14" i="63"/>
  <c r="E16" i="27"/>
  <c r="G16" i="26"/>
  <c r="G15" i="63"/>
  <c r="I17" i="26"/>
  <c r="I16" i="63"/>
  <c r="B20" i="27"/>
  <c r="B20" i="26"/>
  <c r="B19" i="63"/>
  <c r="E22" i="27"/>
  <c r="G22" i="26"/>
  <c r="G21" i="63"/>
  <c r="B26" i="27"/>
  <c r="B26" i="26"/>
  <c r="B25" i="63"/>
  <c r="E28" i="27"/>
  <c r="G28" i="26"/>
  <c r="G27" i="63"/>
  <c r="B9" i="29"/>
  <c r="B9" i="64"/>
  <c r="B9" i="30"/>
  <c r="B8" i="28"/>
  <c r="E10" i="30"/>
  <c r="E9" i="28"/>
  <c r="E11" i="29"/>
  <c r="E11" i="64"/>
  <c r="G11" i="30"/>
  <c r="G10" i="28"/>
  <c r="B15" i="29"/>
  <c r="B15" i="64"/>
  <c r="B15" i="30"/>
  <c r="B14" i="28"/>
  <c r="E17" i="29"/>
  <c r="E17" i="64"/>
  <c r="G17" i="30"/>
  <c r="G16" i="28"/>
  <c r="H18" i="30"/>
  <c r="H17" i="28"/>
  <c r="C12" i="42"/>
  <c r="C12" i="40"/>
  <c r="C11" i="39"/>
  <c r="B24" i="42"/>
  <c r="B23" i="39"/>
  <c r="B24" i="40"/>
  <c r="E11" i="56"/>
  <c r="G11" i="55"/>
  <c r="G10" i="54"/>
  <c r="B25" i="59"/>
  <c r="B25" i="58"/>
  <c r="B24" i="57"/>
  <c r="H7" i="55"/>
  <c r="H6" i="54"/>
  <c r="J9" i="55"/>
  <c r="J8" i="54"/>
  <c r="B13" i="56"/>
  <c r="B13" i="55"/>
  <c r="B12" i="54"/>
  <c r="C14" i="56"/>
  <c r="C14" i="55"/>
  <c r="C13" i="54"/>
  <c r="D17" i="56"/>
  <c r="F17" i="55"/>
  <c r="F16" i="54"/>
  <c r="G18" i="55"/>
  <c r="E18" i="56"/>
  <c r="G17" i="54"/>
  <c r="I20" i="55"/>
  <c r="I19" i="54"/>
  <c r="J21" i="55"/>
  <c r="J20" i="54"/>
  <c r="B25" i="56"/>
  <c r="B24" i="54"/>
  <c r="B25" i="55"/>
  <c r="C7" i="59"/>
  <c r="C7" i="58"/>
  <c r="C6" i="57"/>
  <c r="E9" i="58"/>
  <c r="E8" i="57"/>
  <c r="D10" i="59"/>
  <c r="F10" i="58"/>
  <c r="F9" i="57"/>
  <c r="E11" i="59"/>
  <c r="G11" i="58"/>
  <c r="G10" i="57"/>
  <c r="I13" i="58"/>
  <c r="I12" i="57"/>
  <c r="J14" i="58"/>
  <c r="J13" i="57"/>
  <c r="M80" i="17"/>
  <c r="Q80" i="17" s="1"/>
  <c r="C17" i="59"/>
  <c r="C17" i="58"/>
  <c r="C16" i="57"/>
  <c r="D18" i="59"/>
  <c r="F18" i="58"/>
  <c r="F17" i="57"/>
  <c r="H19" i="58"/>
  <c r="H18" i="57"/>
  <c r="J20" i="58"/>
  <c r="J19" i="57"/>
  <c r="M86" i="17"/>
  <c r="Q86" i="17" s="1"/>
  <c r="C23" i="59"/>
  <c r="C23" i="58"/>
  <c r="C22" i="57"/>
  <c r="D24" i="59"/>
  <c r="F24" i="58"/>
  <c r="F23" i="57"/>
  <c r="J26" i="58"/>
  <c r="J25" i="57"/>
  <c r="M92" i="17"/>
  <c r="Q92" i="17" s="1"/>
  <c r="C9" i="62"/>
  <c r="C9" i="61"/>
  <c r="C8" i="60"/>
  <c r="D10" i="62"/>
  <c r="F10" i="61"/>
  <c r="F9" i="60"/>
  <c r="M98" i="17"/>
  <c r="Q98" i="17" s="1"/>
  <c r="C15" i="62"/>
  <c r="C15" i="61"/>
  <c r="C14" i="60"/>
  <c r="D16" i="62"/>
  <c r="F16" i="61"/>
  <c r="F15" i="60"/>
  <c r="H17" i="61"/>
  <c r="H16" i="60"/>
  <c r="M104" i="17"/>
  <c r="Q104" i="17" s="1"/>
  <c r="C21" i="62"/>
  <c r="C21" i="61"/>
  <c r="C20" i="60"/>
  <c r="D22" i="62"/>
  <c r="F22" i="61"/>
  <c r="F21" i="60"/>
  <c r="M110" i="17"/>
  <c r="Q110" i="17" s="1"/>
  <c r="C8" i="27"/>
  <c r="C8" i="26"/>
  <c r="C7" i="63"/>
  <c r="D9" i="27"/>
  <c r="F9" i="26"/>
  <c r="F8" i="63"/>
  <c r="J11" i="26"/>
  <c r="J10" i="63"/>
  <c r="M116" i="17"/>
  <c r="Q116" i="17" s="1"/>
  <c r="C14" i="27"/>
  <c r="C14" i="26"/>
  <c r="C13" i="63"/>
  <c r="D15" i="27"/>
  <c r="F15" i="26"/>
  <c r="F14" i="63"/>
  <c r="J17" i="26"/>
  <c r="J16" i="63"/>
  <c r="M122" i="17"/>
  <c r="Q122" i="17" s="1"/>
  <c r="C20" i="27"/>
  <c r="C20" i="26"/>
  <c r="C19" i="63"/>
  <c r="D21" i="27"/>
  <c r="F21" i="26"/>
  <c r="F20" i="63"/>
  <c r="H22" i="26"/>
  <c r="H21" i="63"/>
  <c r="J23" i="26"/>
  <c r="J22" i="63"/>
  <c r="M128" i="17"/>
  <c r="Q128" i="17" s="1"/>
  <c r="C26" i="27"/>
  <c r="C26" i="26"/>
  <c r="C25" i="63"/>
  <c r="D27" i="27"/>
  <c r="F27" i="26"/>
  <c r="F26" i="63"/>
  <c r="J29" i="26"/>
  <c r="J28" i="63"/>
  <c r="M134" i="17"/>
  <c r="Q134" i="17" s="1"/>
  <c r="C9" i="29"/>
  <c r="C9" i="64"/>
  <c r="C9" i="30"/>
  <c r="C8" i="28"/>
  <c r="D10" i="29"/>
  <c r="D10" i="64"/>
  <c r="F10" i="30"/>
  <c r="F9" i="28"/>
  <c r="J12" i="30"/>
  <c r="J11" i="28"/>
  <c r="M140" i="17"/>
  <c r="Q140" i="17" s="1"/>
  <c r="C15" i="29"/>
  <c r="C15" i="64"/>
  <c r="C15" i="30"/>
  <c r="C14" i="28"/>
  <c r="D16" i="29"/>
  <c r="D16" i="64"/>
  <c r="F16" i="30"/>
  <c r="F15" i="28"/>
  <c r="M147" i="17"/>
  <c r="Q147" i="17" s="1"/>
  <c r="M161" i="17"/>
  <c r="Q161" i="17" s="1"/>
  <c r="M169" i="17"/>
  <c r="Q169" i="17" s="1"/>
  <c r="E19" i="40"/>
  <c r="E18" i="39"/>
  <c r="E20" i="42"/>
  <c r="G20" i="40"/>
  <c r="G19" i="39"/>
  <c r="I7" i="55"/>
  <c r="I6" i="54"/>
  <c r="J8" i="55"/>
  <c r="J7" i="54"/>
  <c r="B12" i="56"/>
  <c r="B12" i="55"/>
  <c r="B11" i="54"/>
  <c r="C13" i="56"/>
  <c r="C13" i="55"/>
  <c r="C12" i="54"/>
  <c r="Q59" i="17"/>
  <c r="E15" i="55"/>
  <c r="E14" i="54"/>
  <c r="D16" i="56"/>
  <c r="F16" i="55"/>
  <c r="F15" i="54"/>
  <c r="E17" i="56"/>
  <c r="G17" i="55"/>
  <c r="G16" i="54"/>
  <c r="H18" i="55"/>
  <c r="H17" i="54"/>
  <c r="J20" i="55"/>
  <c r="J19" i="54"/>
  <c r="B24" i="56"/>
  <c r="B24" i="55"/>
  <c r="B23" i="54"/>
  <c r="C25" i="56"/>
  <c r="C24" i="54"/>
  <c r="C25" i="55"/>
  <c r="Q71" i="17"/>
  <c r="D9" i="59"/>
  <c r="F9" i="58"/>
  <c r="F8" i="57"/>
  <c r="E10" i="59"/>
  <c r="G10" i="58"/>
  <c r="G9" i="57"/>
  <c r="J13" i="58"/>
  <c r="J12" i="57"/>
  <c r="B16" i="59"/>
  <c r="B16" i="58"/>
  <c r="B15" i="57"/>
  <c r="E17" i="58"/>
  <c r="E16" i="57"/>
  <c r="E18" i="59"/>
  <c r="G18" i="58"/>
  <c r="G17" i="57"/>
  <c r="I19" i="58"/>
  <c r="I18" i="57"/>
  <c r="B22" i="59"/>
  <c r="B22" i="58"/>
  <c r="B21" i="57"/>
  <c r="E23" i="58"/>
  <c r="E22" i="57"/>
  <c r="E24" i="59"/>
  <c r="G24" i="58"/>
  <c r="G23" i="57"/>
  <c r="B8" i="62"/>
  <c r="B8" i="61"/>
  <c r="B7" i="60"/>
  <c r="E9" i="61"/>
  <c r="E8" i="60"/>
  <c r="E10" i="62"/>
  <c r="G10" i="61"/>
  <c r="G9" i="60"/>
  <c r="B14" i="62"/>
  <c r="B14" i="61"/>
  <c r="B13" i="60"/>
  <c r="E15" i="61"/>
  <c r="E14" i="60"/>
  <c r="E16" i="62"/>
  <c r="G16" i="61"/>
  <c r="G15" i="60"/>
  <c r="I17" i="61"/>
  <c r="I16" i="60"/>
  <c r="B20" i="61"/>
  <c r="B20" i="62"/>
  <c r="B19" i="60"/>
  <c r="E22" i="62"/>
  <c r="G22" i="61"/>
  <c r="G21" i="60"/>
  <c r="B7" i="27"/>
  <c r="B7" i="26"/>
  <c r="B6" i="63"/>
  <c r="E9" i="27"/>
  <c r="G9" i="26"/>
  <c r="G8" i="63"/>
  <c r="B13" i="27"/>
  <c r="B13" i="26"/>
  <c r="B12" i="63"/>
  <c r="E14" i="26"/>
  <c r="E13" i="63"/>
  <c r="E15" i="27"/>
  <c r="G15" i="26"/>
  <c r="G14" i="63"/>
  <c r="B19" i="27"/>
  <c r="B19" i="26"/>
  <c r="B18" i="63"/>
  <c r="E20" i="26"/>
  <c r="E19" i="63"/>
  <c r="E21" i="27"/>
  <c r="G21" i="26"/>
  <c r="G20" i="63"/>
  <c r="I22" i="26"/>
  <c r="I21" i="63"/>
  <c r="B25" i="27"/>
  <c r="B25" i="26"/>
  <c r="B24" i="63"/>
  <c r="E26" i="26"/>
  <c r="E25" i="63"/>
  <c r="E27" i="27"/>
  <c r="G27" i="26"/>
  <c r="G26" i="63"/>
  <c r="B8" i="29"/>
  <c r="B8" i="64"/>
  <c r="B8" i="30"/>
  <c r="B7" i="28"/>
  <c r="E9" i="30"/>
  <c r="E8" i="28"/>
  <c r="E10" i="64"/>
  <c r="E10" i="29"/>
  <c r="G10" i="30"/>
  <c r="G9" i="28"/>
  <c r="B14" i="29"/>
  <c r="B14" i="64"/>
  <c r="B14" i="30"/>
  <c r="B13" i="28"/>
  <c r="J18" i="30"/>
  <c r="J17" i="28"/>
  <c r="B21" i="29"/>
  <c r="B21" i="64"/>
  <c r="B21" i="30"/>
  <c r="B20" i="28"/>
  <c r="C22" i="29"/>
  <c r="C22" i="64"/>
  <c r="C22" i="30"/>
  <c r="C21" i="28"/>
  <c r="M186" i="17"/>
  <c r="Q186" i="17" s="1"/>
  <c r="M194" i="17"/>
  <c r="Q194" i="17" s="1"/>
  <c r="M207" i="17"/>
  <c r="Q207" i="17" s="1"/>
  <c r="D24" i="42"/>
  <c r="F24" i="40"/>
  <c r="F23" i="39"/>
  <c r="J7" i="55"/>
  <c r="J6" i="54"/>
  <c r="B11" i="56"/>
  <c r="B11" i="55"/>
  <c r="B10" i="54"/>
  <c r="C12" i="55"/>
  <c r="C12" i="56"/>
  <c r="C11" i="54"/>
  <c r="D15" i="56"/>
  <c r="F15" i="55"/>
  <c r="F14" i="54"/>
  <c r="E16" i="56"/>
  <c r="G16" i="55"/>
  <c r="G15" i="54"/>
  <c r="H17" i="55"/>
  <c r="H16" i="54"/>
  <c r="I18" i="55"/>
  <c r="I17" i="54"/>
  <c r="J19" i="55"/>
  <c r="J18" i="54"/>
  <c r="B23" i="56"/>
  <c r="B23" i="55"/>
  <c r="B22" i="54"/>
  <c r="C24" i="55"/>
  <c r="C24" i="56"/>
  <c r="C23" i="54"/>
  <c r="E7" i="58"/>
  <c r="E6" i="57"/>
  <c r="D8" i="59"/>
  <c r="F8" i="58"/>
  <c r="F7" i="57"/>
  <c r="E9" i="59"/>
  <c r="G9" i="58"/>
  <c r="G8" i="57"/>
  <c r="J12" i="58"/>
  <c r="J11" i="57"/>
  <c r="M79" i="17"/>
  <c r="Q79" i="17" s="1"/>
  <c r="C16" i="59"/>
  <c r="C16" i="58"/>
  <c r="C15" i="57"/>
  <c r="D17" i="59"/>
  <c r="F17" i="58"/>
  <c r="F16" i="57"/>
  <c r="J19" i="58"/>
  <c r="J18" i="57"/>
  <c r="M85" i="17"/>
  <c r="Q85" i="17" s="1"/>
  <c r="D22" i="39" s="1"/>
  <c r="C22" i="59"/>
  <c r="C22" i="58"/>
  <c r="C21" i="57"/>
  <c r="D23" i="59"/>
  <c r="F23" i="58"/>
  <c r="F22" i="57"/>
  <c r="J25" i="58"/>
  <c r="J24" i="57"/>
  <c r="M91" i="17"/>
  <c r="Q91" i="17" s="1"/>
  <c r="C8" i="62"/>
  <c r="C8" i="61"/>
  <c r="C7" i="60"/>
  <c r="D9" i="62"/>
  <c r="F9" i="61"/>
  <c r="F8" i="60"/>
  <c r="H10" i="61"/>
  <c r="H9" i="60"/>
  <c r="M97" i="17"/>
  <c r="Q97" i="17" s="1"/>
  <c r="C14" i="62"/>
  <c r="C14" i="61"/>
  <c r="C13" i="60"/>
  <c r="D15" i="62"/>
  <c r="F15" i="61"/>
  <c r="F14" i="60"/>
  <c r="M103" i="17"/>
  <c r="Q103" i="17" s="1"/>
  <c r="C20" i="62"/>
  <c r="C20" i="61"/>
  <c r="C19" i="60"/>
  <c r="D21" i="62"/>
  <c r="F21" i="61"/>
  <c r="F20" i="60"/>
  <c r="H22" i="61"/>
  <c r="H21" i="60"/>
  <c r="M109" i="17"/>
  <c r="Q109" i="17" s="1"/>
  <c r="C7" i="27"/>
  <c r="C7" i="26"/>
  <c r="C6" i="63"/>
  <c r="D8" i="27"/>
  <c r="F8" i="26"/>
  <c r="F7" i="63"/>
  <c r="H9" i="26"/>
  <c r="H8" i="63"/>
  <c r="J10" i="26"/>
  <c r="J9" i="63"/>
  <c r="M115" i="17"/>
  <c r="Q115" i="17" s="1"/>
  <c r="C13" i="27"/>
  <c r="C13" i="26"/>
  <c r="C12" i="63"/>
  <c r="D14" i="27"/>
  <c r="F14" i="26"/>
  <c r="F13" i="63"/>
  <c r="J16" i="26"/>
  <c r="J15" i="63"/>
  <c r="M121" i="17"/>
  <c r="Q121" i="17" s="1"/>
  <c r="C19" i="27"/>
  <c r="C19" i="26"/>
  <c r="C18" i="63"/>
  <c r="D20" i="27"/>
  <c r="F20" i="26"/>
  <c r="F19" i="63"/>
  <c r="J22" i="26"/>
  <c r="J21" i="63"/>
  <c r="M127" i="17"/>
  <c r="Q127" i="17" s="1"/>
  <c r="C25" i="27"/>
  <c r="C25" i="26"/>
  <c r="C24" i="63"/>
  <c r="D26" i="27"/>
  <c r="F26" i="26"/>
  <c r="F25" i="63"/>
  <c r="J28" i="26"/>
  <c r="J27" i="63"/>
  <c r="M133" i="17"/>
  <c r="Q133" i="17" s="1"/>
  <c r="D7" i="65" s="1"/>
  <c r="C8" i="64"/>
  <c r="C8" i="30"/>
  <c r="C8" i="29"/>
  <c r="C7" i="28"/>
  <c r="D9" i="29"/>
  <c r="D9" i="64"/>
  <c r="F9" i="30"/>
  <c r="F8" i="28"/>
  <c r="H10" i="30"/>
  <c r="H9" i="28"/>
  <c r="J11" i="30"/>
  <c r="J10" i="28"/>
  <c r="M139" i="17"/>
  <c r="Q139" i="17" s="1"/>
  <c r="D13" i="65" s="1"/>
  <c r="C14" i="29"/>
  <c r="C14" i="64"/>
  <c r="C14" i="30"/>
  <c r="C13" i="28"/>
  <c r="D15" i="64"/>
  <c r="D15" i="29"/>
  <c r="F15" i="30"/>
  <c r="F14" i="28"/>
  <c r="H15" i="28"/>
  <c r="H16" i="30"/>
  <c r="E23" i="29"/>
  <c r="E23" i="64"/>
  <c r="G23" i="30"/>
  <c r="G22" i="28"/>
  <c r="M174" i="17"/>
  <c r="Q174" i="17" s="1"/>
  <c r="M199" i="17"/>
  <c r="Q199" i="17" s="1"/>
  <c r="I13" i="40"/>
  <c r="I12" i="39"/>
  <c r="E18" i="40"/>
  <c r="E17" i="39"/>
  <c r="E19" i="42"/>
  <c r="G19" i="40"/>
  <c r="G18" i="39"/>
  <c r="B10" i="56"/>
  <c r="B10" i="55"/>
  <c r="B9" i="54"/>
  <c r="C11" i="56"/>
  <c r="C11" i="55"/>
  <c r="C10" i="54"/>
  <c r="Q57" i="17"/>
  <c r="E13" i="55"/>
  <c r="E12" i="54"/>
  <c r="D14" i="56"/>
  <c r="F14" i="55"/>
  <c r="F13" i="54"/>
  <c r="E15" i="56"/>
  <c r="G15" i="55"/>
  <c r="G14" i="54"/>
  <c r="I17" i="55"/>
  <c r="I16" i="54"/>
  <c r="J18" i="55"/>
  <c r="J17" i="54"/>
  <c r="B22" i="56"/>
  <c r="B22" i="55"/>
  <c r="B21" i="54"/>
  <c r="C23" i="56"/>
  <c r="C23" i="55"/>
  <c r="C22" i="54"/>
  <c r="Q69" i="17"/>
  <c r="D7" i="59"/>
  <c r="F7" i="58"/>
  <c r="F6" i="57"/>
  <c r="E8" i="59"/>
  <c r="G8" i="58"/>
  <c r="G7" i="57"/>
  <c r="H9" i="58"/>
  <c r="H8" i="57"/>
  <c r="J11" i="58"/>
  <c r="J10" i="57"/>
  <c r="B15" i="59"/>
  <c r="B15" i="58"/>
  <c r="B14" i="57"/>
  <c r="E16" i="58"/>
  <c r="E15" i="57"/>
  <c r="E17" i="59"/>
  <c r="G17" i="58"/>
  <c r="G16" i="57"/>
  <c r="B21" i="59"/>
  <c r="B21" i="58"/>
  <c r="B20" i="57"/>
  <c r="E23" i="59"/>
  <c r="G23" i="58"/>
  <c r="G22" i="57"/>
  <c r="B7" i="62"/>
  <c r="B7" i="61"/>
  <c r="B6" i="60"/>
  <c r="E9" i="62"/>
  <c r="G9" i="61"/>
  <c r="G8" i="60"/>
  <c r="I10" i="61"/>
  <c r="I9" i="60"/>
  <c r="B13" i="62"/>
  <c r="B13" i="61"/>
  <c r="B12" i="60"/>
  <c r="E14" i="61"/>
  <c r="E13" i="60"/>
  <c r="E15" i="62"/>
  <c r="G15" i="61"/>
  <c r="G14" i="60"/>
  <c r="B19" i="62"/>
  <c r="B19" i="61"/>
  <c r="B18" i="60"/>
  <c r="E20" i="61"/>
  <c r="E19" i="60"/>
  <c r="E21" i="62"/>
  <c r="G21" i="61"/>
  <c r="G20" i="60"/>
  <c r="I22" i="61"/>
  <c r="I21" i="60"/>
  <c r="B25" i="62"/>
  <c r="B25" i="61"/>
  <c r="B24" i="60"/>
  <c r="E7" i="26"/>
  <c r="E6" i="63"/>
  <c r="E8" i="27"/>
  <c r="G8" i="26"/>
  <c r="G7" i="63"/>
  <c r="I9" i="26"/>
  <c r="I8" i="63"/>
  <c r="B12" i="27"/>
  <c r="B12" i="26"/>
  <c r="B11" i="63"/>
  <c r="E13" i="26"/>
  <c r="E12" i="63"/>
  <c r="E14" i="27"/>
  <c r="G14" i="26"/>
  <c r="G13" i="63"/>
  <c r="B18" i="27"/>
  <c r="B18" i="26"/>
  <c r="B17" i="63"/>
  <c r="E19" i="26"/>
  <c r="E18" i="63"/>
  <c r="E20" i="27"/>
  <c r="G20" i="26"/>
  <c r="G19" i="63"/>
  <c r="B24" i="27"/>
  <c r="B24" i="26"/>
  <c r="B23" i="63"/>
  <c r="E26" i="27"/>
  <c r="G26" i="26"/>
  <c r="G25" i="63"/>
  <c r="B7" i="29"/>
  <c r="B7" i="64"/>
  <c r="B7" i="30"/>
  <c r="B6" i="28"/>
  <c r="E9" i="29"/>
  <c r="G9" i="30"/>
  <c r="G8" i="28"/>
  <c r="B13" i="64"/>
  <c r="B13" i="29"/>
  <c r="B13" i="30"/>
  <c r="B12" i="28"/>
  <c r="M145" i="17"/>
  <c r="Q145" i="17" s="1"/>
  <c r="D22" i="29"/>
  <c r="D22" i="64"/>
  <c r="F22" i="30"/>
  <c r="F21" i="28"/>
  <c r="M151" i="17"/>
  <c r="Q151" i="17" s="1"/>
  <c r="M159" i="17"/>
  <c r="Q159" i="17" s="1"/>
  <c r="M167" i="17"/>
  <c r="Q167" i="17" s="1"/>
  <c r="D7" i="45"/>
  <c r="D13" i="56"/>
  <c r="F13" i="55"/>
  <c r="F12" i="54"/>
  <c r="E14" i="56"/>
  <c r="G14" i="55"/>
  <c r="G13" i="54"/>
  <c r="H15" i="55"/>
  <c r="H14" i="54"/>
  <c r="J17" i="55"/>
  <c r="J16" i="54"/>
  <c r="B21" i="55"/>
  <c r="B21" i="56"/>
  <c r="B20" i="54"/>
  <c r="C22" i="56"/>
  <c r="C22" i="55"/>
  <c r="C21" i="54"/>
  <c r="D25" i="56"/>
  <c r="F25" i="55"/>
  <c r="F24" i="54"/>
  <c r="E7" i="59"/>
  <c r="G7" i="58"/>
  <c r="G6" i="57"/>
  <c r="I9" i="58"/>
  <c r="I8" i="57"/>
  <c r="J10" i="58"/>
  <c r="J9" i="57"/>
  <c r="B14" i="59"/>
  <c r="B14" i="58"/>
  <c r="B13" i="57"/>
  <c r="C15" i="59"/>
  <c r="C15" i="58"/>
  <c r="C14" i="57"/>
  <c r="D16" i="59"/>
  <c r="F16" i="58"/>
  <c r="F15" i="57"/>
  <c r="H17" i="58"/>
  <c r="H16" i="57"/>
  <c r="J18" i="58"/>
  <c r="J17" i="57"/>
  <c r="M84" i="17"/>
  <c r="Q84" i="17" s="1"/>
  <c r="C21" i="59"/>
  <c r="C21" i="58"/>
  <c r="C20" i="57"/>
  <c r="D22" i="59"/>
  <c r="F22" i="58"/>
  <c r="F21" i="57"/>
  <c r="H23" i="58"/>
  <c r="H22" i="57"/>
  <c r="J24" i="58"/>
  <c r="J23" i="57"/>
  <c r="M90" i="17"/>
  <c r="Q90" i="17" s="1"/>
  <c r="C7" i="62"/>
  <c r="C7" i="61"/>
  <c r="C6" i="60"/>
  <c r="D8" i="62"/>
  <c r="F8" i="61"/>
  <c r="F7" i="60"/>
  <c r="M96" i="17"/>
  <c r="Q96" i="17" s="1"/>
  <c r="C13" i="62"/>
  <c r="C13" i="61"/>
  <c r="C12" i="60"/>
  <c r="D14" i="62"/>
  <c r="F14" i="61"/>
  <c r="F13" i="60"/>
  <c r="M102" i="17"/>
  <c r="Q102" i="17" s="1"/>
  <c r="C19" i="62"/>
  <c r="C19" i="61"/>
  <c r="C18" i="60"/>
  <c r="D20" i="62"/>
  <c r="F20" i="61"/>
  <c r="F19" i="60"/>
  <c r="M108" i="17"/>
  <c r="Q108" i="17" s="1"/>
  <c r="C25" i="62"/>
  <c r="C25" i="61"/>
  <c r="C24" i="60"/>
  <c r="D7" i="27"/>
  <c r="F7" i="26"/>
  <c r="F6" i="63"/>
  <c r="J9" i="26"/>
  <c r="J8" i="63"/>
  <c r="M114" i="17"/>
  <c r="Q114" i="17" s="1"/>
  <c r="C12" i="27"/>
  <c r="C12" i="26"/>
  <c r="C11" i="63"/>
  <c r="D13" i="27"/>
  <c r="F13" i="26"/>
  <c r="F12" i="63"/>
  <c r="M120" i="17"/>
  <c r="Q120" i="17" s="1"/>
  <c r="C18" i="27"/>
  <c r="C18" i="26"/>
  <c r="C17" i="63"/>
  <c r="D19" i="27"/>
  <c r="F19" i="26"/>
  <c r="F18" i="63"/>
  <c r="H20" i="26"/>
  <c r="H19" i="63"/>
  <c r="J21" i="26"/>
  <c r="J20" i="63"/>
  <c r="M126" i="17"/>
  <c r="Q126" i="17" s="1"/>
  <c r="C24" i="27"/>
  <c r="C24" i="26"/>
  <c r="C23" i="63"/>
  <c r="D25" i="27"/>
  <c r="F25" i="26"/>
  <c r="F24" i="63"/>
  <c r="H26" i="26"/>
  <c r="H25" i="63"/>
  <c r="J27" i="26"/>
  <c r="J26" i="63"/>
  <c r="M132" i="17"/>
  <c r="Q132" i="17" s="1"/>
  <c r="C7" i="29"/>
  <c r="C7" i="64"/>
  <c r="C7" i="30"/>
  <c r="C6" i="28"/>
  <c r="D8" i="29"/>
  <c r="D8" i="64"/>
  <c r="F8" i="30"/>
  <c r="F7" i="28"/>
  <c r="J10" i="30"/>
  <c r="J9" i="28"/>
  <c r="M138" i="17"/>
  <c r="Q138" i="17" s="1"/>
  <c r="C13" i="29"/>
  <c r="C13" i="30"/>
  <c r="C13" i="64"/>
  <c r="C12" i="28"/>
  <c r="D14" i="29"/>
  <c r="D14" i="64"/>
  <c r="F14" i="30"/>
  <c r="F13" i="28"/>
  <c r="J16" i="30"/>
  <c r="J15" i="28"/>
  <c r="B19" i="29"/>
  <c r="B19" i="64"/>
  <c r="B19" i="30"/>
  <c r="B18" i="28"/>
  <c r="C20" i="64"/>
  <c r="C20" i="29"/>
  <c r="C20" i="30"/>
  <c r="C19" i="28"/>
  <c r="M184" i="17"/>
  <c r="Q184" i="17" s="1"/>
  <c r="E11" i="42"/>
  <c r="G11" i="40"/>
  <c r="G10" i="39"/>
  <c r="M205" i="17"/>
  <c r="Q205" i="17" s="1"/>
  <c r="C10" i="56"/>
  <c r="C10" i="55"/>
  <c r="C9" i="54"/>
  <c r="E12" i="55"/>
  <c r="E11" i="54"/>
  <c r="B8" i="56"/>
  <c r="B8" i="55"/>
  <c r="B7" i="54"/>
  <c r="C9" i="56"/>
  <c r="C9" i="55"/>
  <c r="C8" i="54"/>
  <c r="Q55" i="17"/>
  <c r="E11" i="55"/>
  <c r="E10" i="54"/>
  <c r="D12" i="56"/>
  <c r="F12" i="55"/>
  <c r="F11" i="54"/>
  <c r="E13" i="56"/>
  <c r="G13" i="55"/>
  <c r="G12" i="54"/>
  <c r="I15" i="55"/>
  <c r="I14" i="54"/>
  <c r="J16" i="55"/>
  <c r="J15" i="54"/>
  <c r="B20" i="56"/>
  <c r="B20" i="55"/>
  <c r="B19" i="54"/>
  <c r="C21" i="56"/>
  <c r="C21" i="55"/>
  <c r="C20" i="54"/>
  <c r="Q67" i="17"/>
  <c r="D24" i="56"/>
  <c r="F24" i="55"/>
  <c r="F23" i="54"/>
  <c r="E25" i="56"/>
  <c r="G25" i="55"/>
  <c r="G24" i="54"/>
  <c r="H7" i="58"/>
  <c r="H6" i="57"/>
  <c r="J9" i="58"/>
  <c r="J8" i="57"/>
  <c r="B13" i="59"/>
  <c r="B13" i="58"/>
  <c r="B12" i="57"/>
  <c r="C14" i="59"/>
  <c r="C14" i="58"/>
  <c r="C13" i="57"/>
  <c r="E15" i="58"/>
  <c r="E14" i="57"/>
  <c r="E16" i="59"/>
  <c r="G16" i="58"/>
  <c r="G15" i="57"/>
  <c r="I17" i="58"/>
  <c r="I16" i="57"/>
  <c r="B20" i="59"/>
  <c r="B20" i="58"/>
  <c r="B19" i="57"/>
  <c r="E21" i="58"/>
  <c r="E20" i="57"/>
  <c r="E22" i="59"/>
  <c r="G22" i="58"/>
  <c r="G21" i="57"/>
  <c r="I23" i="58"/>
  <c r="I22" i="57"/>
  <c r="B26" i="59"/>
  <c r="B26" i="58"/>
  <c r="B25" i="57"/>
  <c r="E7" i="61"/>
  <c r="E6" i="60"/>
  <c r="E8" i="62"/>
  <c r="G8" i="61"/>
  <c r="G7" i="60"/>
  <c r="B12" i="62"/>
  <c r="B11" i="60"/>
  <c r="B12" i="61"/>
  <c r="E14" i="62"/>
  <c r="G14" i="61"/>
  <c r="G13" i="60"/>
  <c r="B18" i="62"/>
  <c r="B18" i="61"/>
  <c r="B17" i="60"/>
  <c r="E20" i="62"/>
  <c r="G20" i="61"/>
  <c r="G19" i="60"/>
  <c r="B24" i="62"/>
  <c r="B24" i="61"/>
  <c r="B23" i="60"/>
  <c r="E7" i="27"/>
  <c r="G7" i="26"/>
  <c r="G6" i="63"/>
  <c r="B11" i="27"/>
  <c r="B11" i="26"/>
  <c r="B10" i="63"/>
  <c r="E13" i="27"/>
  <c r="G13" i="26"/>
  <c r="G12" i="63"/>
  <c r="B17" i="27"/>
  <c r="B17" i="26"/>
  <c r="B16" i="63"/>
  <c r="E19" i="27"/>
  <c r="G19" i="26"/>
  <c r="G18" i="63"/>
  <c r="I20" i="26"/>
  <c r="I19" i="63"/>
  <c r="B23" i="27"/>
  <c r="B23" i="26"/>
  <c r="B22" i="63"/>
  <c r="E24" i="26"/>
  <c r="E23" i="63"/>
  <c r="E25" i="27"/>
  <c r="G25" i="26"/>
  <c r="G24" i="63"/>
  <c r="I26" i="26"/>
  <c r="I25" i="63"/>
  <c r="B29" i="27"/>
  <c r="B29" i="26"/>
  <c r="B28" i="63"/>
  <c r="E7" i="30"/>
  <c r="E6" i="28"/>
  <c r="E8" i="29"/>
  <c r="E8" i="64"/>
  <c r="G8" i="30"/>
  <c r="G7" i="28"/>
  <c r="B12" i="29"/>
  <c r="B12" i="64"/>
  <c r="B12" i="30"/>
  <c r="B11" i="28"/>
  <c r="E13" i="30"/>
  <c r="E12" i="28"/>
  <c r="E21" i="29"/>
  <c r="E21" i="64"/>
  <c r="G21" i="30"/>
  <c r="G20" i="28"/>
  <c r="H21" i="28"/>
  <c r="H22" i="30"/>
  <c r="E9" i="40"/>
  <c r="E8" i="39"/>
  <c r="C16" i="42"/>
  <c r="C15" i="39"/>
  <c r="C16" i="40"/>
  <c r="B9" i="56"/>
  <c r="B9" i="55"/>
  <c r="B8" i="54"/>
  <c r="B7" i="56"/>
  <c r="B7" i="55"/>
  <c r="B6" i="54"/>
  <c r="C8" i="56"/>
  <c r="C8" i="55"/>
  <c r="C7" i="54"/>
  <c r="E10" i="55"/>
  <c r="E9" i="54"/>
  <c r="D11" i="56"/>
  <c r="F11" i="55"/>
  <c r="F10" i="54"/>
  <c r="E12" i="56"/>
  <c r="G12" i="55"/>
  <c r="G11" i="54"/>
  <c r="J14" i="54"/>
  <c r="J15" i="55"/>
  <c r="B19" i="56"/>
  <c r="B19" i="55"/>
  <c r="B18" i="54"/>
  <c r="C20" i="56"/>
  <c r="C20" i="55"/>
  <c r="C19" i="54"/>
  <c r="E22" i="55"/>
  <c r="E21" i="54"/>
  <c r="D23" i="56"/>
  <c r="F23" i="55"/>
  <c r="F22" i="54"/>
  <c r="E24" i="56"/>
  <c r="G24" i="55"/>
  <c r="G23" i="54"/>
  <c r="I7" i="58"/>
  <c r="I6" i="57"/>
  <c r="J8" i="58"/>
  <c r="J7" i="57"/>
  <c r="B12" i="59"/>
  <c r="B12" i="58"/>
  <c r="B11" i="57"/>
  <c r="C13" i="59"/>
  <c r="C13" i="58"/>
  <c r="C12" i="57"/>
  <c r="D15" i="59"/>
  <c r="F15" i="58"/>
  <c r="F14" i="57"/>
  <c r="J17" i="58"/>
  <c r="J16" i="57"/>
  <c r="M83" i="17"/>
  <c r="Q83" i="17" s="1"/>
  <c r="C20" i="59"/>
  <c r="C20" i="58"/>
  <c r="C19" i="57"/>
  <c r="D21" i="59"/>
  <c r="F21" i="58"/>
  <c r="F20" i="57"/>
  <c r="J23" i="58"/>
  <c r="J22" i="57"/>
  <c r="M89" i="17"/>
  <c r="Q89" i="17" s="1"/>
  <c r="C26" i="59"/>
  <c r="C26" i="58"/>
  <c r="C25" i="57"/>
  <c r="D7" i="62"/>
  <c r="F7" i="61"/>
  <c r="F6" i="60"/>
  <c r="M95" i="17"/>
  <c r="Q95" i="17" s="1"/>
  <c r="C12" i="62"/>
  <c r="C12" i="61"/>
  <c r="C11" i="60"/>
  <c r="D13" i="62"/>
  <c r="F13" i="61"/>
  <c r="F12" i="60"/>
  <c r="H14" i="61"/>
  <c r="H13" i="60"/>
  <c r="M101" i="17"/>
  <c r="Q101" i="17" s="1"/>
  <c r="C18" i="62"/>
  <c r="C18" i="61"/>
  <c r="C17" i="60"/>
  <c r="D19" i="62"/>
  <c r="F19" i="61"/>
  <c r="F18" i="60"/>
  <c r="H20" i="61"/>
  <c r="H19" i="60"/>
  <c r="M107" i="17"/>
  <c r="Q107" i="17" s="1"/>
  <c r="C24" i="62"/>
  <c r="C24" i="61"/>
  <c r="C23" i="60"/>
  <c r="D25" i="62"/>
  <c r="F25" i="61"/>
  <c r="F24" i="60"/>
  <c r="H7" i="26"/>
  <c r="H6" i="63"/>
  <c r="J8" i="26"/>
  <c r="J7" i="63"/>
  <c r="M113" i="17"/>
  <c r="Q113" i="17" s="1"/>
  <c r="C11" i="27"/>
  <c r="C11" i="26"/>
  <c r="C10" i="63"/>
  <c r="D12" i="27"/>
  <c r="F12" i="26"/>
  <c r="F11" i="63"/>
  <c r="J14" i="26"/>
  <c r="J13" i="63"/>
  <c r="M119" i="17"/>
  <c r="Q119" i="17" s="1"/>
  <c r="C17" i="27"/>
  <c r="C17" i="26"/>
  <c r="C16" i="63"/>
  <c r="D18" i="27"/>
  <c r="F18" i="26"/>
  <c r="F17" i="63"/>
  <c r="J20" i="26"/>
  <c r="J19" i="63"/>
  <c r="M125" i="17"/>
  <c r="Q125" i="17" s="1"/>
  <c r="C23" i="27"/>
  <c r="C23" i="26"/>
  <c r="C22" i="63"/>
  <c r="D24" i="27"/>
  <c r="F24" i="26"/>
  <c r="F23" i="63"/>
  <c r="J26" i="26"/>
  <c r="J25" i="63"/>
  <c r="M131" i="17"/>
  <c r="Q131" i="17" s="1"/>
  <c r="C29" i="27"/>
  <c r="C29" i="26"/>
  <c r="C28" i="63"/>
  <c r="D7" i="64"/>
  <c r="D7" i="29"/>
  <c r="F7" i="30"/>
  <c r="F6" i="28"/>
  <c r="J9" i="30"/>
  <c r="J8" i="28"/>
  <c r="M137" i="17"/>
  <c r="Q137" i="17" s="1"/>
  <c r="C12" i="64"/>
  <c r="C12" i="29"/>
  <c r="C12" i="30"/>
  <c r="C11" i="28"/>
  <c r="D13" i="29"/>
  <c r="D13" i="64"/>
  <c r="F13" i="30"/>
  <c r="F12" i="28"/>
  <c r="J15" i="30"/>
  <c r="J14" i="28"/>
  <c r="M143" i="17"/>
  <c r="Q143" i="17" s="1"/>
  <c r="D20" i="29"/>
  <c r="D20" i="64"/>
  <c r="F20" i="30"/>
  <c r="F19" i="28"/>
  <c r="M157" i="17"/>
  <c r="Q157" i="17" s="1"/>
  <c r="C8" i="42"/>
  <c r="C8" i="40"/>
  <c r="C7" i="39"/>
  <c r="D18" i="64"/>
  <c r="D18" i="29"/>
  <c r="F18" i="30"/>
  <c r="F17" i="28"/>
  <c r="E19" i="29"/>
  <c r="E19" i="64"/>
  <c r="G19" i="30"/>
  <c r="G18" i="28"/>
  <c r="H20" i="30"/>
  <c r="H19" i="28"/>
  <c r="J22" i="30"/>
  <c r="J21" i="28"/>
  <c r="Q153" i="17"/>
  <c r="Q165" i="17"/>
  <c r="Q180" i="17"/>
  <c r="Q192" i="17"/>
  <c r="I7" i="40"/>
  <c r="I6" i="39"/>
  <c r="C14" i="42"/>
  <c r="C14" i="40"/>
  <c r="C13" i="39"/>
  <c r="E15" i="40"/>
  <c r="E14" i="39"/>
  <c r="E17" i="42"/>
  <c r="G17" i="40"/>
  <c r="G16" i="39"/>
  <c r="I18" i="40"/>
  <c r="I17" i="39"/>
  <c r="E22" i="40"/>
  <c r="E21" i="39"/>
  <c r="B26" i="42"/>
  <c r="B26" i="40"/>
  <c r="B25" i="39"/>
  <c r="E15" i="30"/>
  <c r="E14" i="28"/>
  <c r="E16" i="30"/>
  <c r="E15" i="28"/>
  <c r="D17" i="29"/>
  <c r="D17" i="64"/>
  <c r="F17" i="30"/>
  <c r="F16" i="28"/>
  <c r="E18" i="29"/>
  <c r="E18" i="64"/>
  <c r="G18" i="30"/>
  <c r="G17" i="28"/>
  <c r="I20" i="30"/>
  <c r="I19" i="28"/>
  <c r="J21" i="30"/>
  <c r="J20" i="28"/>
  <c r="Q152" i="17"/>
  <c r="Q164" i="17"/>
  <c r="Q191" i="17"/>
  <c r="Q200" i="17"/>
  <c r="M201" i="17"/>
  <c r="Q201" i="17" s="1"/>
  <c r="C13" i="42"/>
  <c r="C13" i="40"/>
  <c r="C12" i="39"/>
  <c r="E16" i="42"/>
  <c r="G16" i="40"/>
  <c r="G15" i="39"/>
  <c r="M210" i="17"/>
  <c r="Q210" i="17" s="1"/>
  <c r="C21" i="42"/>
  <c r="C21" i="40"/>
  <c r="C20" i="39"/>
  <c r="I23" i="40"/>
  <c r="I22" i="39"/>
  <c r="E13" i="64"/>
  <c r="E13" i="29"/>
  <c r="G13" i="30"/>
  <c r="G12" i="28"/>
  <c r="E14" i="64"/>
  <c r="G14" i="30"/>
  <c r="E14" i="29"/>
  <c r="G13" i="28"/>
  <c r="E15" i="29"/>
  <c r="E15" i="64"/>
  <c r="G15" i="30"/>
  <c r="G14" i="28"/>
  <c r="E16" i="29"/>
  <c r="E16" i="64"/>
  <c r="G16" i="30"/>
  <c r="G15" i="28"/>
  <c r="I18" i="30"/>
  <c r="I17" i="28"/>
  <c r="J19" i="30"/>
  <c r="J18" i="28"/>
  <c r="Q148" i="17"/>
  <c r="D22" i="65" s="1"/>
  <c r="Q150" i="17"/>
  <c r="Q162" i="17"/>
  <c r="Q189" i="17"/>
  <c r="Q198" i="17"/>
  <c r="C11" i="42"/>
  <c r="C11" i="40"/>
  <c r="C10" i="39"/>
  <c r="E14" i="42"/>
  <c r="G14" i="40"/>
  <c r="G13" i="39"/>
  <c r="H15" i="40"/>
  <c r="H14" i="39"/>
  <c r="M209" i="17"/>
  <c r="Q209" i="17" s="1"/>
  <c r="C20" i="42"/>
  <c r="C20" i="40"/>
  <c r="C19" i="39"/>
  <c r="E26" i="42"/>
  <c r="G26" i="40"/>
  <c r="G25" i="39"/>
  <c r="C10" i="42"/>
  <c r="C10" i="40"/>
  <c r="C9" i="39"/>
  <c r="E11" i="40"/>
  <c r="E10" i="39"/>
  <c r="E13" i="42"/>
  <c r="G13" i="40"/>
  <c r="G12" i="39"/>
  <c r="I15" i="40"/>
  <c r="I14" i="39"/>
  <c r="E20" i="40"/>
  <c r="E19" i="39"/>
  <c r="E21" i="42"/>
  <c r="G21" i="40"/>
  <c r="G20" i="39"/>
  <c r="I7" i="30"/>
  <c r="I6" i="28"/>
  <c r="I10" i="30"/>
  <c r="I9" i="28"/>
  <c r="I13" i="30"/>
  <c r="I12" i="28"/>
  <c r="I16" i="30"/>
  <c r="I15" i="28"/>
  <c r="J17" i="30"/>
  <c r="J16" i="28"/>
  <c r="Q146" i="17"/>
  <c r="D20" i="65" s="1"/>
  <c r="B22" i="29"/>
  <c r="B22" i="64"/>
  <c r="B22" i="30"/>
  <c r="B21" i="28"/>
  <c r="C23" i="64"/>
  <c r="C23" i="29"/>
  <c r="C23" i="30"/>
  <c r="C22" i="28"/>
  <c r="B7" i="33"/>
  <c r="B7" i="32"/>
  <c r="B6" i="31"/>
  <c r="Q160" i="17"/>
  <c r="Q172" i="17"/>
  <c r="M173" i="17"/>
  <c r="Q173" i="17" s="1"/>
  <c r="Q187" i="17"/>
  <c r="M188" i="17"/>
  <c r="Q188" i="17" s="1"/>
  <c r="M197" i="17"/>
  <c r="Q197" i="17" s="1"/>
  <c r="C9" i="42"/>
  <c r="C9" i="40"/>
  <c r="C8" i="39"/>
  <c r="E12" i="42"/>
  <c r="G12" i="40"/>
  <c r="G11" i="39"/>
  <c r="H13" i="40"/>
  <c r="H12" i="39"/>
  <c r="M208" i="17"/>
  <c r="Q208" i="17" s="1"/>
  <c r="C19" i="42"/>
  <c r="C19" i="40"/>
  <c r="C18" i="39"/>
  <c r="Q144" i="17"/>
  <c r="D18" i="65" s="1"/>
  <c r="B20" i="29"/>
  <c r="B20" i="64"/>
  <c r="B20" i="30"/>
  <c r="B19" i="28"/>
  <c r="C21" i="29"/>
  <c r="C21" i="64"/>
  <c r="C21" i="30"/>
  <c r="C20" i="28"/>
  <c r="E22" i="30"/>
  <c r="E21" i="28"/>
  <c r="D23" i="29"/>
  <c r="D23" i="64"/>
  <c r="F23" i="30"/>
  <c r="F22" i="28"/>
  <c r="Q158" i="17"/>
  <c r="Q170" i="17"/>
  <c r="Q185" i="17"/>
  <c r="C7" i="42"/>
  <c r="C6" i="39"/>
  <c r="C7" i="40"/>
  <c r="E10" i="42"/>
  <c r="G10" i="40"/>
  <c r="G9" i="39"/>
  <c r="H11" i="40"/>
  <c r="H10" i="39"/>
  <c r="Q206" i="17"/>
  <c r="C18" i="42"/>
  <c r="C18" i="40"/>
  <c r="C17" i="39"/>
  <c r="B18" i="29"/>
  <c r="B18" i="64"/>
  <c r="B18" i="30"/>
  <c r="B17" i="28"/>
  <c r="C19" i="29"/>
  <c r="C19" i="64"/>
  <c r="C19" i="30"/>
  <c r="C18" i="28"/>
  <c r="E20" i="30"/>
  <c r="E19" i="28"/>
  <c r="D21" i="29"/>
  <c r="D21" i="64"/>
  <c r="F21" i="30"/>
  <c r="F20" i="28"/>
  <c r="E22" i="64"/>
  <c r="E22" i="29"/>
  <c r="G21" i="28"/>
  <c r="G22" i="30"/>
  <c r="Q156" i="17"/>
  <c r="Q168" i="17"/>
  <c r="Q183" i="17"/>
  <c r="D7" i="42"/>
  <c r="F7" i="40"/>
  <c r="F6" i="39"/>
  <c r="E8" i="42"/>
  <c r="G8" i="40"/>
  <c r="G7" i="39"/>
  <c r="H9" i="40"/>
  <c r="H8" i="39"/>
  <c r="Q204" i="17"/>
  <c r="C17" i="42"/>
  <c r="C17" i="40"/>
  <c r="C16" i="39"/>
  <c r="M212" i="17"/>
  <c r="Q212" i="17" s="1"/>
  <c r="E18" i="42"/>
  <c r="G18" i="40"/>
  <c r="G17" i="39"/>
  <c r="I24" i="40"/>
  <c r="I23" i="39"/>
  <c r="I22" i="30"/>
  <c r="I21" i="28"/>
  <c r="J23" i="30"/>
  <c r="J22" i="28"/>
  <c r="Q154" i="17"/>
  <c r="Q166" i="17"/>
  <c r="Q181" i="17"/>
  <c r="Q193" i="17"/>
  <c r="H7" i="40"/>
  <c r="H6" i="39"/>
  <c r="Q202" i="17"/>
  <c r="C15" i="42"/>
  <c r="C15" i="40"/>
  <c r="C14" i="39"/>
  <c r="H18" i="40"/>
  <c r="H17" i="39"/>
  <c r="M211" i="17"/>
  <c r="Q211" i="17" s="1"/>
  <c r="C22" i="42"/>
  <c r="C22" i="40"/>
  <c r="C21" i="39"/>
  <c r="D23" i="42"/>
  <c r="F23" i="40"/>
  <c r="F22" i="39"/>
  <c r="E23" i="39"/>
  <c r="J12" i="39"/>
  <c r="J15" i="39"/>
  <c r="J18" i="39"/>
  <c r="D25" i="42"/>
  <c r="F25" i="40"/>
  <c r="B16" i="40"/>
  <c r="B7" i="42"/>
  <c r="B7" i="40"/>
  <c r="B8" i="42"/>
  <c r="B8" i="40"/>
  <c r="B9" i="42"/>
  <c r="B9" i="40"/>
  <c r="B10" i="42"/>
  <c r="B10" i="40"/>
  <c r="B11" i="42"/>
  <c r="B11" i="40"/>
  <c r="B12" i="42"/>
  <c r="B12" i="40"/>
  <c r="B13" i="40"/>
  <c r="B13" i="42"/>
  <c r="B14" i="42"/>
  <c r="B14" i="40"/>
  <c r="B15" i="42"/>
  <c r="B15" i="40"/>
  <c r="B17" i="42"/>
  <c r="B17" i="40"/>
  <c r="B18" i="42"/>
  <c r="B18" i="40"/>
  <c r="B19" i="42"/>
  <c r="B19" i="40"/>
  <c r="B20" i="42"/>
  <c r="B20" i="40"/>
  <c r="B21" i="42"/>
  <c r="B21" i="40"/>
  <c r="B22" i="42"/>
  <c r="B22" i="40"/>
  <c r="B23" i="42"/>
  <c r="B23" i="40"/>
  <c r="E25" i="42"/>
  <c r="G25" i="40"/>
  <c r="B6" i="39"/>
  <c r="J11" i="39"/>
  <c r="B13" i="39"/>
  <c r="B16" i="39"/>
  <c r="B19" i="39"/>
  <c r="J20" i="39"/>
  <c r="E22" i="39"/>
  <c r="J8" i="39"/>
  <c r="E24" i="42"/>
  <c r="G24" i="40"/>
  <c r="B12" i="39"/>
  <c r="B21" i="39"/>
  <c r="J7" i="39"/>
  <c r="B9" i="39"/>
  <c r="J14" i="39"/>
  <c r="J17" i="39"/>
  <c r="D9" i="42"/>
  <c r="F9" i="40"/>
  <c r="D10" i="42"/>
  <c r="F10" i="40"/>
  <c r="D11" i="42"/>
  <c r="F11" i="40"/>
  <c r="D12" i="42"/>
  <c r="F12" i="40"/>
  <c r="D13" i="42"/>
  <c r="F13" i="40"/>
  <c r="D14" i="42"/>
  <c r="F14" i="40"/>
  <c r="D15" i="42"/>
  <c r="F15" i="40"/>
  <c r="D16" i="42"/>
  <c r="F16" i="40"/>
  <c r="D17" i="42"/>
  <c r="F17" i="40"/>
  <c r="D18" i="42"/>
  <c r="F18" i="40"/>
  <c r="D19" i="42"/>
  <c r="F19" i="40"/>
  <c r="D20" i="42"/>
  <c r="F20" i="40"/>
  <c r="D21" i="42"/>
  <c r="F21" i="40"/>
  <c r="D22" i="42"/>
  <c r="F22" i="40"/>
  <c r="E23" i="42"/>
  <c r="G23" i="40"/>
  <c r="B8" i="39"/>
  <c r="J10" i="39"/>
  <c r="J13" i="39"/>
  <c r="B15" i="39"/>
  <c r="J16" i="39"/>
  <c r="B18" i="39"/>
  <c r="J19" i="39"/>
  <c r="F21" i="39"/>
  <c r="F24" i="39"/>
  <c r="F9" i="39"/>
  <c r="F12" i="39"/>
  <c r="G24" i="39"/>
  <c r="B11" i="39"/>
  <c r="B14" i="39"/>
  <c r="B17" i="39"/>
  <c r="B20" i="39"/>
  <c r="J21" i="39"/>
  <c r="B25" i="42"/>
  <c r="B25" i="40"/>
  <c r="J6" i="39"/>
  <c r="J9" i="39"/>
  <c r="F15" i="39"/>
  <c r="F18" i="39"/>
  <c r="A6" i="24"/>
  <c r="A29" i="24"/>
  <c r="A25" i="24"/>
  <c r="A21" i="24"/>
  <c r="A23" i="24"/>
  <c r="A11" i="24"/>
  <c r="A7" i="24"/>
  <c r="A34" i="24"/>
  <c r="A19" i="24"/>
  <c r="A17" i="24"/>
  <c r="A15" i="24"/>
  <c r="A13" i="24"/>
  <c r="A9" i="24"/>
  <c r="A36" i="24"/>
  <c r="A32" i="24"/>
  <c r="A28" i="24"/>
  <c r="A30" i="24"/>
  <c r="A26" i="24"/>
  <c r="A10" i="24"/>
  <c r="A33" i="24"/>
  <c r="A22" i="24"/>
  <c r="D10" i="44" l="1"/>
  <c r="D9" i="43"/>
  <c r="D13" i="44"/>
  <c r="D12" i="43"/>
  <c r="D16" i="44"/>
  <c r="D15" i="43"/>
  <c r="D20" i="44"/>
  <c r="D19" i="43"/>
  <c r="D12" i="44"/>
  <c r="D11" i="43"/>
  <c r="D7" i="44"/>
  <c r="D6" i="43"/>
  <c r="D7" i="55"/>
  <c r="D6" i="34"/>
  <c r="D7" i="35"/>
  <c r="D11" i="34"/>
  <c r="D12" i="35"/>
  <c r="D9" i="34"/>
  <c r="D10" i="35"/>
  <c r="D8" i="34"/>
  <c r="D9" i="35"/>
  <c r="D12" i="32"/>
  <c r="D11" i="31"/>
  <c r="D16" i="32"/>
  <c r="D15" i="31"/>
  <c r="D8" i="32"/>
  <c r="D7" i="31"/>
  <c r="D11" i="32"/>
  <c r="D10" i="31"/>
  <c r="D18" i="32"/>
  <c r="D17" i="31"/>
  <c r="D7" i="32"/>
  <c r="D6" i="31"/>
  <c r="D19" i="54"/>
  <c r="D14" i="32"/>
  <c r="D13" i="31"/>
  <c r="D15" i="55"/>
  <c r="D14" i="54"/>
  <c r="D13" i="58"/>
  <c r="D12" i="57"/>
  <c r="D24" i="40"/>
  <c r="D23" i="39"/>
  <c r="D23" i="40"/>
  <c r="D20" i="55"/>
  <c r="D6" i="54"/>
  <c r="D17" i="61"/>
  <c r="D16" i="60"/>
  <c r="D7" i="26"/>
  <c r="D6" i="63"/>
  <c r="D17" i="58"/>
  <c r="D16" i="57"/>
  <c r="D26" i="26"/>
  <c r="D25" i="63"/>
  <c r="D16" i="30"/>
  <c r="D15" i="28"/>
  <c r="D19" i="58"/>
  <c r="D18" i="57"/>
  <c r="D9" i="40"/>
  <c r="D8" i="39"/>
  <c r="D23" i="58"/>
  <c r="D22" i="57"/>
  <c r="D10" i="30"/>
  <c r="D9" i="28"/>
  <c r="D18" i="40"/>
  <c r="D17" i="39"/>
  <c r="D22" i="61"/>
  <c r="D21" i="60"/>
  <c r="D10" i="61"/>
  <c r="D9" i="60"/>
  <c r="D11" i="40"/>
  <c r="D10" i="39"/>
  <c r="D9" i="26"/>
  <c r="D8" i="63"/>
  <c r="D20" i="61"/>
  <c r="D19" i="60"/>
  <c r="D13" i="40"/>
  <c r="D12" i="39"/>
  <c r="D21" i="58"/>
  <c r="D20" i="57"/>
  <c r="D10" i="55"/>
  <c r="D9" i="54"/>
  <c r="F42" i="16"/>
  <c r="F30" i="16"/>
  <c r="F18" i="16"/>
  <c r="F6" i="16"/>
  <c r="F41" i="16"/>
  <c r="F29" i="16"/>
  <c r="F17" i="16"/>
  <c r="F5" i="16"/>
  <c r="F40" i="16"/>
  <c r="F39" i="16"/>
  <c r="F27" i="16"/>
  <c r="F15" i="16"/>
  <c r="F3" i="16"/>
  <c r="F38" i="16"/>
  <c r="F26" i="16"/>
  <c r="F14" i="16"/>
  <c r="F37" i="16"/>
  <c r="F25" i="16"/>
  <c r="F13" i="16"/>
  <c r="F36" i="16"/>
  <c r="F24" i="16"/>
  <c r="F12" i="16"/>
  <c r="F35" i="16"/>
  <c r="F23" i="16"/>
  <c r="F11" i="16"/>
  <c r="F34" i="16"/>
  <c r="F22" i="16"/>
  <c r="F10" i="16"/>
  <c r="F33" i="16"/>
  <c r="F21" i="16"/>
  <c r="F9" i="16"/>
  <c r="F44" i="16"/>
  <c r="F32" i="16"/>
  <c r="F20" i="16"/>
  <c r="F8" i="16"/>
  <c r="F43" i="16"/>
  <c r="F31" i="16"/>
  <c r="F19" i="16"/>
  <c r="F7" i="16"/>
  <c r="F28" i="16"/>
  <c r="F16" i="16"/>
  <c r="F4" i="16"/>
  <c r="A21" i="64"/>
  <c r="A9" i="64"/>
  <c r="A16" i="64"/>
  <c r="A18" i="64"/>
  <c r="A13" i="64"/>
  <c r="A20" i="64"/>
  <c r="A8" i="64"/>
  <c r="A22" i="64"/>
  <c r="A10" i="64"/>
  <c r="A17" i="64"/>
  <c r="A12" i="64"/>
  <c r="A19" i="64"/>
  <c r="A7" i="64"/>
  <c r="A14" i="64"/>
  <c r="A23" i="64"/>
  <c r="A15" i="64"/>
  <c r="A11" i="64"/>
  <c r="A21" i="57"/>
  <c r="A12" i="57"/>
  <c r="A15" i="57"/>
  <c r="A10" i="57"/>
  <c r="A24" i="57"/>
  <c r="A18" i="57"/>
  <c r="A13" i="57"/>
  <c r="A19" i="57"/>
  <c r="A8" i="57"/>
  <c r="A22" i="57"/>
  <c r="A16" i="57"/>
  <c r="A11" i="57"/>
  <c r="A9" i="57"/>
  <c r="A25" i="57"/>
  <c r="A23" i="57"/>
  <c r="A17" i="57"/>
  <c r="A14" i="57"/>
  <c r="A6" i="57"/>
  <c r="A20" i="57"/>
  <c r="A7" i="57"/>
  <c r="D9" i="58"/>
  <c r="D8" i="57"/>
  <c r="A18" i="54"/>
  <c r="A14" i="54"/>
  <c r="A12" i="54"/>
  <c r="A9" i="54"/>
  <c r="A7" i="54"/>
  <c r="A21" i="54"/>
  <c r="A15" i="54"/>
  <c r="A10" i="54"/>
  <c r="A24" i="54"/>
  <c r="A22" i="54"/>
  <c r="A19" i="54"/>
  <c r="A13" i="54"/>
  <c r="A8" i="54"/>
  <c r="A20" i="54"/>
  <c r="A16" i="54"/>
  <c r="A11" i="54"/>
  <c r="A23" i="54"/>
  <c r="A6" i="54"/>
  <c r="A17" i="54"/>
  <c r="D18" i="55"/>
  <c r="D17" i="54"/>
  <c r="D6" i="39"/>
  <c r="D7" i="40"/>
  <c r="A16" i="29"/>
  <c r="A23" i="29"/>
  <c r="A11" i="29"/>
  <c r="A13" i="29"/>
  <c r="A20" i="29"/>
  <c r="A8" i="29"/>
  <c r="A15" i="29"/>
  <c r="A17" i="29"/>
  <c r="A12" i="29"/>
  <c r="A19" i="29"/>
  <c r="A7" i="29"/>
  <c r="A14" i="29"/>
  <c r="A21" i="29"/>
  <c r="A9" i="29"/>
  <c r="A10" i="29"/>
  <c r="A22" i="29"/>
  <c r="A18" i="29"/>
  <c r="A23" i="58"/>
  <c r="A26" i="58"/>
  <c r="A7" i="58"/>
  <c r="A24" i="58"/>
  <c r="A21" i="58"/>
  <c r="A8" i="58"/>
  <c r="A22" i="58"/>
  <c r="A13" i="58"/>
  <c r="A16" i="58"/>
  <c r="A11" i="58"/>
  <c r="A19" i="58"/>
  <c r="A14" i="58"/>
  <c r="A20" i="58"/>
  <c r="A25" i="58"/>
  <c r="A9" i="58"/>
  <c r="A17" i="58"/>
  <c r="A12" i="58"/>
  <c r="A10" i="58"/>
  <c r="A18" i="58"/>
  <c r="A15" i="58"/>
  <c r="A13" i="43"/>
  <c r="A9" i="43"/>
  <c r="A14" i="43"/>
  <c r="A10" i="43"/>
  <c r="A6" i="43"/>
  <c r="A16" i="43"/>
  <c r="A12" i="43"/>
  <c r="A7" i="43"/>
  <c r="A8" i="43"/>
  <c r="A15" i="43"/>
  <c r="A11" i="43"/>
  <c r="A25" i="55"/>
  <c r="A23" i="55"/>
  <c r="A20" i="55"/>
  <c r="A14" i="55"/>
  <c r="A21" i="55"/>
  <c r="A17" i="55"/>
  <c r="A12" i="55"/>
  <c r="A24" i="55"/>
  <c r="A18" i="55"/>
  <c r="A13" i="55"/>
  <c r="A10" i="55"/>
  <c r="A9" i="55"/>
  <c r="A19" i="55"/>
  <c r="A15" i="55"/>
  <c r="A11" i="55"/>
  <c r="A8" i="55"/>
  <c r="A22" i="55"/>
  <c r="A7" i="55"/>
  <c r="A16" i="55"/>
  <c r="A24" i="40"/>
  <c r="A21" i="40"/>
  <c r="A18" i="40"/>
  <c r="A16" i="40"/>
  <c r="A7" i="40"/>
  <c r="A25" i="40"/>
  <c r="A19" i="40"/>
  <c r="A13" i="40"/>
  <c r="A8" i="40"/>
  <c r="A14" i="40"/>
  <c r="A22" i="40"/>
  <c r="A11" i="40"/>
  <c r="A17" i="40"/>
  <c r="A20" i="40"/>
  <c r="A26" i="40"/>
  <c r="A12" i="40"/>
  <c r="A9" i="40"/>
  <c r="A15" i="40"/>
  <c r="A23" i="40"/>
  <c r="A10" i="40"/>
  <c r="D17" i="26"/>
  <c r="D16" i="63"/>
  <c r="D13" i="30"/>
  <c r="D12" i="28"/>
  <c r="D24" i="26"/>
  <c r="D23" i="63"/>
  <c r="D7" i="61"/>
  <c r="D6" i="60"/>
  <c r="A16" i="59"/>
  <c r="A23" i="59"/>
  <c r="A11" i="59"/>
  <c r="A25" i="59"/>
  <c r="A13" i="59"/>
  <c r="A20" i="59"/>
  <c r="A8" i="59"/>
  <c r="A15" i="59"/>
  <c r="A17" i="59"/>
  <c r="A24" i="59"/>
  <c r="A12" i="59"/>
  <c r="A19" i="59"/>
  <c r="A7" i="59"/>
  <c r="A26" i="59"/>
  <c r="A14" i="59"/>
  <c r="A21" i="59"/>
  <c r="A9" i="59"/>
  <c r="A10" i="59"/>
  <c r="A22" i="59"/>
  <c r="A18" i="59"/>
  <c r="A7" i="44"/>
  <c r="A20" i="56"/>
  <c r="A8" i="56"/>
  <c r="A15" i="56"/>
  <c r="A17" i="56"/>
  <c r="A24" i="56"/>
  <c r="A12" i="56"/>
  <c r="A19" i="56"/>
  <c r="A7" i="56"/>
  <c r="A21" i="56"/>
  <c r="A9" i="56"/>
  <c r="A16" i="56"/>
  <c r="A23" i="56"/>
  <c r="A11" i="56"/>
  <c r="A18" i="56"/>
  <c r="A25" i="56"/>
  <c r="A13" i="56"/>
  <c r="A22" i="56"/>
  <c r="A14" i="56"/>
  <c r="A10" i="56"/>
  <c r="A22" i="39"/>
  <c r="A25" i="39"/>
  <c r="A20" i="39"/>
  <c r="A17" i="39"/>
  <c r="A14" i="39"/>
  <c r="A11" i="39"/>
  <c r="A23" i="39"/>
  <c r="A18" i="39"/>
  <c r="A15" i="39"/>
  <c r="A8" i="39"/>
  <c r="A24" i="39"/>
  <c r="A9" i="39"/>
  <c r="A21" i="39"/>
  <c r="A12" i="39"/>
  <c r="A19" i="39"/>
  <c r="A16" i="39"/>
  <c r="A13" i="39"/>
  <c r="A6" i="39"/>
  <c r="A10" i="39"/>
  <c r="A7" i="39"/>
  <c r="A7" i="45"/>
  <c r="A25" i="42"/>
  <c r="A13" i="42"/>
  <c r="A15" i="42"/>
  <c r="A22" i="42"/>
  <c r="A10" i="42"/>
  <c r="A17" i="42"/>
  <c r="A24" i="42"/>
  <c r="A12" i="42"/>
  <c r="A19" i="42"/>
  <c r="A7" i="42"/>
  <c r="A26" i="42"/>
  <c r="A14" i="42"/>
  <c r="A16" i="42"/>
  <c r="A20" i="42"/>
  <c r="A11" i="42"/>
  <c r="A18" i="42"/>
  <c r="A9" i="42"/>
  <c r="A23" i="42"/>
  <c r="A8" i="42"/>
  <c r="A21" i="42"/>
  <c r="A10" i="34"/>
  <c r="A8" i="34"/>
  <c r="A11" i="34"/>
  <c r="A9" i="34"/>
  <c r="A13" i="34"/>
  <c r="A6" i="34"/>
  <c r="A7" i="34"/>
  <c r="A12" i="34"/>
  <c r="D22" i="26"/>
  <c r="D21" i="63"/>
  <c r="D18" i="61"/>
  <c r="D17" i="60"/>
  <c r="D7" i="30"/>
  <c r="D6" i="28"/>
  <c r="D14" i="61"/>
  <c r="D13" i="60"/>
  <c r="D20" i="26"/>
  <c r="D19" i="63"/>
  <c r="A10" i="35"/>
  <c r="A7" i="35"/>
  <c r="A8" i="35"/>
  <c r="A13" i="35"/>
  <c r="A11" i="35"/>
  <c r="A9" i="35"/>
  <c r="A14" i="35"/>
  <c r="A12" i="35"/>
  <c r="D22" i="55"/>
  <c r="D21" i="54"/>
  <c r="A22" i="60"/>
  <c r="A12" i="60"/>
  <c r="A17" i="60"/>
  <c r="A24" i="60"/>
  <c r="A20" i="60"/>
  <c r="A8" i="60"/>
  <c r="A18" i="60"/>
  <c r="A15" i="60"/>
  <c r="A6" i="60"/>
  <c r="A11" i="60"/>
  <c r="A23" i="60"/>
  <c r="A13" i="60"/>
  <c r="A7" i="60"/>
  <c r="A9" i="60"/>
  <c r="A21" i="60"/>
  <c r="A19" i="60"/>
  <c r="A10" i="60"/>
  <c r="A16" i="60"/>
  <c r="A14" i="60"/>
  <c r="A7" i="49"/>
  <c r="A24" i="49"/>
  <c r="A18" i="49"/>
  <c r="A15" i="49"/>
  <c r="A10" i="49"/>
  <c r="A21" i="49"/>
  <c r="A22" i="49"/>
  <c r="A13" i="49"/>
  <c r="A16" i="49"/>
  <c r="A11" i="49"/>
  <c r="A8" i="49"/>
  <c r="A25" i="49"/>
  <c r="A19" i="49"/>
  <c r="A14" i="49"/>
  <c r="A9" i="49"/>
  <c r="A20" i="49"/>
  <c r="A6" i="49"/>
  <c r="A23" i="49"/>
  <c r="A12" i="49"/>
  <c r="A17" i="49"/>
  <c r="A19" i="46"/>
  <c r="A13" i="46"/>
  <c r="A16" i="46"/>
  <c r="A8" i="46"/>
  <c r="A17" i="46"/>
  <c r="A11" i="46"/>
  <c r="A20" i="46"/>
  <c r="A14" i="46"/>
  <c r="A9" i="46"/>
  <c r="A12" i="46"/>
  <c r="A6" i="46"/>
  <c r="A15" i="46"/>
  <c r="A18" i="46"/>
  <c r="A21" i="46"/>
  <c r="A10" i="46"/>
  <c r="A7" i="46"/>
  <c r="A7" i="38"/>
  <c r="A9" i="38"/>
  <c r="A11" i="38"/>
  <c r="A14" i="38"/>
  <c r="A8" i="38"/>
  <c r="A12" i="38"/>
  <c r="A10" i="38"/>
  <c r="A13" i="38"/>
  <c r="A24" i="61"/>
  <c r="A18" i="61"/>
  <c r="A15" i="61"/>
  <c r="A19" i="61"/>
  <c r="A10" i="61"/>
  <c r="A22" i="61"/>
  <c r="A13" i="61"/>
  <c r="A8" i="61"/>
  <c r="A16" i="61"/>
  <c r="A11" i="61"/>
  <c r="A25" i="61"/>
  <c r="A23" i="61"/>
  <c r="A20" i="61"/>
  <c r="A17" i="61"/>
  <c r="A9" i="61"/>
  <c r="A14" i="61"/>
  <c r="A21" i="61"/>
  <c r="A12" i="61"/>
  <c r="D17" i="55"/>
  <c r="D16" i="54"/>
  <c r="A17" i="50"/>
  <c r="A12" i="50"/>
  <c r="A9" i="50"/>
  <c r="A26" i="50"/>
  <c r="A20" i="50"/>
  <c r="A15" i="50"/>
  <c r="A10" i="50"/>
  <c r="A21" i="50"/>
  <c r="A7" i="50"/>
  <c r="A24" i="50"/>
  <c r="A18" i="50"/>
  <c r="A13" i="50"/>
  <c r="A25" i="50"/>
  <c r="A19" i="50"/>
  <c r="A16" i="50"/>
  <c r="A11" i="50"/>
  <c r="A23" i="50"/>
  <c r="A14" i="50"/>
  <c r="A29" i="50"/>
  <c r="A8" i="50"/>
  <c r="A22" i="50"/>
  <c r="A19" i="47"/>
  <c r="A11" i="47"/>
  <c r="A8" i="47"/>
  <c r="A20" i="47"/>
  <c r="A14" i="47"/>
  <c r="A9" i="47"/>
  <c r="A17" i="47"/>
  <c r="A18" i="47"/>
  <c r="A12" i="47"/>
  <c r="A21" i="47"/>
  <c r="A16" i="47"/>
  <c r="A7" i="47"/>
  <c r="A10" i="47"/>
  <c r="A15" i="47"/>
  <c r="A13" i="47"/>
  <c r="A23" i="62"/>
  <c r="A11" i="62"/>
  <c r="A18" i="62"/>
  <c r="A20" i="62"/>
  <c r="A8" i="62"/>
  <c r="A15" i="62"/>
  <c r="A22" i="62"/>
  <c r="A10" i="62"/>
  <c r="A24" i="62"/>
  <c r="A12" i="62"/>
  <c r="A19" i="62"/>
  <c r="A7" i="62"/>
  <c r="A14" i="62"/>
  <c r="A21" i="62"/>
  <c r="A9" i="62"/>
  <c r="A16" i="62"/>
  <c r="A17" i="62"/>
  <c r="A13" i="62"/>
  <c r="A25" i="62"/>
  <c r="A23" i="63"/>
  <c r="A10" i="63"/>
  <c r="A24" i="63"/>
  <c r="A15" i="63"/>
  <c r="A27" i="63"/>
  <c r="A21" i="63"/>
  <c r="A13" i="63"/>
  <c r="A8" i="63"/>
  <c r="A11" i="63"/>
  <c r="A22" i="63"/>
  <c r="A9" i="63"/>
  <c r="A16" i="63"/>
  <c r="A25" i="63"/>
  <c r="A19" i="63"/>
  <c r="A6" i="63"/>
  <c r="A17" i="63"/>
  <c r="A14" i="63"/>
  <c r="A26" i="63"/>
  <c r="A20" i="63"/>
  <c r="A7" i="63"/>
  <c r="A12" i="63"/>
  <c r="A18" i="63"/>
  <c r="A28" i="63"/>
  <c r="A25" i="51"/>
  <c r="A13" i="51"/>
  <c r="A20" i="51"/>
  <c r="A8" i="51"/>
  <c r="A22" i="51"/>
  <c r="A10" i="51"/>
  <c r="A17" i="51"/>
  <c r="A24" i="51"/>
  <c r="A12" i="51"/>
  <c r="A26" i="51"/>
  <c r="A14" i="51"/>
  <c r="A21" i="51"/>
  <c r="A9" i="51"/>
  <c r="A16" i="51"/>
  <c r="A23" i="51"/>
  <c r="A11" i="51"/>
  <c r="A18" i="51"/>
  <c r="A7" i="51"/>
  <c r="A19" i="51"/>
  <c r="A15" i="51"/>
  <c r="A16" i="48"/>
  <c r="A11" i="48"/>
  <c r="A18" i="48"/>
  <c r="A13" i="48"/>
  <c r="A20" i="48"/>
  <c r="A8" i="48"/>
  <c r="A15" i="48"/>
  <c r="A17" i="48"/>
  <c r="A12" i="48"/>
  <c r="A19" i="48"/>
  <c r="A7" i="48"/>
  <c r="A14" i="48"/>
  <c r="A21" i="48"/>
  <c r="A9" i="48"/>
  <c r="A10" i="48"/>
  <c r="A19" i="31"/>
  <c r="A15" i="31"/>
  <c r="A11" i="31"/>
  <c r="A7" i="31"/>
  <c r="A20" i="31"/>
  <c r="A9" i="31"/>
  <c r="A18" i="31"/>
  <c r="A10" i="31"/>
  <c r="A16" i="31"/>
  <c r="A12" i="31"/>
  <c r="A8" i="31"/>
  <c r="A17" i="31"/>
  <c r="A14" i="31"/>
  <c r="A6" i="31"/>
  <c r="A13" i="31"/>
  <c r="A29" i="26"/>
  <c r="A27" i="26"/>
  <c r="A21" i="26"/>
  <c r="A13" i="26"/>
  <c r="A24" i="26"/>
  <c r="A25" i="26"/>
  <c r="A16" i="26"/>
  <c r="A19" i="26"/>
  <c r="A14" i="26"/>
  <c r="A9" i="26"/>
  <c r="A28" i="26"/>
  <c r="A22" i="26"/>
  <c r="A12" i="26"/>
  <c r="A10" i="26"/>
  <c r="A17" i="26"/>
  <c r="A7" i="26"/>
  <c r="A23" i="26"/>
  <c r="A18" i="26"/>
  <c r="A8" i="26"/>
  <c r="A26" i="26"/>
  <c r="A11" i="26"/>
  <c r="A20" i="26"/>
  <c r="A15" i="26"/>
  <c r="A10" i="33"/>
  <c r="A19" i="33"/>
  <c r="A7" i="33"/>
  <c r="A14" i="33"/>
  <c r="A21" i="33"/>
  <c r="A9" i="33"/>
  <c r="A11" i="33"/>
  <c r="A18" i="33"/>
  <c r="A13" i="33"/>
  <c r="A20" i="33"/>
  <c r="A8" i="33"/>
  <c r="A15" i="33"/>
  <c r="A12" i="33"/>
  <c r="A17" i="33"/>
  <c r="A16" i="33"/>
  <c r="A25" i="27"/>
  <c r="A13" i="27"/>
  <c r="A20" i="27"/>
  <c r="A8" i="27"/>
  <c r="A27" i="27"/>
  <c r="A15" i="27"/>
  <c r="A22" i="27"/>
  <c r="A10" i="27"/>
  <c r="A29" i="27"/>
  <c r="A17" i="27"/>
  <c r="A24" i="27"/>
  <c r="A12" i="27"/>
  <c r="A26" i="27"/>
  <c r="A14" i="27"/>
  <c r="A21" i="27"/>
  <c r="A9" i="27"/>
  <c r="A28" i="27"/>
  <c r="A16" i="27"/>
  <c r="A23" i="27"/>
  <c r="A11" i="27"/>
  <c r="A18" i="27"/>
  <c r="A19" i="27"/>
  <c r="A7" i="27"/>
  <c r="D7" i="58"/>
  <c r="D6" i="57"/>
  <c r="A19" i="32"/>
  <c r="A14" i="32"/>
  <c r="A12" i="32"/>
  <c r="A17" i="32"/>
  <c r="A7" i="32"/>
  <c r="A20" i="32"/>
  <c r="A10" i="32"/>
  <c r="A8" i="32"/>
  <c r="A21" i="32"/>
  <c r="A16" i="32"/>
  <c r="A9" i="32"/>
  <c r="A11" i="32"/>
  <c r="A15" i="32"/>
  <c r="A13" i="32"/>
  <c r="A18" i="32"/>
  <c r="D18" i="30"/>
  <c r="D17" i="28"/>
  <c r="A21" i="28"/>
  <c r="A15" i="28"/>
  <c r="A10" i="28"/>
  <c r="A13" i="28"/>
  <c r="A22" i="28"/>
  <c r="A16" i="28"/>
  <c r="A19" i="28"/>
  <c r="A11" i="28"/>
  <c r="A8" i="28"/>
  <c r="A20" i="28"/>
  <c r="A14" i="28"/>
  <c r="A17" i="28"/>
  <c r="A6" i="28"/>
  <c r="A18" i="28"/>
  <c r="A12" i="28"/>
  <c r="A9" i="28"/>
  <c r="A7" i="28"/>
  <c r="D20" i="30"/>
  <c r="D19" i="28"/>
  <c r="D22" i="30"/>
  <c r="D21" i="28"/>
  <c r="D15" i="40"/>
  <c r="D14" i="39"/>
  <c r="A15" i="30"/>
  <c r="A7" i="30"/>
  <c r="A19" i="30"/>
  <c r="A10" i="30"/>
  <c r="A13" i="30"/>
  <c r="A8" i="30"/>
  <c r="A22" i="30"/>
  <c r="A16" i="30"/>
  <c r="A11" i="30"/>
  <c r="A14" i="30"/>
  <c r="A23" i="30"/>
  <c r="A17" i="30"/>
  <c r="A20" i="30"/>
  <c r="A9" i="30"/>
  <c r="A21" i="30"/>
  <c r="A12" i="30"/>
  <c r="A18" i="30"/>
  <c r="F1" i="16" l="1"/>
</calcChain>
</file>

<file path=xl/sharedStrings.xml><?xml version="1.0" encoding="utf-8"?>
<sst xmlns="http://schemas.openxmlformats.org/spreadsheetml/2006/main" count="3074" uniqueCount="682">
  <si>
    <t>STT</t>
  </si>
  <si>
    <t>Tên cơ sở</t>
  </si>
  <si>
    <t>Điện thoại</t>
  </si>
  <si>
    <t>Địa chỉ</t>
  </si>
  <si>
    <t>Huyện Ba Tri</t>
  </si>
  <si>
    <t>Huyện Bình Đại</t>
  </si>
  <si>
    <t>Huyện Châu Thành</t>
  </si>
  <si>
    <t>Huyện Chợ Lách</t>
  </si>
  <si>
    <t>Huyện Giồng Trôm</t>
  </si>
  <si>
    <t>Huyện Mỏ Cày Bắc</t>
  </si>
  <si>
    <t>Huyện Mỏ Cày Nam</t>
  </si>
  <si>
    <t>Huyện Thạnh Phú</t>
  </si>
  <si>
    <t>Thành phố Bến Tre</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</si>
  <si>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</si>
  <si>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</si>
  <si>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</si>
  <si>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</si>
  <si>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</si>
  <si>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</si>
  <si>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</si>
  <si>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</si>
  <si>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</si>
  <si>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</si>
  <si>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</si>
  <si>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</si>
  <si>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</si>
  <si>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</si>
  <si>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</si>
  <si>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</si>
  <si>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Phú Ngãi</t>
  </si>
  <si>
    <t>Xã Phước Tuy</t>
  </si>
  <si>
    <t>Xã Tân Hưng</t>
  </si>
  <si>
    <t>Xã Tân Mỹ</t>
  </si>
  <si>
    <t>Xã Tân Thủy</t>
  </si>
  <si>
    <t>Xã Tân Xuân</t>
  </si>
  <si>
    <t>Xã Vĩnh An</t>
  </si>
  <si>
    <t>Xã Vĩnh Hòa</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</si>
  <si>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</si>
  <si>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</si>
  <si>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</si>
  <si>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</si>
  <si>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</si>
  <si>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</si>
  <si>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</si>
  <si>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</si>
  <si>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</si>
  <si>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</si>
  <si>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</si>
  <si>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</si>
  <si>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</si>
  <si>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</si>
  <si>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</si>
  <si>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</si>
  <si>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</si>
  <si>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</si>
  <si>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</si>
  <si>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</si>
  <si>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Châu Thành</t>
  </si>
  <si>
    <t>Xã An Hóa</t>
  </si>
  <si>
    <t>Xã An Khánh</t>
  </si>
  <si>
    <t>Xã An Phước</t>
  </si>
  <si>
    <t>Xã Giao Hòa</t>
  </si>
  <si>
    <t>Xã Giao Long</t>
  </si>
  <si>
    <t>Xã Hữu Định</t>
  </si>
  <si>
    <t>Xã Mỹ Thành</t>
  </si>
  <si>
    <t>Xã Phú An Hòa</t>
  </si>
  <si>
    <t>Xã Phú Đức</t>
  </si>
  <si>
    <t>Xã Phú Túc</t>
  </si>
  <si>
    <t>Xã Phước Thạnh</t>
  </si>
  <si>
    <t>Xã Qưới Sơn</t>
  </si>
  <si>
    <t>Xã Quới Thành</t>
  </si>
  <si>
    <t>Xã Sơn Hòa</t>
  </si>
  <si>
    <t>Xã Tam Phước</t>
  </si>
  <si>
    <t>Xã Tân Phú</t>
  </si>
  <si>
    <t>Xã Tân Thạch</t>
  </si>
  <si>
    <t>Xã Thành Triệu</t>
  </si>
  <si>
    <t>Xã Tiên Long</t>
  </si>
  <si>
    <t>Xã Tiên Thủy</t>
  </si>
  <si>
    <t>Xã Tường Đa</t>
  </si>
  <si>
    <t>Thị trấn Chợ Lách</t>
  </si>
  <si>
    <t>Xã Hòa Nghĩa</t>
  </si>
  <si>
    <t>Xã Hưng Khánh Trung B</t>
  </si>
  <si>
    <t>Xã Long Thới</t>
  </si>
  <si>
    <t>Xã Phú Phụng</t>
  </si>
  <si>
    <t>Xã Phú Sơn</t>
  </si>
  <si>
    <t>Xã Sơn Định</t>
  </si>
  <si>
    <t>Xã Tân Thiềng</t>
  </si>
  <si>
    <t>Xã Vĩnh Bình</t>
  </si>
  <si>
    <t>Xã Vĩnh Thành</t>
  </si>
  <si>
    <t>Thị trấn Giồng Trôm</t>
  </si>
  <si>
    <t>Xã Bình Hoà</t>
  </si>
  <si>
    <t>Xã Bình Thành</t>
  </si>
  <si>
    <t>Xã Châu Bình</t>
  </si>
  <si>
    <t>Xã Châu Hòa</t>
  </si>
  <si>
    <t>Xã Hưng Lễ</t>
  </si>
  <si>
    <t>Xã Hưng Nhượng</t>
  </si>
  <si>
    <t>Xã Hưng Phong</t>
  </si>
  <si>
    <t>Xã Long Mỹ</t>
  </si>
  <si>
    <t>Xã Lương Hòa</t>
  </si>
  <si>
    <t>Xã Lương Phú</t>
  </si>
  <si>
    <t>Xã Lương Quới</t>
  </si>
  <si>
    <t>Xã Phong Mỹ</t>
  </si>
  <si>
    <t>Xã Phong Nẫm</t>
  </si>
  <si>
    <t>Xã Phước Long</t>
  </si>
  <si>
    <t>Xã Sơn Phú</t>
  </si>
  <si>
    <t>Xã Tân Hào</t>
  </si>
  <si>
    <t>Xã Tân Lợi Thạnh</t>
  </si>
  <si>
    <t>Xã Tân Thanh</t>
  </si>
  <si>
    <t>Xã Thạnh Phú Đông</t>
  </si>
  <si>
    <t>Xã Thuận Điền</t>
  </si>
  <si>
    <t>Xã Hòa Lộc</t>
  </si>
  <si>
    <t>Xã Hưng Khánh Trung A</t>
  </si>
  <si>
    <t>Xã Khánh Thạnh Tân</t>
  </si>
  <si>
    <t>Xã Nhuận Phú Tân</t>
  </si>
  <si>
    <t>Xã Phú Mỹ</t>
  </si>
  <si>
    <t>Xã Phước Mỹ Trung</t>
  </si>
  <si>
    <t>Xã Tân Bình</t>
  </si>
  <si>
    <t>Xã Tân Phú Tây</t>
  </si>
  <si>
    <t>Xã Tân Thành Bình</t>
  </si>
  <si>
    <t>Xã Tân Thanh Tây</t>
  </si>
  <si>
    <t>Xã Thành An</t>
  </si>
  <si>
    <t>Xã Thạnh Ngãi</t>
  </si>
  <si>
    <t>Xã Thanh Tân</t>
  </si>
  <si>
    <t>Thị trấn Mỏ Cày</t>
  </si>
  <si>
    <t>Xã An Định</t>
  </si>
  <si>
    <t>Xã An Thạnh</t>
  </si>
  <si>
    <t>Xã An Thới</t>
  </si>
  <si>
    <t>Xã Bình Khánh Đông</t>
  </si>
  <si>
    <t>Xã Bình Khánh Tây</t>
  </si>
  <si>
    <t>Xã Cẩm Sơn</t>
  </si>
  <si>
    <t>Xã Đa Phước Hội</t>
  </si>
  <si>
    <t>Xã Định Thủy</t>
  </si>
  <si>
    <t>Xã Hương Mỹ</t>
  </si>
  <si>
    <t>Xã Minh Đức</t>
  </si>
  <si>
    <t>Xã Ngãi Đăng</t>
  </si>
  <si>
    <t>Xã Phước Hiệp</t>
  </si>
  <si>
    <t>Xã Tân Hội</t>
  </si>
  <si>
    <t>Xã Tân Trung</t>
  </si>
  <si>
    <t>Xã Thành Thới A</t>
  </si>
  <si>
    <t>Xã Thành Thới B</t>
  </si>
  <si>
    <t>Thị trấn Thạnh Phú</t>
  </si>
  <si>
    <t>Xã An Điền</t>
  </si>
  <si>
    <t>Xã An Nhơn</t>
  </si>
  <si>
    <t>Xã An Quy</t>
  </si>
  <si>
    <t>Xã An Thuận</t>
  </si>
  <si>
    <t>Xã Bình Thạnh</t>
  </si>
  <si>
    <t>Xã Đại Điền</t>
  </si>
  <si>
    <t>Xã Giao Thạnh</t>
  </si>
  <si>
    <t>Xã Hòa Lợi</t>
  </si>
  <si>
    <t>Xã Mỹ An</t>
  </si>
  <si>
    <t>Xã Mỹ Hưng</t>
  </si>
  <si>
    <t>Xã Phú Khánh</t>
  </si>
  <si>
    <t>Xã Quới Điền</t>
  </si>
  <si>
    <t>Xã Tân Phong</t>
  </si>
  <si>
    <t>Xã Thạnh Hải</t>
  </si>
  <si>
    <t>Xã Thạnh Phong</t>
  </si>
  <si>
    <t>Xã Thới Thạnh</t>
  </si>
  <si>
    <t>Phường 1</t>
  </si>
  <si>
    <t>Phường 2</t>
  </si>
  <si>
    <t>Phường 3</t>
  </si>
  <si>
    <t>Phường 4</t>
  </si>
  <si>
    <t>Phường 5</t>
  </si>
  <si>
    <t>Phường 6</t>
  </si>
  <si>
    <t>Phường 7</t>
  </si>
  <si>
    <t>Phường 8</t>
  </si>
  <si>
    <t>Phường Phú Khương</t>
  </si>
  <si>
    <t>Phường Phú Tân</t>
  </si>
  <si>
    <t>Xã Bình Phú</t>
  </si>
  <si>
    <t>Xã Mỹ Thạnh An</t>
  </si>
  <si>
    <t>Xã Nhơn Thạnh</t>
  </si>
  <si>
    <t>Xã Phú Hưng</t>
  </si>
  <si>
    <t>Xã Phú Nhuận</t>
  </si>
  <si>
    <t>Xã Sơn Đông</t>
  </si>
  <si>
    <t>Xã/Phường/TT</t>
  </si>
  <si>
    <t>Huyện</t>
  </si>
  <si>
    <t>TT</t>
  </si>
  <si>
    <t>Ghi chú</t>
  </si>
  <si>
    <t>GIỒNG TRÔM</t>
  </si>
  <si>
    <t>CHỢ LÁCH</t>
  </si>
  <si>
    <t>CHÂU THÀNH</t>
  </si>
  <si>
    <t>BÌNH ĐẠI</t>
  </si>
  <si>
    <t>BA TRI</t>
  </si>
  <si>
    <t>MỎ CÀY BẮC</t>
  </si>
  <si>
    <t>MỎ CÀY NAM</t>
  </si>
  <si>
    <t>THẠNH PHÚ</t>
  </si>
  <si>
    <t>TP BẾN TRE</t>
  </si>
  <si>
    <t>Chloramphenicol</t>
  </si>
  <si>
    <t>Methyltestosterone</t>
  </si>
  <si>
    <t>Nitrofurans</t>
  </si>
  <si>
    <t>Nhóm Tetracyclines</t>
  </si>
  <si>
    <t>Nhóm Sulfonamides</t>
  </si>
  <si>
    <t>Nhóm Quinolones</t>
  </si>
  <si>
    <t>Florfenicol</t>
  </si>
  <si>
    <t>Trimethoprim</t>
  </si>
  <si>
    <t>Ormetoprim</t>
  </si>
  <si>
    <t>Erythromycin</t>
  </si>
  <si>
    <t>Amoxicillin</t>
  </si>
  <si>
    <t>Fosfomycin</t>
  </si>
  <si>
    <t>Azadirachtin</t>
  </si>
  <si>
    <t>Levamisol</t>
  </si>
  <si>
    <t>Fenbendazole</t>
  </si>
  <si>
    <t>Trifluralin</t>
  </si>
  <si>
    <t>Pb, Hg, Cd</t>
  </si>
  <si>
    <t>Malachite Green, Leuco Malachite Green</t>
  </si>
  <si>
    <t>Ao</t>
  </si>
  <si>
    <t>Tên mẫu</t>
  </si>
  <si>
    <t>Chỉ tiêu</t>
  </si>
  <si>
    <t>Cá tra nhỏ</t>
  </si>
  <si>
    <t>Cá tra thương phẩm</t>
  </si>
  <si>
    <t>Công ty CP Hùng Vương</t>
  </si>
  <si>
    <t>Ấp Đông Hòa, xã Song Thuận, huyện Châu Thành, tỉnh Tiền Giang - Chuyển vùng nuôi ở Bến Tre.</t>
  </si>
  <si>
    <t>Công ty CP Gò Đàng</t>
  </si>
  <si>
    <t>Lô 25, KCN Mỹ Tho, xã Trung An, TP. Mỹ Tho,</t>
  </si>
  <si>
    <t>Ấp 9, xã Tân Thạch, huyện Châu Thành, tỉnh Bến Tre.</t>
  </si>
  <si>
    <t>Lô A8-A9, KCN An Hiệp, huyện Châu Thành, Bến Tre.</t>
  </si>
  <si>
    <t>Khu nuôi cá tra thương phẩm - Ấp Phú Tân, xã Phú Túc, huyện Châu Thành, tỉnh Bến Tre.</t>
  </si>
  <si>
    <t>Lê Hoàng Đạt</t>
  </si>
  <si>
    <t>49 Công Lý, Khu phố 2, Thị trấn Mỏ Cày Nam, huyện Mỏ Cày Nam, tỉnh Bến Tre.</t>
  </si>
  <si>
    <t>Khu nuôi cá tra - Công ty CP thủy hải sản An Phú</t>
  </si>
  <si>
    <t>Ấp Phú Bình, Vĩnh Bình, Chợ Lách, Bến Tre</t>
  </si>
  <si>
    <t>Ấp Đông Hòa, xã Song Thuận, huyện Châu Thành, tỉnh Tiền Giang</t>
  </si>
  <si>
    <t>Lô 37 - 40 KCN Mỹ Tho - Tiền Giang</t>
  </si>
  <si>
    <t>Công ty CP NTTS Hùng Vương - Miền Tây</t>
  </si>
  <si>
    <t>Lô 46, Khu công nghiệp Mỹ Tho, tỉnh Tiền Giang</t>
  </si>
  <si>
    <t>02753600609</t>
  </si>
  <si>
    <t>0918262660</t>
  </si>
  <si>
    <t xml:space="preserve">02753626666  </t>
  </si>
  <si>
    <t>Công ty CP Vĩnh Hoàn</t>
  </si>
  <si>
    <t>Đường số 30, Phường 11, Tp. Cao Lãnh, tỉnh Đồng Tháp</t>
  </si>
  <si>
    <t>Lô 44, Khu công nghiệp Mỹ Tho, TP. Mỹ Tho, tỉnh Tiền Giang</t>
  </si>
  <si>
    <t>0909323999
Chị Thu</t>
  </si>
  <si>
    <t>Công ty CP Thủy sản Vinh Quang</t>
  </si>
  <si>
    <t>Công ty TNHH CBTPXK Vạn Đức Tiền Giang</t>
  </si>
  <si>
    <t>Công ty CPTS Hải Hương</t>
  </si>
  <si>
    <t xml:space="preserve">Công ty CPTS Ngọc Xuân </t>
  </si>
  <si>
    <t>Người đại diện</t>
  </si>
  <si>
    <t>Người lấy</t>
  </si>
  <si>
    <t>Tôm sú nhỏ</t>
  </si>
  <si>
    <t>Tôm sú thương phẩm</t>
  </si>
  <si>
    <t>Tôm sú quảng canh</t>
  </si>
  <si>
    <t>Tôm chân trắng nhỏ</t>
  </si>
  <si>
    <t>Tôm chân trắng thương phẩm</t>
  </si>
  <si>
    <t>Nước ương tôm giống</t>
  </si>
  <si>
    <t>An</t>
  </si>
  <si>
    <t>Nguyên</t>
  </si>
  <si>
    <t>Thuận</t>
  </si>
  <si>
    <t>Khanh</t>
  </si>
  <si>
    <t>Dũng</t>
  </si>
  <si>
    <t>Tú</t>
  </si>
  <si>
    <t>Lâm</t>
  </si>
  <si>
    <t>Tháng</t>
  </si>
  <si>
    <t>Ngày</t>
  </si>
  <si>
    <t>Nguyễn Văn Út</t>
  </si>
  <si>
    <t>Ấp 7, xã An Thủy, huyện Ba Tri, tỉnh Bến Tre</t>
  </si>
  <si>
    <t>Ấp 7</t>
  </si>
  <si>
    <t>Ấp 8</t>
  </si>
  <si>
    <t>Cao Thị Ngọc Điệp</t>
  </si>
  <si>
    <t>Ấp 3, xã Phú Vang, huyện Bình Đại, tỉnh Bến Tre</t>
  </si>
  <si>
    <t>Cao Văn Dước</t>
  </si>
  <si>
    <t>Ấp 3</t>
  </si>
  <si>
    <t>Ấp 4</t>
  </si>
  <si>
    <t>A2</t>
  </si>
  <si>
    <t>Khu A Lộc Thuận, ấp Lộc Sơn</t>
  </si>
  <si>
    <t>Khu nuôi, ấp</t>
  </si>
  <si>
    <t>Cao Văn Tùng</t>
  </si>
  <si>
    <t>Mã số</t>
  </si>
  <si>
    <t>Kg</t>
  </si>
  <si>
    <t>Trần Văn Dũng</t>
  </si>
  <si>
    <t>Lê Quốc Cường</t>
  </si>
  <si>
    <t>Ấp Tân An, xã Thạnh Phước, huyện Bình Đại, tỉnh Bến Tre</t>
  </si>
  <si>
    <t>Lê Minh Khách</t>
  </si>
  <si>
    <t>Ấp Phước Hòa, xã Thạnh Phước, huyện Bình Đại, tỉnh Bến Tre</t>
  </si>
  <si>
    <t>A3</t>
  </si>
  <si>
    <t>CAP</t>
  </si>
  <si>
    <t>NF</t>
  </si>
  <si>
    <t>NM</t>
  </si>
  <si>
    <t>TC</t>
  </si>
  <si>
    <t>SUL</t>
  </si>
  <si>
    <t>QUI</t>
  </si>
  <si>
    <t>Flor</t>
  </si>
  <si>
    <t>Trim</t>
  </si>
  <si>
    <t>Orme</t>
  </si>
  <si>
    <t>Fosfo</t>
  </si>
  <si>
    <t>Eryth</t>
  </si>
  <si>
    <t>Azadi</t>
  </si>
  <si>
    <t>Amox</t>
  </si>
  <si>
    <t>B2a</t>
  </si>
  <si>
    <t>Trif</t>
  </si>
  <si>
    <t>Levami</t>
  </si>
  <si>
    <t>Fenben</t>
  </si>
  <si>
    <t>B3a</t>
  </si>
  <si>
    <t>B3b+Fipronil</t>
  </si>
  <si>
    <t>B3c</t>
  </si>
  <si>
    <t>B3e cá</t>
  </si>
  <si>
    <t>B3e tôm</t>
  </si>
  <si>
    <t>.</t>
  </si>
  <si>
    <t>..</t>
  </si>
  <si>
    <t>…</t>
  </si>
  <si>
    <t>….</t>
  </si>
  <si>
    <t>…..</t>
  </si>
  <si>
    <t>Phạm Văn Công</t>
  </si>
  <si>
    <t>Ấp 1, xã Giao Thạnh, huyện Thạnh Phú, tỉnh Bến Tre</t>
  </si>
  <si>
    <t>Ấp 1</t>
  </si>
  <si>
    <t>Ấp Thành Long</t>
  </si>
  <si>
    <t>Ba Tri</t>
  </si>
  <si>
    <t>Bình Đại</t>
  </si>
  <si>
    <t>Thạnh phú</t>
  </si>
  <si>
    <t>Mỏ Cày</t>
  </si>
  <si>
    <t>Châu Thành</t>
  </si>
  <si>
    <t>Giồng Trôm</t>
  </si>
  <si>
    <t>Chợ Lách</t>
  </si>
  <si>
    <t>83/01</t>
  </si>
  <si>
    <t>83/02</t>
  </si>
  <si>
    <t>83/03</t>
  </si>
  <si>
    <t>83/04</t>
  </si>
  <si>
    <t>83/05</t>
  </si>
  <si>
    <t>83/06</t>
  </si>
  <si>
    <t>83/07</t>
  </si>
  <si>
    <t>Tên vùng</t>
  </si>
  <si>
    <t>Tên vùng nuôi</t>
  </si>
  <si>
    <t>B3a+B3b+Fipronil</t>
  </si>
  <si>
    <t>Nguyễn Văn Bé Hai</t>
  </si>
  <si>
    <t>Ấp 8, xã An Thủy, huyện Ba Tri, tỉnh Bến Tre</t>
  </si>
  <si>
    <t>Cao Thanh Phong</t>
  </si>
  <si>
    <t>Phạm Văn Triều</t>
  </si>
  <si>
    <t>Ấp 4, xã Thạnh Phong, huyện Thạnh Phú, tỉnh Bến Tre</t>
  </si>
  <si>
    <t>Ấp Phú Hữu</t>
  </si>
  <si>
    <t>Ấp Phú Bình</t>
  </si>
  <si>
    <t>Huỳnh Văn Hai</t>
  </si>
  <si>
    <t>Nguyễn Văn Mười</t>
  </si>
  <si>
    <t>Ấp Bình Thạnh 3, xã Thạnh Trị, huyện Bình Đại, tỉnh Bến Tre</t>
  </si>
  <si>
    <t>Ấp Tiên Lợi</t>
  </si>
  <si>
    <t>Nguyễn Văn Tài</t>
  </si>
  <si>
    <t>Lê Bá Tú</t>
  </si>
  <si>
    <t>Ấp 3, xã Thạnh Trị, huyện Bình Đại, tỉnh Bến Tre</t>
  </si>
  <si>
    <t>Đặng Thái Bình</t>
  </si>
  <si>
    <t>Ấp An Định, xã An Nhơn, huyện Thạnh Phú, tỉnh Bến Tre</t>
  </si>
  <si>
    <t>Ấp An Hòa, xã An Nhơn, huyện Thạnh Phú, tỉnh Bến Tre</t>
  </si>
  <si>
    <t>Ấp Tân Phong</t>
  </si>
  <si>
    <t>Nguyễn Văn Tín</t>
  </si>
  <si>
    <t>Nguyễn Thị Én</t>
  </si>
  <si>
    <t>Ấp 6, xã Thạnh Phước, huyện Bình Đại, tỉnh Bến Tre</t>
  </si>
  <si>
    <t>Nguyễn Trần Hy</t>
  </si>
  <si>
    <t>Ấp 2, xã Đại Hòa Lộc, huyện Bình Đại, tỉnh Bến Tre</t>
  </si>
  <si>
    <t>Ấp Thạnh Thới Đông, xã Thạnh Hải, huyện Thạnh Phú, tỉnh Bến Tre</t>
  </si>
  <si>
    <t>xã An Thuận, huyện Thạnh Phú, tỉnh Bến Tre</t>
  </si>
  <si>
    <t>Nguyễn Thanh Hải</t>
  </si>
  <si>
    <t>Lê Văn Nói</t>
  </si>
  <si>
    <t>Chloramphenicol, AOZ, Malachite Green, Leuco Malachite Green, Nhóm Quinolones</t>
  </si>
  <si>
    <t>TSQC</t>
  </si>
  <si>
    <t>Nước</t>
  </si>
  <si>
    <t>Chloramphenicol, Furazolidone</t>
  </si>
  <si>
    <t>Ấp 6</t>
  </si>
  <si>
    <t>Không có mẫu</t>
  </si>
  <si>
    <t>D4</t>
  </si>
  <si>
    <t>PHỤ LỤC</t>
  </si>
  <si>
    <t>LẤY MẪU GIÁM SÁT DƯ LƯỢNG TỈNH BẾN TRE THÁNG 8/2022</t>
  </si>
  <si>
    <t xml:space="preserve">(Kèm theo Quyết định số …… /QĐ-QLCL ngày …… tháng …… năm 2022 của 
Chi cục Quản lý chất lượng Nông lâm sản và Thủy sản) </t>
  </si>
  <si>
    <t>Vùng nuôi</t>
  </si>
  <si>
    <t>Người lấy mẫu</t>
  </si>
  <si>
    <t>Thời gian lấy mẫu</t>
  </si>
  <si>
    <t>Chỉ tiêu phân tích</t>
  </si>
  <si>
    <t>Cơ sở lấy mẫu</t>
  </si>
  <si>
    <t>Phạm Châu An</t>
  </si>
  <si>
    <t>Cao Quang Nguyên</t>
  </si>
  <si>
    <t>Phạm Minh Thuận</t>
  </si>
  <si>
    <t>Phạm Văn Lâm</t>
  </si>
  <si>
    <t>Nguyễn Duy Khanh</t>
  </si>
  <si>
    <t>Nguyễn Văn Dũng</t>
  </si>
  <si>
    <t>Đặng Thanh Tú</t>
  </si>
  <si>
    <t>Thời gian</t>
  </si>
  <si>
    <t>Mã số mẫu</t>
  </si>
  <si>
    <t>Dương Văn Phong</t>
  </si>
  <si>
    <t>Ấp 5</t>
  </si>
  <si>
    <t>Công ty TNHH TS Toàn Cầu</t>
  </si>
  <si>
    <t>Ấp Bình Thới, Thới Thuận, huyện Bình Đại, tỉnh Bến Tre</t>
  </si>
  <si>
    <t xml:space="preserve">Ấp Thừa Tiên, Thừa Đức, huyện Bình Đại, tỉnh Bến Tre </t>
  </si>
  <si>
    <t>Cơ sở SX tôm giống Bảy Tươi</t>
  </si>
  <si>
    <t>Ấp 7, Thạnh Phước, huyện Bình Đại, tỉnh Bến Tre</t>
  </si>
  <si>
    <t xml:space="preserve">Công ty CP chăn nuôi C.P. Việt Nam-Chi nhánh 3 tại Bến Tre  </t>
  </si>
  <si>
    <t>Ấp Bình Thới, xã Thới Thuận, huyện Bình Đại, tỉnh Bến Tre</t>
  </si>
  <si>
    <t>Ấp Bình Thới</t>
  </si>
  <si>
    <t>Ấp Thừa Tiên</t>
  </si>
  <si>
    <t xml:space="preserve">Trần Thanh Hải </t>
  </si>
  <si>
    <t>Ấp 1, Thạnh Phước, huyện Bình Đại, tỉnh Bến Tre</t>
  </si>
  <si>
    <t>Trần Thanh Liêm</t>
  </si>
  <si>
    <t>Ấp Thạnh Phước, Thạnh Phong , huyện Thạnh Phú, tỉnh Bến Tre</t>
  </si>
  <si>
    <t>Đặng Kim Nguyện</t>
  </si>
  <si>
    <t>Ấp 10, Thị Trấn Thạnh Phú, huyện Thạnh Phú, tỉnh Bến Tre</t>
  </si>
  <si>
    <t>Nhóm Nitroimidazoles</t>
  </si>
  <si>
    <t>Mã số vùng nuôi</t>
  </si>
  <si>
    <t>Địa điểm lấy mẫu</t>
  </si>
  <si>
    <t>Khối lượng mẫu (kg)</t>
  </si>
  <si>
    <t>SỞ NÔNG NGHIỆP VÀ PTNT TỈNH BẾN TRE</t>
  </si>
  <si>
    <t>Số: 07/DL-QLCL</t>
  </si>
  <si>
    <t>CHI CỤC QUẢN LÝ CHẤT LƯỢNG 
NÔNG LÂM SẢN VÀ THỦY SẢN</t>
  </si>
  <si>
    <t>CỘNG HÒA XÃ HỘI CHỦ NGHĨA VIỆT NAM</t>
  </si>
  <si>
    <t>Độc lập - Tự do - Hạnh phúc</t>
  </si>
  <si>
    <t>Đại diện Cơ quan giám sát</t>
  </si>
  <si>
    <t>Người nhận</t>
  </si>
  <si>
    <t>Người giao</t>
  </si>
  <si>
    <t>Lê Văn Cục</t>
  </si>
  <si>
    <t>Đào Minh Hồ</t>
  </si>
  <si>
    <t xml:space="preserve">Nguyễn Hữu Bình </t>
  </si>
  <si>
    <t>Ấp An Hòa</t>
  </si>
  <si>
    <t>Trần Văn Duy</t>
  </si>
  <si>
    <t>Ấp Tiên Thạnh</t>
  </si>
  <si>
    <t>Số: 08/DL-QLCL</t>
  </si>
  <si>
    <t>C1</t>
  </si>
  <si>
    <t>B3a+B3c</t>
  </si>
  <si>
    <t>Nguyễn Văn Tâm</t>
  </si>
  <si>
    <t>Ấp Việc Giữa</t>
  </si>
  <si>
    <t>83/0722/08</t>
  </si>
  <si>
    <t>83/0722/09</t>
  </si>
  <si>
    <t>Võ Thanh Bình</t>
  </si>
  <si>
    <t>Ấp Giang Hà, xã An Điền, huyện Thạnh Phú, tỉnh Bến tre</t>
  </si>
  <si>
    <t>Ấp Vinh Xương</t>
  </si>
  <si>
    <t>Bùi Văn Huy</t>
  </si>
  <si>
    <t>18/10/2022</t>
  </si>
  <si>
    <t>Ấp Phú Tân</t>
  </si>
  <si>
    <t>Số: 09/DL-QLCL</t>
  </si>
  <si>
    <t>D1</t>
  </si>
  <si>
    <t>bù tháng 7</t>
  </si>
  <si>
    <t>CAP+NF</t>
  </si>
  <si>
    <t>QUI+B2a</t>
  </si>
  <si>
    <t>Nhóm Quinolones, Ivermectin, Praziquantel, Trichlorfon, Avermectin B1a</t>
  </si>
  <si>
    <t>CAP+SUL</t>
  </si>
  <si>
    <t>Chloramphenicol, Nhóm Sulfonamides</t>
  </si>
  <si>
    <t>CAP+QUI</t>
  </si>
  <si>
    <t>Chloramphenicol, Nhóm Quinolones</t>
  </si>
  <si>
    <t>Eryth+B2a</t>
  </si>
  <si>
    <t>Erythromycin,  Ivermectin, Praziquantel, Trichlorfon, Avermectin B1a</t>
  </si>
  <si>
    <t>B3e cá+B3b+Fipronil</t>
  </si>
  <si>
    <t>Malachite Green, Leuco Malachite Green, Crystal Violet, Leuco Crystal Violet, Chlorpyrifos, Fipronil</t>
  </si>
  <si>
    <t>B3c+B3b+Fipronil</t>
  </si>
  <si>
    <t>Pb, Hg, Cd, Chlorpyrifos, Fipronil</t>
  </si>
  <si>
    <t>B2a+B3b+Fipronil</t>
  </si>
  <si>
    <t>Ivermectin, Praziquantel, Trichlorfon, Avermectin B1a, Chlorpyrifos, Fipronil</t>
  </si>
  <si>
    <t>B3c+B3e cá</t>
  </si>
  <si>
    <t>Pb, Hg, Cd, Malachite Green, Leuco Malachite Green, Crystal Violet, Leuco Crystal Violet</t>
  </si>
  <si>
    <t>Levami+Fenben</t>
  </si>
  <si>
    <t>Levamisol, Fenbendazole</t>
  </si>
  <si>
    <t>Nguyễn Văn Phong</t>
  </si>
  <si>
    <t>ấp 7</t>
  </si>
  <si>
    <t>ấp 8</t>
  </si>
  <si>
    <t>Lê Văn Điệp</t>
  </si>
  <si>
    <t>Ấp An Điền, xã An Điền, huyện Thạnh Phú, tỉnh Bến tre</t>
  </si>
  <si>
    <t>Nguyễn Thị Trang</t>
  </si>
  <si>
    <t xml:space="preserve"> Ấp 3, Thạnh Trị, huyện Bình Đại, tỉnh Bến Tre</t>
  </si>
  <si>
    <t>ấp 3</t>
  </si>
  <si>
    <t>ấp 4</t>
  </si>
  <si>
    <t>Ấp An Điền</t>
  </si>
  <si>
    <t>83/0822/08</t>
  </si>
  <si>
    <t>83/0822/09</t>
  </si>
  <si>
    <t>83/0822/10</t>
  </si>
  <si>
    <t>C2</t>
  </si>
  <si>
    <t>C4</t>
  </si>
  <si>
    <t>Cồn Bùn</t>
  </si>
  <si>
    <t>Cồn Kiếng</t>
  </si>
  <si>
    <t>Số: 10/DL-QLCL</t>
  </si>
  <si>
    <t>G1</t>
  </si>
  <si>
    <t>B2a+B3e cá</t>
  </si>
  <si>
    <t>Ivermectin, Praziquantel, Trichlorfon, Avermectin B1a, Malachite Green, Leuco Malachite Green, Crystal Violet, Leuco Crystal Violet</t>
  </si>
  <si>
    <t>83/0922/04</t>
  </si>
  <si>
    <t>83/0922/10</t>
  </si>
  <si>
    <t>83/0922/11</t>
  </si>
  <si>
    <t>83/0922/12</t>
  </si>
  <si>
    <t>mẫu bù tháng 9</t>
  </si>
  <si>
    <t>ấp Tân Tây</t>
  </si>
  <si>
    <t>ấp Phú Bình</t>
  </si>
  <si>
    <t>ấp Bình An</t>
  </si>
  <si>
    <t>Phạm Văn Ba</t>
  </si>
  <si>
    <t xml:space="preserve">Trần Văn Tần </t>
  </si>
  <si>
    <t>Ấp Thạnh Thới B</t>
  </si>
  <si>
    <t xml:space="preserve">Võ Huỳnh Tiến Nghĩa </t>
  </si>
  <si>
    <t>Ấp 4, Bình Thới, huyện Bình Đại, tỉnh Bến Tre</t>
  </si>
  <si>
    <t xml:space="preserve"> Ấp Thạnh Thới B, Thạnh Hải, Thạnh Phú, tỉnh Bến Tre</t>
  </si>
  <si>
    <t>LẤY MẪU GIÁM SÁT DƯ LƯỢNG TỈNH BẾN TRE THÁNG 12/2022</t>
  </si>
  <si>
    <t>TỔNG HỢP THÔNG TIN MẪU GIAO NHẬN THÁNG 12/2022</t>
  </si>
  <si>
    <t>bù tháng 9</t>
  </si>
  <si>
    <t>B8</t>
  </si>
  <si>
    <t>Số: 11/DL-QLCL</t>
  </si>
  <si>
    <t>Bến Tre, ngày 15 tháng 12 năm 2022</t>
  </si>
  <si>
    <t>BIÊN BẢN GIAO NHẬN MẪU THÁNG 12/2022</t>
  </si>
  <si>
    <t>Mẫu bù tháng 9</t>
  </si>
  <si>
    <t>Tp. HCM, ngày 15 tháng 12 năm 2022</t>
  </si>
  <si>
    <t xml:space="preserve">(Kèm theo Quyết định số …… /QĐ-QLCL ngày …… tháng …… năm 2023 của 
Chi cục Quản lý chất lượng Nông lâm sản và Thủy sản) </t>
  </si>
  <si>
    <t xml:space="preserve">Phạm Văn Cưng </t>
  </si>
  <si>
    <t>Số: 01/DL-QLCL</t>
  </si>
  <si>
    <t>Số: 02/DL-QLCL</t>
  </si>
  <si>
    <t>Số: 03/DL-QLCL</t>
  </si>
  <si>
    <t>Trịnh Thị Ngọc Hiện</t>
  </si>
  <si>
    <t>Cồn Tiên Lợi</t>
  </si>
  <si>
    <t>NF sú QC</t>
  </si>
  <si>
    <t>AOZ</t>
  </si>
  <si>
    <t>Nguyễn Văn Chí</t>
  </si>
  <si>
    <t xml:space="preserve">Phạm Thị Kim Yến </t>
  </si>
  <si>
    <t>LẤY MẪU GIÁM SÁT DƯ LƯỢNG TỈNH BẾN TRE THÁNG 5/2023</t>
  </si>
  <si>
    <t>Số: 04/DL-QLCL</t>
  </si>
  <si>
    <t>Bến Tre, ngày   26  tháng   5  năm 2023</t>
  </si>
  <si>
    <t>BIÊN BẢN GIAO NHẬN MẪU THÁNG 5/2023</t>
  </si>
  <si>
    <t>Tp. HCM, ngày 26 tháng 5 năm 2023</t>
  </si>
  <si>
    <t>Tp. HCM, ngày 26  tháng  5 năm 2023</t>
  </si>
  <si>
    <t>Bến Tre, ngày   26  tháng 5 năm 2023</t>
  </si>
  <si>
    <t>TỔNG HỢP THÔNG TIN MẪU GIAO NHẬN THÁNG 5/2023</t>
  </si>
  <si>
    <t>Bến Tre, ngày  26   tháng  5 năm 2023</t>
  </si>
  <si>
    <t>Ấp Phước Hòa</t>
  </si>
  <si>
    <t>Lê Thị Kiều Oanh</t>
  </si>
  <si>
    <t>Ấp Giao Hòa B, xã Giao Thạnh, huyện Thạnh Phú, tỉnh Bến Tre</t>
  </si>
  <si>
    <t>Ấp Giao Hòa B</t>
  </si>
  <si>
    <t>Ấp Thiện Lương</t>
  </si>
  <si>
    <t>Ấp Quân Bình</t>
  </si>
  <si>
    <t>LẤY MẪU GIÁM SÁT DƯ LƯỢNG TỈNH BẾN TRE THÁNG 6/2023</t>
  </si>
  <si>
    <t>Số: 05/DL-QLCL</t>
  </si>
  <si>
    <t>Bến Tre, ngày   23  tháng 6 năm 2023</t>
  </si>
  <si>
    <t>TỔNG HỢP THÔNG TIN MẪU GIAO NHẬN THÁNG 6/2023</t>
  </si>
  <si>
    <t>Bến Tre, ngày   23  tháng   6  năm 2023</t>
  </si>
  <si>
    <t>BIÊN BẢN GIAO NHẬN MẪU THÁNG 6/2023</t>
  </si>
  <si>
    <t>Tp. HCM, ngày 23 tháng 6 năm 2023</t>
  </si>
  <si>
    <t>Tp. HCM, ngày 23  tháng  6 năm 2023</t>
  </si>
  <si>
    <t>B3</t>
  </si>
  <si>
    <t>B5</t>
  </si>
  <si>
    <t>2B</t>
  </si>
  <si>
    <t>Bến Tre, ngày  23   tháng  6 năm 2023</t>
  </si>
  <si>
    <t>Nguyễn Văn Đấu</t>
  </si>
  <si>
    <t>Ấp Bình Thạnh 3</t>
  </si>
  <si>
    <t>Ấp An Định</t>
  </si>
  <si>
    <t>LẤY MẪU GIÁM SÁT DƯ LƯỢNG TỈNH BẾN TRE THÁNG 7/2023</t>
  </si>
  <si>
    <t>Số: 06/DL-QLCL</t>
  </si>
  <si>
    <t>Bến Tre, ngày   14  tháng 7 năm 2023</t>
  </si>
  <si>
    <t>TỔNG HỢP THÔNG TIN MẪU GIAO NHẬN THÁNG 7/2023</t>
  </si>
  <si>
    <t>Bến Tre, ngày  14   tháng  7 năm 2023</t>
  </si>
  <si>
    <t>Bến Tre, ngày   14  tháng   7  năm 2023</t>
  </si>
  <si>
    <t>BIÊN BẢN GIAO NHẬN MẪU THÁNG 7/2023</t>
  </si>
  <si>
    <t>Tp. HCM, ngày 14 tháng 7 năm 2023</t>
  </si>
  <si>
    <t>Tp. HCM, ngày 14  tháng 7 năm 2023</t>
  </si>
  <si>
    <t>LẤY MẪU GIÁM SÁT DƯ LƯỢNG TỈNH BẾN TRE THÁNG 8/2023</t>
  </si>
  <si>
    <t>Huỳnh Văn Lâm</t>
  </si>
  <si>
    <t>Trung tâm SX Tôm giống Huy Thuận</t>
  </si>
  <si>
    <t>Bến Tre, ngày 24 tháng 8 năm 2023</t>
  </si>
  <si>
    <t>BIÊN BẢN GIAO NHẬN MẪU THÁNG 8/2023</t>
  </si>
  <si>
    <t>Tp. HCM, ngày 24 tháng 8 năm 2023</t>
  </si>
  <si>
    <t>TỔNG HỢP THÔNG TIN MẪU GIAO NHẬN THÁNG 8/2023</t>
  </si>
  <si>
    <t>LẤY MẪU GIÁM SÁT DƯ LƯỢNG TỈNH BẾN TRE THÁNG 9/2023</t>
  </si>
  <si>
    <t>Phạm Văn Tâm</t>
  </si>
  <si>
    <t>Bùi Hiếu Hiền</t>
  </si>
  <si>
    <t>Ấp Hưng Nhơn</t>
  </si>
  <si>
    <t>Khu nuôi Cồn Kiếng, Ấp Long Khánh</t>
  </si>
  <si>
    <t>Ấp Phú Luông</t>
  </si>
  <si>
    <t>Bến Tre, ngày 21 tháng 9 năm 2023</t>
  </si>
  <si>
    <t>TỔNG HỢP THÔNG TIN MẪU GIAO NHẬN THÁNG 9/2023</t>
  </si>
  <si>
    <t>Tp. HCM, ngày 21 tháng 9 năm 2023</t>
  </si>
  <si>
    <t>BIÊN BẢN GIAO NHẬN MẪU THÁNG 9/2023</t>
  </si>
  <si>
    <t>B4</t>
  </si>
  <si>
    <t>E1</t>
  </si>
  <si>
    <t>E2</t>
  </si>
  <si>
    <t>Số: 08A/DL-QLCL</t>
  </si>
  <si>
    <t>Bến Tre, ngày 25 tháng 9 năm 2023</t>
  </si>
  <si>
    <t>Tp. HCM, ngày 25 tháng 9 năm 2023</t>
  </si>
  <si>
    <t>Trif+B3c</t>
  </si>
  <si>
    <t>Trifluralin, Pb, Hg, Cd</t>
  </si>
  <si>
    <t>QUI+B3c</t>
  </si>
  <si>
    <t>Nhóm Quinolones, Pb, Hg, Cd</t>
  </si>
  <si>
    <t>Orme+B3c</t>
  </si>
  <si>
    <t>Ormetoprim, Pb, Hg, Cd</t>
  </si>
  <si>
    <t>B3b+Fipronil+B3c</t>
  </si>
  <si>
    <t>Chlorpyrifos, Fipronil, Pb, Hg, Cd</t>
  </si>
  <si>
    <t>B3e cá+B3c</t>
  </si>
  <si>
    <t>Malachite Green, Leuco Malachite Green, Crystal Violet, Leuco Crystal Violet, Pb, Hg, Cd</t>
  </si>
  <si>
    <t>B2a+B3c</t>
  </si>
  <si>
    <t>Ivermectin, Praziquantel, Trichlorfon, Avermectin B1a, Pb, Hg, Cd</t>
  </si>
  <si>
    <t>Fosfo+B3c</t>
  </si>
  <si>
    <t>Eryth+B3c</t>
  </si>
  <si>
    <t>Fosfomycin, Pb, Hg, Cd</t>
  </si>
  <si>
    <t>Erythromycin, Pb, Hg, Cd</t>
  </si>
  <si>
    <t>NF+B3c</t>
  </si>
  <si>
    <t>NM+B3c</t>
  </si>
  <si>
    <t>Nitrofurans, Pb, Hg, Cd</t>
  </si>
  <si>
    <t>Nhóm Nitroimidazoles, Pb, Hg, Cd</t>
  </si>
  <si>
    <t>BIÊN BẢN BỔ SUNG CHỈ TIÊU KIM LOẠI NẶNG MẪU THÁNG 9/2023</t>
  </si>
  <si>
    <t xml:space="preserve">   Căn cứ công văn 636/CCNB-CL ngày 22/9/2023 của Chi cục Quản lý chất lượng Nông lâm sản và Thủy sản Nam bộ về việc điều chỉnh kế hoạch giám sát dư lượng năm 2023. Chi cục Quản lý chất lượng Nông lâm sản và Thủy sản Bến Tre phân tích bổ sung chỉ tiêu kim loại nặng như sau: </t>
  </si>
  <si>
    <t>Số: 08B/DL-QLCL</t>
  </si>
  <si>
    <t>TỔNG HỢP THÔNG TIN BỔ SUNG CHỈ TIÊU KIM LOẠI NẶNG MẪU GIAO NHẬN THÁNG 9/2023</t>
  </si>
  <si>
    <t>Azadi+B3c</t>
  </si>
  <si>
    <t>Azadirachtin, Pb, Hg, Cd</t>
  </si>
  <si>
    <t>Flor+B3c</t>
  </si>
  <si>
    <t>Trim+B3c</t>
  </si>
  <si>
    <t>Florfenicol, Pb, Hg, Cd</t>
  </si>
  <si>
    <t>Trimethoprim, Pb, Hg, Cd</t>
  </si>
  <si>
    <t>Levami+B3c</t>
  </si>
  <si>
    <t>Fenben+B3c</t>
  </si>
  <si>
    <t>Levamisol, Pb, Hg, Cd</t>
  </si>
  <si>
    <t>Fenbendazole, Pb, Hg, Cd</t>
  </si>
  <si>
    <t>CAP+B3c</t>
  </si>
  <si>
    <t>Chloramphenicol, Pb, Hg, Cd</t>
  </si>
  <si>
    <t>Thuốc trừ sâu gốc Chlor hữu cơ, Pb, Hg, Cd</t>
  </si>
  <si>
    <t>LẤY MẪU GIÁM SÁT DƯ LƯỢNG TỈNH BẾN TRE THÁNG 10/2023</t>
  </si>
  <si>
    <t>Trần Văn Ba</t>
  </si>
  <si>
    <t>Ấp Bình An</t>
  </si>
  <si>
    <t>Bến Tre, ngày 13 tháng 10 năm 2023</t>
  </si>
  <si>
    <t>TỔNG HỢP THÔNG TIN MẪU GIAO NHẬN THÁNG 10/2023</t>
  </si>
  <si>
    <t>BIÊN BẢN GIAO NHẬN MẪU THÁNG 10/2023</t>
  </si>
  <si>
    <t>Tp. HCM, ngày 13 tháng 10 năm 2023</t>
  </si>
  <si>
    <t>Amox+B3c</t>
  </si>
  <si>
    <t>Amoxicillin , Pb, Hg, Cd</t>
  </si>
  <si>
    <t>TỔNG HỢP THÔNG TIN MẪU GIAO NHẬN THÁNG 11/2023</t>
  </si>
  <si>
    <t>BIÊN BẢN GIAO NHẬN MẪU THÁNG 11/2023</t>
  </si>
  <si>
    <t>LẤY MẪU GIÁM SÁT DƯ LƯỢNG TỈNH BẾN TRE THÁNG 11/2023</t>
  </si>
  <si>
    <t>Công ty CP XNK Thủy sản Bến Tre (DL 22)</t>
  </si>
  <si>
    <t>Trại nuôi cá tra Cồn Bần-Ấp Phước Long</t>
  </si>
  <si>
    <t>C3</t>
  </si>
  <si>
    <t>Bến Tre, ngày 30 tháng 11 năm 2023</t>
  </si>
  <si>
    <t>Tp. HCM, ngày 30 tháng 11 năm 2023</t>
  </si>
  <si>
    <t>Cá chẽm nhỏ</t>
  </si>
  <si>
    <t>Cá chẽm thương phẩm</t>
  </si>
  <si>
    <t>A1c</t>
  </si>
  <si>
    <t>Nitroi</t>
  </si>
  <si>
    <t>MG+LMG</t>
  </si>
  <si>
    <t>CV+LCV</t>
  </si>
  <si>
    <t xml:space="preserve"> Crystal Violet, Leuco Crystal Violet</t>
  </si>
  <si>
    <t>Toltrazuril</t>
  </si>
  <si>
    <t>KLN</t>
  </si>
  <si>
    <t>Thuốc BVTV</t>
  </si>
  <si>
    <t>Iver</t>
  </si>
  <si>
    <t>Aver</t>
  </si>
  <si>
    <t>Praz</t>
  </si>
  <si>
    <t>Trich</t>
  </si>
  <si>
    <t>Praziquantel</t>
  </si>
  <si>
    <t>Ivermectin</t>
  </si>
  <si>
    <t xml:space="preserve"> Trichlorfon (Dipterex)</t>
  </si>
  <si>
    <t>Fipronil</t>
  </si>
  <si>
    <t xml:space="preserve"> Fipronil</t>
  </si>
  <si>
    <t>Chlorpyrifos</t>
  </si>
  <si>
    <t xml:space="preserve"> Chlorpyrifos</t>
  </si>
  <si>
    <t>Perfluoroalkyl</t>
  </si>
  <si>
    <t>Thuốc trừ sâu gốc Chlor hữu cơ; phospho hữu cơ; cúc tổng hợp…</t>
  </si>
  <si>
    <t xml:space="preserve">Công ty TNHH Thực Phẩm Vạn Đức </t>
  </si>
  <si>
    <t xml:space="preserve">Ấp 6, xã Bảo Thạnh, huyện Ba Tri, tỉnh Bến Tre </t>
  </si>
  <si>
    <t>Albendazole</t>
  </si>
  <si>
    <t>LẤY MẪU GIÁM SÁT DƯ LƯỢNG TỈNH BẾN TRE THÁNG 2/2024</t>
  </si>
  <si>
    <t xml:space="preserve">(Kèm theo Quyết định số …… /QĐ-QLCL ngày …… tháng …… năm 2024 của 
Chi cục Quản lý chất lượng Nông lâm sản và Thủy sản) </t>
  </si>
  <si>
    <t>Ấp Hưng Thạnh</t>
  </si>
  <si>
    <t>Bến Tre, ngày   29  tháng 02 năm 2024</t>
  </si>
  <si>
    <t>TỔNG HỢP THÔNG TIN MẪU GIAO NHẬN THÁNG 2/2024</t>
  </si>
  <si>
    <t>Bến Tre, ngày  29   tháng   02  năm 2024</t>
  </si>
  <si>
    <t>Bến Tre, ngày   29  tháng   02  năm 2024</t>
  </si>
  <si>
    <t>BIÊN BẢN GIAO NHẬN MẪU THÁNG 2/2024</t>
  </si>
  <si>
    <t>Tp. HCM, ngày   29 tháng 02 năm 2024</t>
  </si>
  <si>
    <t>Tp. HCM, ngày 29  tháng  02  năm 2024</t>
  </si>
  <si>
    <t>B10</t>
  </si>
  <si>
    <t>Avermectin B1a (Abarmectin B1a)</t>
  </si>
  <si>
    <t>LẤY MẪU GIÁM SÁT DƯ LƯỢNG TỈNH BẾN TRE THÁNG 4/2024</t>
  </si>
  <si>
    <t xml:space="preserve"> Trại nuôi cá tra Thành Hưng</t>
  </si>
  <si>
    <t>Nguyễn Văn Bi</t>
  </si>
  <si>
    <t>Ấp 7, thị trấn Tiệm Tôm, huyện Ba Tri, tỉnh Bến Tre</t>
  </si>
  <si>
    <t>Thị Trấn Tiệm Tôm</t>
  </si>
  <si>
    <t xml:space="preserve">Ấp 1 </t>
  </si>
  <si>
    <t>A20</t>
  </si>
  <si>
    <t>3B</t>
  </si>
  <si>
    <t>1B</t>
  </si>
  <si>
    <t>Bến Tre, ngày   21  tháng   3  năm 2024</t>
  </si>
  <si>
    <t>BIÊN BẢN GIAO NHẬN MẪU THÁNG 3/2024</t>
  </si>
  <si>
    <t>Bến Tre, ngày  21   tháng  3  năm 2024</t>
  </si>
  <si>
    <t>TỔNG HỢP THÔNG TIN MẪU GIAO NHẬN THÁNG 3/2024</t>
  </si>
  <si>
    <t>Bến Tre, ngày   21  tháng 3 năm 2024</t>
  </si>
  <si>
    <t>Tp. HCM, ngày 21 tháng 3 năm 2024</t>
  </si>
  <si>
    <t>Tp. HCM, ngày 21  tháng  3  năm 2024</t>
  </si>
  <si>
    <t>09</t>
  </si>
  <si>
    <t>Phạm Văn Tư</t>
  </si>
  <si>
    <t>Ấp 8, thị trấn Tiệm Tôm, huyện Ba Tri, tỉnh Bến Tre</t>
  </si>
  <si>
    <t>Vùng nuôi Hòa Nghĩa, ấp Bình An</t>
  </si>
  <si>
    <t>Vùng nuôi Cồn Sơn, ấp Thanh Yên</t>
  </si>
  <si>
    <t>TỔNG HỢP THÔNG TIN MẪU GIAO NHẬN THÁNG 4/2024</t>
  </si>
  <si>
    <t>Bến Tre, ngày   12  tháng   4  năm 2024</t>
  </si>
  <si>
    <t>BIÊN BẢN GIAO NHẬN MẪU THÁNG 4/2024</t>
  </si>
  <si>
    <t>Tp. HCM, ngày 12 tháng 4 năm 2024</t>
  </si>
  <si>
    <t>Tp. HCM, ngày 12  tháng  4  năm 2024</t>
  </si>
  <si>
    <t>Bến Tre, ngày  12   tháng  4  năm 2024</t>
  </si>
  <si>
    <t>Bến Tre, ngày   12  tháng 4 năm 2024</t>
  </si>
  <si>
    <t>A10</t>
  </si>
  <si>
    <t>A4</t>
  </si>
  <si>
    <t>B6</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</si>
</sst>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4"/>
      <name val="Times New Roman"/>
      <family val="1"/>
    </font>
    <font>
      <sz val="13"/>
      <name val="Times New Roman"/>
      <family val="1"/>
    </font>
    <font>
      <b/>
      <sz val="13"/>
      <name val="Times New Roman"/>
      <family val="1"/>
    </font>
    <font>
      <sz val="10"/>
      <name val="Times New Roman"/>
      <family val="1"/>
    </font>
    <font>
      <sz val="8"/>
      <name val="Calibri"/>
      <family val="2"/>
    </font>
    <font>
      <sz val="8"/>
      <name val="Calibri"/>
      <family val="2"/>
    </font>
    <font>
      <b/>
      <sz val="12"/>
      <name val="Times New Roman"/>
      <family val="1"/>
    </font>
    <font>
      <i/>
      <sz val="12"/>
      <name val="Times New Roman"/>
      <family val="1"/>
    </font>
    <font>
      <sz val="12"/>
      <name val="Times New Roman"/>
      <family val="1"/>
    </font>
    <font>
      <b/>
      <sz val="14"/>
      <name val="Times New Roman"/>
      <family val="1"/>
    </font>
    <font>
      <i/>
      <sz val="14"/>
      <name val="Times New Roman"/>
      <family val="1"/>
    </font>
    <font>
      <i/>
      <sz val="13"/>
      <name val="Times New Roman"/>
      <family val="1"/>
    </font>
    <font>
      <sz val="11"/>
      <color theme="1"/>
      <name val="Calibri"/>
      <family val="2"/>
      <scheme val="minor"/>
    </font>
    <font>
      <b/>
      <sz val="11"/>
      <color theme="1"/>
      <name val="Calibri"/>
      <family val="2"/>
      <scheme val="minor"/>
    </font>
    <font>
      <sz val="13"/>
      <color rgb="FFFF0000"/>
      <name val="Times New Roman"/>
      <family val="1"/>
    </font>
    <font>
      <sz val="11"/>
      <color theme="1"/>
      <name val="Times New Roman"/>
      <family val="1"/>
    </font>
    <font>
      <b/>
      <sz val="11"/>
      <color theme="1"/>
      <name val="Times New Roman"/>
      <family val="1"/>
    </font>
    <font>
      <sz val="13"/>
      <color theme="1"/>
      <name val="Times New Roman"/>
      <family val="1"/>
    </font>
    <font>
      <sz val="10"/>
      <color theme="1"/>
      <name val="Times New Roman"/>
      <family val="1"/>
    </font>
    <font>
      <b/>
      <sz val="10"/>
      <color theme="1"/>
      <name val="Times New Roman"/>
      <family val="1"/>
    </font>
    <font>
      <b/>
      <sz val="13"/>
      <color rgb="FFFF0000"/>
      <name val="Times New Roman"/>
      <family val="1"/>
    </font>
    <font>
      <sz val="12"/>
      <color theme="1"/>
      <name val="Times New Roman"/>
      <family val="1"/>
    </font>
    <font>
      <sz val="14"/>
      <color theme="1"/>
      <name val="Times New Roman"/>
      <family val="1"/>
    </font>
    <font>
      <b/>
      <sz val="12"/>
      <color theme="1"/>
      <name val="Times New Roman"/>
      <family val="1"/>
    </font>
    <font>
      <b/>
      <sz val="11"/>
      <color rgb="FFFF0000"/>
      <name val="Calibri"/>
      <family val="2"/>
      <scheme val="minor"/>
    </font>
    <font>
      <i/>
      <sz val="14"/>
      <color theme="1"/>
      <name val="Times New Roman"/>
      <family val="1"/>
    </font>
    <font>
      <b/>
      <sz val="14"/>
      <color theme="1"/>
      <name val="Times New Roman"/>
      <family val="1"/>
    </font>
    <font>
      <sz val="14"/>
      <color theme="1"/>
      <name val="Cambria"/>
      <family val="1"/>
      <scheme val="major"/>
    </font>
    <font>
      <b/>
      <sz val="13"/>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0" fontId="1" fillId="0" borderId="0"/>
    <xf numFmtId="0" fontId="13" fillId="0" borderId="0"/>
  </cellStyleXfs>
  <cellXfs count="150">
    <xf numFmtId="0" fontId="0" fillId="0" borderId="0" xfId="0"/>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15" fillId="0" borderId="0" xfId="0" applyFont="1" applyAlignment="1">
      <alignment horizontal="center" vertical="center"/>
    </xf>
    <xf numFmtId="0" fontId="2" fillId="0" borderId="0" xfId="0" applyFont="1" applyAlignment="1">
      <alignment horizontal="left" vertical="center" wrapText="1"/>
    </xf>
    <xf numFmtId="49" fontId="4" fillId="0" borderId="0" xfId="0" applyNumberFormat="1" applyFont="1"/>
    <xf numFmtId="0" fontId="14" fillId="0" borderId="0" xfId="0" applyFont="1"/>
    <xf numFmtId="0" fontId="2" fillId="2" borderId="1" xfId="0" applyFont="1" applyFill="1" applyBorder="1" applyAlignment="1">
      <alignment horizontal="right" vertical="center" wrapText="1"/>
    </xf>
    <xf numFmtId="0" fontId="3" fillId="2" borderId="1" xfId="1" applyFont="1" applyFill="1" applyBorder="1" applyAlignment="1">
      <alignment horizontal="center" vertical="center" wrapText="1"/>
    </xf>
    <xf numFmtId="0" fontId="16" fillId="0" borderId="1" xfId="0" applyFont="1" applyBorder="1"/>
    <xf numFmtId="49" fontId="4" fillId="0" borderId="1" xfId="0" applyNumberFormat="1" applyFont="1" applyBorder="1"/>
    <xf numFmtId="0" fontId="17" fillId="0" borderId="1" xfId="0" applyFont="1" applyBorder="1" applyAlignment="1">
      <alignment horizontal="center" vertical="center"/>
    </xf>
    <xf numFmtId="0" fontId="3" fillId="2" borderId="1" xfId="1" applyFont="1" applyFill="1" applyBorder="1" applyAlignment="1">
      <alignment horizontal="center" vertical="center"/>
    </xf>
    <xf numFmtId="14" fontId="2" fillId="2" borderId="1" xfId="0" applyNumberFormat="1" applyFont="1" applyFill="1" applyBorder="1" applyAlignment="1">
      <alignment horizontal="center" vertical="center"/>
    </xf>
    <xf numFmtId="14" fontId="2" fillId="2" borderId="1" xfId="0" quotePrefix="1" applyNumberFormat="1" applyFont="1" applyFill="1" applyBorder="1" applyAlignment="1">
      <alignment horizontal="center" vertical="center"/>
    </xf>
    <xf numFmtId="0" fontId="2" fillId="2" borderId="2" xfId="0" applyFont="1" applyFill="1" applyBorder="1" applyAlignment="1">
      <alignment horizontal="right" vertical="center" wrapText="1"/>
    </xf>
    <xf numFmtId="49" fontId="3" fillId="2" borderId="1" xfId="1" applyNumberFormat="1" applyFont="1" applyFill="1" applyBorder="1" applyAlignment="1">
      <alignment horizontal="center" vertical="center"/>
    </xf>
    <xf numFmtId="49" fontId="2" fillId="0" borderId="0" xfId="0" applyNumberFormat="1" applyFont="1" applyAlignment="1">
      <alignment horizontal="center" vertical="center"/>
    </xf>
    <xf numFmtId="49" fontId="18" fillId="0" borderId="1" xfId="0" applyNumberFormat="1" applyFont="1" applyBorder="1" applyAlignment="1">
      <alignment horizontal="right" vertical="center" wrapText="1"/>
    </xf>
    <xf numFmtId="49" fontId="19" fillId="0" borderId="1" xfId="0" applyNumberFormat="1" applyFont="1" applyBorder="1" applyAlignment="1">
      <alignment horizontal="right" vertical="center" wrapText="1"/>
    </xf>
    <xf numFmtId="49" fontId="2" fillId="2" borderId="1" xfId="0" quotePrefix="1" applyNumberFormat="1" applyFont="1" applyFill="1" applyBorder="1" applyAlignment="1">
      <alignment horizontal="right" vertical="center" wrapText="1"/>
    </xf>
    <xf numFmtId="49" fontId="2" fillId="2" borderId="1" xfId="0" quotePrefix="1" applyNumberFormat="1" applyFont="1" applyFill="1" applyBorder="1" applyAlignment="1">
      <alignment horizontal="right" vertical="center"/>
    </xf>
    <xf numFmtId="0" fontId="18"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0" fillId="0" borderId="0" xfId="0" applyFont="1"/>
    <xf numFmtId="0" fontId="21" fillId="0" borderId="0" xfId="0" applyFont="1" applyAlignment="1">
      <alignment horizontal="center" vertical="center"/>
    </xf>
    <xf numFmtId="0" fontId="21" fillId="0" borderId="0" xfId="0" applyFont="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0" fillId="0" borderId="0" xfId="0" applyAlignment="1">
      <alignment vertical="center"/>
    </xf>
    <xf numFmtId="0" fontId="22" fillId="0" borderId="1" xfId="0" applyFont="1" applyBorder="1" applyAlignment="1">
      <alignment vertical="center" wrapText="1"/>
    </xf>
    <xf numFmtId="0" fontId="22" fillId="0" borderId="0" xfId="0" applyFont="1"/>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0" fillId="0" borderId="0" xfId="0" applyAlignment="1">
      <alignment horizontal="center" vertical="center"/>
    </xf>
    <xf numFmtId="0" fontId="23" fillId="0" borderId="0" xfId="0" applyFont="1" applyAlignment="1">
      <alignment vertical="center"/>
    </xf>
    <xf numFmtId="0" fontId="23" fillId="0" borderId="0" xfId="0" applyFont="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vertical="center" wrapText="1"/>
    </xf>
    <xf numFmtId="14" fontId="0" fillId="0" borderId="0" xfId="0" applyNumberFormat="1" applyAlignment="1">
      <alignment vertical="center" wrapText="1"/>
    </xf>
    <xf numFmtId="14" fontId="2" fillId="2" borderId="1" xfId="0" quotePrefix="1"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0" borderId="0" xfId="0" applyFont="1"/>
    <xf numFmtId="0" fontId="25" fillId="0" borderId="0" xfId="0" applyFont="1"/>
    <xf numFmtId="14" fontId="2" fillId="2" borderId="1" xfId="0" applyNumberFormat="1" applyFont="1" applyFill="1" applyBorder="1" applyAlignment="1">
      <alignment horizontal="right" vertical="center" wrapText="1"/>
    </xf>
    <xf numFmtId="14" fontId="22" fillId="0" borderId="1" xfId="0" applyNumberFormat="1" applyFont="1" applyBorder="1" applyAlignment="1">
      <alignment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 fillId="4" borderId="1" xfId="0" applyFont="1" applyFill="1" applyBorder="1" applyAlignment="1">
      <alignment horizontal="center" vertical="center"/>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 fillId="4" borderId="1" xfId="0" applyFont="1" applyFill="1" applyBorder="1" applyAlignment="1">
      <alignment horizontal="right"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8" fillId="0" borderId="0" xfId="0" applyFont="1" applyAlignment="1">
      <alignment horizontal="right" vertical="center"/>
    </xf>
    <xf numFmtId="0" fontId="22" fillId="0" borderId="3"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3"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0" fontId="22" fillId="0" borderId="1" xfId="0" applyFont="1" applyBorder="1" applyAlignment="1">
      <alignment horizontal="center" vertical="center" wrapText="1"/>
    </xf>
    <xf numFmtId="49" fontId="4" fillId="3" borderId="0" xfId="0" applyNumberFormat="1" applyFont="1" applyFill="1"/>
    <xf numFmtId="0" fontId="18" fillId="0" borderId="0" xfId="0" applyFont="1"/>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0" xfId="0" applyFont="1" applyAlignment="1">
      <alignment vertical="center"/>
    </xf>
    <xf numFmtId="0" fontId="27" fillId="0" borderId="0" xfId="0" applyFont="1" applyAlignment="1">
      <alignment horizontal="right" vertical="center"/>
    </xf>
    <xf numFmtId="0" fontId="2" fillId="5" borderId="1" xfId="0" applyFont="1" applyFill="1" applyBorder="1" applyAlignment="1">
      <alignment horizontal="right" vertical="center" wrapText="1"/>
    </xf>
    <xf numFmtId="0" fontId="2" fillId="2" borderId="0" xfId="0" applyFont="1" applyFill="1" applyAlignment="1">
      <alignment horizontal="center" vertical="center"/>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 fillId="6" borderId="1" xfId="0" applyFont="1" applyFill="1" applyBorder="1" applyAlignment="1">
      <alignment horizontal="right" vertical="center" wrapText="1"/>
    </xf>
    <xf numFmtId="0" fontId="2" fillId="2" borderId="1" xfId="0" quotePrefix="1" applyFont="1" applyFill="1" applyBorder="1" applyAlignment="1">
      <alignment horizontal="right"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wrapText="1"/>
    </xf>
    <xf numFmtId="14" fontId="22" fillId="0" borderId="3" xfId="0" applyNumberFormat="1" applyFont="1" applyBorder="1" applyAlignment="1">
      <alignment horizontal="center" vertical="center" wrapText="1"/>
    </xf>
    <xf numFmtId="14" fontId="22" fillId="0" borderId="4" xfId="0" applyNumberFormat="1" applyFont="1" applyBorder="1" applyAlignment="1">
      <alignment horizontal="center" vertical="center" wrapText="1"/>
    </xf>
    <xf numFmtId="14" fontId="22" fillId="0" borderId="5" xfId="0" applyNumberFormat="1"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0" fontId="27" fillId="0" borderId="0" xfId="0" applyFont="1" applyAlignment="1">
      <alignment horizont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center" vertical="center" wrapText="1"/>
    </xf>
    <xf numFmtId="0" fontId="2"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top"/>
    </xf>
    <xf numFmtId="0" fontId="1" fillId="0" borderId="0" xfId="0" applyFont="1" applyAlignment="1">
      <alignment horizontal="center" vertical="center" wrapText="1"/>
    </xf>
    <xf numFmtId="0" fontId="11" fillId="0" borderId="0" xfId="0" applyFont="1" applyAlignment="1">
      <alignment horizontal="center" vertical="center" wrapText="1"/>
    </xf>
    <xf numFmtId="0" fontId="23" fillId="0" borderId="0" xfId="0" applyFont="1" applyAlignment="1">
      <alignment horizontal="center" vertical="center"/>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9"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vertical="top"/>
    </xf>
    <xf numFmtId="0" fontId="2" fillId="0" borderId="0" xfId="0" applyFont="1" applyAlignment="1">
      <alignment horizontal="center" vertical="center" wrapText="1"/>
    </xf>
    <xf numFmtId="0" fontId="12" fillId="0" borderId="0" xfId="0" applyFont="1" applyAlignment="1">
      <alignment horizontal="center" vertical="center" wrapText="1"/>
    </xf>
    <xf numFmtId="0" fontId="23" fillId="0" borderId="6" xfId="0" applyFont="1" applyBorder="1" applyAlignment="1">
      <alignment horizontal="justify" vertical="center" wrapText="1"/>
    </xf>
    <xf numFmtId="0" fontId="26" fillId="0" borderId="0" xfId="0" applyFont="1" applyAlignment="1">
      <alignment horizontal="right" vertical="center"/>
    </xf>
  </cellXfs>
  <cellStyles count="3">
    <cellStyle name="Normal" xfId="0" builtinId="0"/>
    <cellStyle name="Normal 2" xfId="1"/>
    <cellStyle name="Normal 2 2" xfId="2"/>
  </cellStyles>
  <dxfs count="56">
    <dxf>
      <font>
        <color theme="1"/>
      </font>
      <fill>
        <patternFill>
          <bgColor rgb="FFFFFF00"/>
        </patternFill>
      </fill>
    </dxf>
    <dxf>
      <font>
        <color theme="1"/>
      </font>
      <fill>
        <patternFill>
          <bgColor theme="9" tint="-0.24994659260841701"/>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theme="7" tint="-0.24994659260841701"/>
        </patternFill>
      </fill>
    </dxf>
    <dxf>
      <font>
        <color theme="1"/>
      </font>
      <fill>
        <patternFill>
          <bgColor theme="9"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59996337778862885"/>
        </patternFill>
      </fill>
    </dxf>
    <dxf>
      <font>
        <color theme="1"/>
      </font>
      <fill>
        <patternFill>
          <bgColor theme="0"/>
        </patternFill>
      </fill>
    </dxf>
    <dxf>
      <font>
        <color theme="1"/>
      </font>
      <fill>
        <patternFill>
          <bgColor rgb="FFFFFF00"/>
        </patternFill>
      </fill>
    </dxf>
    <dxf>
      <font>
        <color theme="1"/>
      </font>
      <fill>
        <patternFill>
          <bgColor theme="9" tint="-0.24994659260841701"/>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theme="7" tint="-0.24994659260841701"/>
        </patternFill>
      </fill>
    </dxf>
    <dxf>
      <font>
        <color theme="1"/>
      </font>
      <fill>
        <patternFill>
          <bgColor theme="9"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59996337778862885"/>
        </patternFill>
      </fill>
    </dxf>
    <dxf>
      <font>
        <color theme="1"/>
      </font>
      <fill>
        <patternFill>
          <bgColor theme="0"/>
        </patternFill>
      </fill>
    </dxf>
    <dxf>
      <font>
        <color theme="1"/>
      </font>
      <fill>
        <patternFill>
          <bgColor rgb="FFFFFF00"/>
        </patternFill>
      </fill>
    </dxf>
    <dxf>
      <font>
        <color theme="1"/>
      </font>
      <fill>
        <patternFill>
          <bgColor theme="9" tint="-0.24994659260841701"/>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theme="7" tint="-0.24994659260841701"/>
        </patternFill>
      </fill>
    </dxf>
    <dxf>
      <font>
        <color theme="1"/>
      </font>
      <fill>
        <patternFill>
          <bgColor theme="9"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59996337778862885"/>
        </patternFill>
      </fill>
    </dxf>
    <dxf>
      <font>
        <color theme="1"/>
      </font>
      <fill>
        <patternFill>
          <bgColor theme="0"/>
        </patternFill>
      </fill>
    </dxf>
    <dxf>
      <font>
        <color theme="1"/>
      </font>
      <fill>
        <patternFill>
          <bgColor rgb="FFFFFF00"/>
        </patternFill>
      </fill>
    </dxf>
    <dxf>
      <font>
        <color theme="1"/>
      </font>
      <fill>
        <patternFill>
          <bgColor theme="9" tint="-0.24994659260841701"/>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theme="7" tint="-0.24994659260841701"/>
        </patternFill>
      </fill>
    </dxf>
    <dxf>
      <font>
        <color theme="1"/>
      </font>
      <fill>
        <patternFill>
          <bgColor theme="9"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59996337778862885"/>
        </patternFill>
      </fill>
    </dxf>
    <dxf>
      <font>
        <color theme="1"/>
      </font>
      <fill>
        <patternFill>
          <bgColor theme="0"/>
        </patternFill>
      </fill>
    </dxf>
    <dxf>
      <font>
        <color theme="1"/>
      </font>
      <fill>
        <patternFill>
          <bgColor rgb="FFFFFF00"/>
        </patternFill>
      </fill>
    </dxf>
    <dxf>
      <font>
        <color theme="1"/>
      </font>
      <fill>
        <patternFill>
          <bgColor theme="9" tint="-0.24994659260841701"/>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theme="7" tint="-0.24994659260841701"/>
        </patternFill>
      </fill>
    </dxf>
    <dxf>
      <font>
        <color theme="1"/>
      </font>
      <fill>
        <patternFill>
          <bgColor theme="9"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59996337778862885"/>
        </patternFill>
      </fill>
    </dxf>
    <dxf>
      <font>
        <color theme="1"/>
      </font>
      <fill>
        <patternFill>
          <bgColor theme="0"/>
        </patternFill>
      </fill>
    </dxf>
    <dxf>
      <font>
        <color theme="1"/>
      </font>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1473200</xdr:colOff>
      <xdr:row>2</xdr:row>
      <xdr:rowOff>28575</xdr:rowOff>
    </xdr:from>
    <xdr:to>
      <xdr:col>3</xdr:col>
      <xdr:colOff>149225</xdr:colOff>
      <xdr:row>2</xdr:row>
      <xdr:rowOff>28575</xdr:rowOff>
    </xdr:to>
    <xdr:cxnSp macro="">
      <xdr:nvCxnSpPr>
        <xdr:cNvPr id="2" name="Straight Connector 1">
          <a:extLst>
            <a:ext uri="{FF2B5EF4-FFF2-40B4-BE49-F238E27FC236}">
              <a16:creationId xmlns="" xmlns:a16="http://schemas.microsoft.com/office/drawing/2014/main" id="{00000000-0008-0000-0800-000002000000}"/>
            </a:ext>
          </a:extLst>
        </xdr:cNvPr>
        <xdr:cNvCxnSpPr/>
      </xdr:nvCxnSpPr>
      <xdr:spPr>
        <a:xfrm>
          <a:off x="1835150" y="666750"/>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800-000003000000}"/>
            </a:ext>
          </a:extLst>
        </xdr:cNvPr>
        <xdr:cNvCxnSpPr/>
      </xdr:nvCxnSpPr>
      <xdr:spPr>
        <a:xfrm>
          <a:off x="5991225" y="476250"/>
          <a:ext cx="227013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1473200</xdr:colOff>
      <xdr:row>2</xdr:row>
      <xdr:rowOff>28575</xdr:rowOff>
    </xdr:from>
    <xdr:to>
      <xdr:col>3</xdr:col>
      <xdr:colOff>149225</xdr:colOff>
      <xdr:row>2</xdr:row>
      <xdr:rowOff>28575</xdr:rowOff>
    </xdr:to>
    <xdr:cxnSp macro="">
      <xdr:nvCxnSpPr>
        <xdr:cNvPr id="2" name="Straight Connector 1">
          <a:extLst>
            <a:ext uri="{FF2B5EF4-FFF2-40B4-BE49-F238E27FC236}">
              <a16:creationId xmlns="" xmlns:a16="http://schemas.microsoft.com/office/drawing/2014/main" id="{00000000-0008-0000-0900-000002000000}"/>
            </a:ext>
          </a:extLst>
        </xdr:cNvPr>
        <xdr:cNvCxnSpPr/>
      </xdr:nvCxnSpPr>
      <xdr:spPr>
        <a:xfrm>
          <a:off x="1835150" y="666750"/>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900-000003000000}"/>
            </a:ext>
          </a:extLst>
        </xdr:cNvPr>
        <xdr:cNvCxnSpPr/>
      </xdr:nvCxnSpPr>
      <xdr:spPr>
        <a:xfrm>
          <a:off x="643890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A00-000002000000}"/>
            </a:ext>
          </a:extLst>
        </xdr:cNvPr>
        <xdr:cNvCxnSpPr/>
      </xdr:nvCxnSpPr>
      <xdr:spPr>
        <a:xfrm>
          <a:off x="2409825" y="676275"/>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A00-000003000000}"/>
            </a:ext>
          </a:extLst>
        </xdr:cNvPr>
        <xdr:cNvCxnSpPr/>
      </xdr:nvCxnSpPr>
      <xdr:spPr>
        <a:xfrm>
          <a:off x="6467475" y="476250"/>
          <a:ext cx="1924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B00-000002000000}"/>
            </a:ext>
          </a:extLst>
        </xdr:cNvPr>
        <xdr:cNvCxnSpPr/>
      </xdr:nvCxnSpPr>
      <xdr:spPr>
        <a:xfrm>
          <a:off x="2397125" y="676275"/>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B00-000003000000}"/>
            </a:ext>
          </a:extLst>
        </xdr:cNvPr>
        <xdr:cNvCxnSpPr/>
      </xdr:nvCxnSpPr>
      <xdr:spPr>
        <a:xfrm>
          <a:off x="643890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B00-000002000000}"/>
            </a:ext>
          </a:extLst>
        </xdr:cNvPr>
        <xdr:cNvCxnSpPr/>
      </xdr:nvCxnSpPr>
      <xdr:spPr>
        <a:xfrm>
          <a:off x="2409825" y="676275"/>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B00-000003000000}"/>
            </a:ext>
          </a:extLst>
        </xdr:cNvPr>
        <xdr:cNvCxnSpPr/>
      </xdr:nvCxnSpPr>
      <xdr:spPr>
        <a:xfrm>
          <a:off x="6467475" y="476250"/>
          <a:ext cx="1924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1978025" y="676275"/>
          <a:ext cx="1485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30555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1978025" y="676275"/>
          <a:ext cx="1485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30555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1978025" y="676275"/>
          <a:ext cx="1485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30555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1978025" y="676275"/>
          <a:ext cx="1485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30555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1978025" y="676275"/>
          <a:ext cx="1485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30555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2" name="Straight Connector 1">
          <a:extLst>
            <a:ext uri="{FF2B5EF4-FFF2-40B4-BE49-F238E27FC236}">
              <a16:creationId xmlns="" xmlns:a16="http://schemas.microsoft.com/office/drawing/2014/main" id="{00000000-0008-0000-0C00-000003000000}"/>
            </a:ext>
          </a:extLst>
        </xdr:cNvPr>
        <xdr:cNvCxnSpPr/>
      </xdr:nvCxnSpPr>
      <xdr:spPr>
        <a:xfrm>
          <a:off x="2397125" y="676275"/>
          <a:ext cx="1200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3" name="Straight Connector 2">
          <a:extLst>
            <a:ext uri="{FF2B5EF4-FFF2-40B4-BE49-F238E27FC236}">
              <a16:creationId xmlns="" xmlns:a16="http://schemas.microsoft.com/office/drawing/2014/main" id="{00000000-0008-0000-0C00-000005000000}"/>
            </a:ext>
          </a:extLst>
        </xdr:cNvPr>
        <xdr:cNvCxnSpPr/>
      </xdr:nvCxnSpPr>
      <xdr:spPr>
        <a:xfrm>
          <a:off x="6438900" y="476250"/>
          <a:ext cx="191771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244475</xdr:colOff>
      <xdr:row>2</xdr:row>
      <xdr:rowOff>38100</xdr:rowOff>
    </xdr:from>
    <xdr:to>
      <xdr:col>4</xdr:col>
      <xdr:colOff>187325</xdr:colOff>
      <xdr:row>2</xdr:row>
      <xdr:rowOff>38100</xdr:rowOff>
    </xdr:to>
    <xdr:cxnSp macro="">
      <xdr:nvCxnSpPr>
        <xdr:cNvPr id="3" name="Straight Connector 2">
          <a:extLst>
            <a:ext uri="{FF2B5EF4-FFF2-40B4-BE49-F238E27FC236}">
              <a16:creationId xmlns="" xmlns:a16="http://schemas.microsoft.com/office/drawing/2014/main" id="{00000000-0008-0000-0C00-000003000000}"/>
            </a:ext>
          </a:extLst>
        </xdr:cNvPr>
        <xdr:cNvCxnSpPr/>
      </xdr:nvCxnSpPr>
      <xdr:spPr>
        <a:xfrm>
          <a:off x="1809750" y="676275"/>
          <a:ext cx="1257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1</xdr:row>
      <xdr:rowOff>238125</xdr:rowOff>
    </xdr:from>
    <xdr:to>
      <xdr:col>8</xdr:col>
      <xdr:colOff>346087</xdr:colOff>
      <xdr:row>1</xdr:row>
      <xdr:rowOff>238125</xdr:rowOff>
    </xdr:to>
    <xdr:cxnSp macro="">
      <xdr:nvCxnSpPr>
        <xdr:cNvPr id="5" name="Straight Connector 4">
          <a:extLst>
            <a:ext uri="{FF2B5EF4-FFF2-40B4-BE49-F238E27FC236}">
              <a16:creationId xmlns="" xmlns:a16="http://schemas.microsoft.com/office/drawing/2014/main" id="{00000000-0008-0000-0C00-000005000000}"/>
            </a:ext>
          </a:extLst>
        </xdr:cNvPr>
        <xdr:cNvCxnSpPr/>
      </xdr:nvCxnSpPr>
      <xdr:spPr>
        <a:xfrm>
          <a:off x="5800725" y="476250"/>
          <a:ext cx="1924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0D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422275</xdr:colOff>
      <xdr:row>1</xdr:row>
      <xdr:rowOff>209550</xdr:rowOff>
    </xdr:from>
    <xdr:to>
      <xdr:col>4</xdr:col>
      <xdr:colOff>2171700</xdr:colOff>
      <xdr:row>1</xdr:row>
      <xdr:rowOff>215900</xdr:rowOff>
    </xdr:to>
    <xdr:cxnSp macro="">
      <xdr:nvCxnSpPr>
        <xdr:cNvPr id="3" name="Straight Connector 2">
          <a:extLst>
            <a:ext uri="{FF2B5EF4-FFF2-40B4-BE49-F238E27FC236}">
              <a16:creationId xmlns="" xmlns:a16="http://schemas.microsoft.com/office/drawing/2014/main" id="{00000000-0008-0000-0D00-000003000000}"/>
            </a:ext>
          </a:extLst>
        </xdr:cNvPr>
        <xdr:cNvCxnSpPr/>
      </xdr:nvCxnSpPr>
      <xdr:spPr>
        <a:xfrm flipV="1">
          <a:off x="3775075" y="409575"/>
          <a:ext cx="1749425" cy="6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0E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0E00-000003000000}"/>
            </a:ext>
          </a:extLst>
        </xdr:cNvPr>
        <xdr:cNvCxnSpPr/>
      </xdr:nvCxnSpPr>
      <xdr:spPr>
        <a:xfrm>
          <a:off x="3803650"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0F00-000002000000}"/>
            </a:ext>
          </a:extLst>
        </xdr:cNvPr>
        <xdr:cNvCxnSpPr/>
      </xdr:nvCxnSpPr>
      <xdr:spPr>
        <a:xfrm>
          <a:off x="990600" y="590550"/>
          <a:ext cx="1085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0F00-000003000000}"/>
            </a:ext>
          </a:extLst>
        </xdr:cNvPr>
        <xdr:cNvCxnSpPr/>
      </xdr:nvCxnSpPr>
      <xdr:spPr>
        <a:xfrm>
          <a:off x="3810000" y="4095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0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000-000003000000}"/>
            </a:ext>
          </a:extLst>
        </xdr:cNvPr>
        <xdr:cNvCxnSpPr/>
      </xdr:nvCxnSpPr>
      <xdr:spPr>
        <a:xfrm>
          <a:off x="3803650"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000-000002000000}"/>
            </a:ext>
          </a:extLst>
        </xdr:cNvPr>
        <xdr:cNvCxnSpPr/>
      </xdr:nvCxnSpPr>
      <xdr:spPr>
        <a:xfrm>
          <a:off x="990600" y="590550"/>
          <a:ext cx="1085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000-000003000000}"/>
            </a:ext>
          </a:extLst>
        </xdr:cNvPr>
        <xdr:cNvCxnSpPr/>
      </xdr:nvCxnSpPr>
      <xdr:spPr>
        <a:xfrm>
          <a:off x="3895725" y="4095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74725" y="590550"/>
          <a:ext cx="108978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89375" y="396875"/>
          <a:ext cx="1847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612775</xdr:colOff>
      <xdr:row>1</xdr:row>
      <xdr:rowOff>390525</xdr:rowOff>
    </xdr:from>
    <xdr:to>
      <xdr:col>1</xdr:col>
      <xdr:colOff>1702564</xdr:colOff>
      <xdr:row>1</xdr:row>
      <xdr:rowOff>390525</xdr:rowOff>
    </xdr:to>
    <xdr:cxnSp macro="">
      <xdr:nvCxnSpPr>
        <xdr:cNvPr id="2" name="Straight Connector 1">
          <a:extLst>
            <a:ext uri="{FF2B5EF4-FFF2-40B4-BE49-F238E27FC236}">
              <a16:creationId xmlns="" xmlns:a16="http://schemas.microsoft.com/office/drawing/2014/main" id="{00000000-0008-0000-1100-000002000000}"/>
            </a:ext>
          </a:extLst>
        </xdr:cNvPr>
        <xdr:cNvCxnSpPr/>
      </xdr:nvCxnSpPr>
      <xdr:spPr>
        <a:xfrm>
          <a:off x="990600" y="590550"/>
          <a:ext cx="1085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117475</xdr:colOff>
      <xdr:row>1</xdr:row>
      <xdr:rowOff>196850</xdr:rowOff>
    </xdr:from>
    <xdr:to>
      <xdr:col>5</xdr:col>
      <xdr:colOff>69850</xdr:colOff>
      <xdr:row>1</xdr:row>
      <xdr:rowOff>196850</xdr:rowOff>
    </xdr:to>
    <xdr:cxnSp macro="">
      <xdr:nvCxnSpPr>
        <xdr:cNvPr id="3" name="Straight Connector 2">
          <a:extLst>
            <a:ext uri="{FF2B5EF4-FFF2-40B4-BE49-F238E27FC236}">
              <a16:creationId xmlns="" xmlns:a16="http://schemas.microsoft.com/office/drawing/2014/main" id="{00000000-0008-0000-1100-000003000000}"/>
            </a:ext>
          </a:extLst>
        </xdr:cNvPr>
        <xdr:cNvCxnSpPr/>
      </xdr:nvCxnSpPr>
      <xdr:spPr>
        <a:xfrm>
          <a:off x="3895725" y="409575"/>
          <a:ext cx="17049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343"/>
  <sheetViews>
    <sheetView zoomScale="70" zoomScaleNormal="70" workbookViewId="0">
      <pane xSplit="8" ySplit="3" topLeftCell="I62" activePane="bottomRight" state="frozen"/>
      <selection pane="topRight" activeCell="I1" sqref="I1"/>
      <selection pane="bottomLeft" activeCell="A4" sqref="A4"/>
      <selection pane="bottomRight" activeCell="O67" sqref="O67"/>
    </sheetView>
  </sheetViews>
  <sheetFormatPr defaultColWidth="11.42578125" defaultRowHeight="16.5" x14ac:dyDescent="0.25"/>
  <cols>
    <col min="1" max="1" width="4.7109375" style="3" customWidth="1"/>
    <col min="2" max="2" width="5.28515625" style="3" customWidth="1"/>
    <col min="3" max="3" width="26.42578125" style="3" customWidth="1"/>
    <col min="4" max="4" width="11.42578125" style="7" customWidth="1"/>
    <col min="5" max="5" width="9.42578125" style="7" customWidth="1"/>
    <col min="6" max="6" width="19.42578125" style="7" customWidth="1"/>
    <col min="7" max="7" width="8" style="7" customWidth="1"/>
    <col min="8" max="8" width="7.7109375" style="7" customWidth="1"/>
    <col min="9" max="9" width="18" style="7" customWidth="1"/>
    <col min="10" max="10" width="11.140625" style="7" customWidth="1"/>
    <col min="11" max="11" width="10.5703125" style="7" customWidth="1"/>
    <col min="12" max="12" width="13.7109375" style="7" customWidth="1"/>
    <col min="13" max="13" width="11.140625" style="7" customWidth="1"/>
    <col min="14" max="14" width="6.140625" style="7" customWidth="1"/>
    <col min="15" max="15" width="21.42578125" style="7" customWidth="1"/>
    <col min="16" max="16" width="14.85546875" style="7" customWidth="1"/>
    <col min="17" max="17" width="13.85546875" style="7" customWidth="1"/>
    <col min="18" max="18" width="25.28515625" style="7" customWidth="1"/>
    <col min="19" max="19" width="9.140625" style="7" customWidth="1"/>
    <col min="20" max="20" width="30.85546875" style="7" customWidth="1"/>
    <col min="21" max="22" width="14" style="7" customWidth="1"/>
    <col min="23" max="23" width="8.7109375" style="7" customWidth="1"/>
    <col min="24" max="24" width="22.42578125" style="3" customWidth="1"/>
    <col min="25" max="16384" width="11.42578125" style="3"/>
  </cols>
  <sheetData>
    <row r="1" spans="1:25" ht="9.75" customHeight="1" x14ac:dyDescent="0.25"/>
    <row r="2" spans="1:25" ht="18" customHeight="1" x14ac:dyDescent="0.25">
      <c r="A2" s="29"/>
      <c r="B2" s="29"/>
      <c r="C2" s="29"/>
      <c r="D2" s="30"/>
      <c r="E2" s="30"/>
      <c r="F2" s="30"/>
      <c r="G2" s="30"/>
      <c r="H2" s="30"/>
      <c r="I2" s="30">
        <f>SUBTOTAL(3,I4:I343)</f>
        <v>169</v>
      </c>
      <c r="J2" s="30">
        <f>SUBTOTAL(3,J4:J343)</f>
        <v>169</v>
      </c>
      <c r="K2" s="30"/>
      <c r="L2" s="30"/>
      <c r="M2" s="30"/>
      <c r="N2" s="30"/>
      <c r="O2" s="30"/>
      <c r="P2" s="30"/>
      <c r="Q2" s="30"/>
      <c r="R2" s="30"/>
      <c r="S2" s="30">
        <f>SUBTOTAL(9,S4:S172)</f>
        <v>216</v>
      </c>
      <c r="T2" s="30">
        <f>SUBTOTAL(3,T4:T343)</f>
        <v>169</v>
      </c>
      <c r="U2" s="30"/>
      <c r="V2" s="30"/>
      <c r="W2" s="30"/>
      <c r="X2" s="30">
        <f>SUBTOTAL(3,X4:X343)</f>
        <v>6</v>
      </c>
    </row>
    <row r="3" spans="1:25" s="1" customFormat="1" ht="33" x14ac:dyDescent="0.25">
      <c r="A3" s="15" t="s">
        <v>0</v>
      </c>
      <c r="B3" s="15" t="s">
        <v>0</v>
      </c>
      <c r="C3" s="15" t="s">
        <v>1</v>
      </c>
      <c r="D3" s="11" t="s">
        <v>263</v>
      </c>
      <c r="E3" s="11" t="s">
        <v>173</v>
      </c>
      <c r="F3" s="11" t="s">
        <v>174</v>
      </c>
      <c r="G3" s="11" t="s">
        <v>250</v>
      </c>
      <c r="H3" s="11" t="s">
        <v>251</v>
      </c>
      <c r="I3" s="11" t="s">
        <v>205</v>
      </c>
      <c r="J3" s="11" t="s">
        <v>206</v>
      </c>
      <c r="K3" s="11" t="s">
        <v>236</v>
      </c>
      <c r="L3" s="11" t="s">
        <v>319</v>
      </c>
      <c r="M3" s="11" t="s">
        <v>265</v>
      </c>
      <c r="N3" s="11" t="s">
        <v>204</v>
      </c>
      <c r="O3" s="11" t="s">
        <v>205</v>
      </c>
      <c r="P3" s="11" t="s">
        <v>371</v>
      </c>
      <c r="Q3" s="11" t="s">
        <v>358</v>
      </c>
      <c r="R3" s="11" t="s">
        <v>362</v>
      </c>
      <c r="S3" s="11" t="s">
        <v>266</v>
      </c>
      <c r="T3" s="11" t="s">
        <v>206</v>
      </c>
      <c r="U3" s="11" t="s">
        <v>370</v>
      </c>
      <c r="V3" s="11" t="s">
        <v>359</v>
      </c>
      <c r="W3" s="11" t="s">
        <v>204</v>
      </c>
      <c r="X3" s="15" t="s">
        <v>176</v>
      </c>
    </row>
    <row r="4" spans="1:25" ht="58.5" customHeight="1" x14ac:dyDescent="0.25">
      <c r="A4" s="5">
        <f>_xlfn.AGGREGATE(3,3,$I$4:I4)</f>
        <v>1</v>
      </c>
      <c r="B4" s="5">
        <v>1</v>
      </c>
      <c r="C4" s="26" t="s">
        <v>211</v>
      </c>
      <c r="D4" s="10" t="s">
        <v>260</v>
      </c>
      <c r="E4" s="10" t="s">
        <v>34</v>
      </c>
      <c r="F4" s="10" t="s">
        <v>4</v>
      </c>
      <c r="G4" s="45">
        <v>2</v>
      </c>
      <c r="H4" s="10">
        <v>27</v>
      </c>
      <c r="I4" s="10" t="s">
        <v>208</v>
      </c>
      <c r="J4" s="10" t="s">
        <v>618</v>
      </c>
      <c r="K4" s="10" t="s">
        <v>245</v>
      </c>
      <c r="L4" s="10" t="str">
        <f t="shared" ref="L4:L67" si="0">IFERROR(IF(F4="Huyện Mỏ Cày Nam","Mỏ Cày",RIGHT(F4,LEN(F4)-6)),"-")</f>
        <v>Ba Tri</v>
      </c>
      <c r="M4" s="10" t="str">
        <f>IFERROR(VLOOKUP(L4,'List+TK'!$I$3:$J$9,2,0),"-")</f>
        <v>83/01</v>
      </c>
      <c r="N4" s="10" t="s">
        <v>261</v>
      </c>
      <c r="O4" s="10" t="str">
        <f t="shared" ref="O4:O67" si="1">I4</f>
        <v>Cá tra thương phẩm</v>
      </c>
      <c r="P4" s="10" t="str">
        <f>"83/"&amp;IF(LEN(G4)=1,"0"&amp;G4,G4)&amp;"24/"&amp;IF(LEN(B4)=1,"0"&amp;B4,B4)</f>
        <v>83/0224/01</v>
      </c>
      <c r="Q4" s="10" t="str">
        <f t="shared" ref="Q4:Q67" si="2">L4&amp;" "&amp;M4</f>
        <v>Ba Tri 83/01</v>
      </c>
      <c r="R4" s="10" t="str">
        <f t="shared" ref="R4:R67" si="3">C4&amp;" - "&amp;D4&amp;", "&amp;E4</f>
        <v>Công ty CP Gò Đàng - Ấp 4, Xã Tân Xuân</v>
      </c>
      <c r="S4" s="10">
        <f>IF(OR(I4="Tôm chân trắng nhỏ",I4="Tôm sú nhỏ"),0.5,IF(OR(I4="Cá tra nhỏ",I4="Tôm sú thương phẩm",I4="Tôm chân trắng thương phẩm",I4="Tôm sú quảng canh",I4="Nước ương tôm giống"),1,IF(I4="Cá tra thương phẩm",1.5,0)))</f>
        <v>1.5</v>
      </c>
      <c r="T4" s="10" t="str">
        <f>IFERROR(VLOOKUP(J4,'List+TK'!$D$3:$E$1000,2,0),"-")</f>
        <v xml:space="preserve"> Crystal Violet, Leuco Crystal Violet</v>
      </c>
      <c r="U4" s="10" t="str">
        <f>H4&amp;"/"&amp;IF(LEN(G4)=1,"0"&amp;G4,G4)&amp;"/2024"</f>
        <v>27/02/2024</v>
      </c>
      <c r="V4" s="10" t="str">
        <f>IFERROR(VLOOKUP(K4,'List+TK'!$G$3:$H$16,2,0),"-")</f>
        <v>Phạm Minh Thuận</v>
      </c>
      <c r="W4" s="10" t="str">
        <f t="shared" ref="W4:W67" si="4">IF(N4="","",IF(I4="Nước ương tôm giống","Bể "&amp;N4,"Ao "&amp;N4))</f>
        <v>Ao A2</v>
      </c>
      <c r="X4" s="4"/>
    </row>
    <row r="5" spans="1:25" ht="49.5" x14ac:dyDescent="0.25">
      <c r="A5" s="5">
        <f>_xlfn.AGGREGATE(3,3,$I$4:I5)</f>
        <v>2</v>
      </c>
      <c r="B5" s="5">
        <v>2</v>
      </c>
      <c r="C5" s="26" t="s">
        <v>636</v>
      </c>
      <c r="D5" s="10" t="s">
        <v>352</v>
      </c>
      <c r="E5" s="10" t="s">
        <v>22</v>
      </c>
      <c r="F5" s="10" t="s">
        <v>4</v>
      </c>
      <c r="G5" s="45">
        <v>2</v>
      </c>
      <c r="H5" s="10">
        <v>27</v>
      </c>
      <c r="I5" s="10" t="s">
        <v>613</v>
      </c>
      <c r="J5" s="10" t="s">
        <v>615</v>
      </c>
      <c r="K5" s="10" t="s">
        <v>245</v>
      </c>
      <c r="L5" s="10" t="str">
        <f t="shared" si="0"/>
        <v>Ba Tri</v>
      </c>
      <c r="M5" s="10" t="str">
        <f>IFERROR(VLOOKUP(L5,'List+TK'!$I$3:$J$9,2,0),"-")</f>
        <v>83/01</v>
      </c>
      <c r="N5" s="10" t="s">
        <v>649</v>
      </c>
      <c r="O5" s="10" t="str">
        <f t="shared" si="1"/>
        <v>Cá chẽm nhỏ</v>
      </c>
      <c r="P5" s="10" t="str">
        <f t="shared" ref="P5:P65" si="5">"83/"&amp;IF(LEN(G5)=1,"0"&amp;G5,G5)&amp;"24/"&amp;IF(LEN(B5)=1,"0"&amp;B5,B5)</f>
        <v>83/0224/02</v>
      </c>
      <c r="Q5" s="10" t="str">
        <f t="shared" si="2"/>
        <v>Ba Tri 83/01</v>
      </c>
      <c r="R5" s="10" t="str">
        <f t="shared" si="3"/>
        <v>Công ty TNHH Thực Phẩm Vạn Đức  - Ấp 6, Xã Bảo Thạnh</v>
      </c>
      <c r="S5" s="10">
        <v>1</v>
      </c>
      <c r="T5" s="10" t="str">
        <f>IFERROR(VLOOKUP(J5,'List+TK'!$D$3:$E$1000,2,0),"-")</f>
        <v>Methyltestosterone</v>
      </c>
      <c r="U5" s="10" t="str">
        <f t="shared" ref="U5:U65" si="6">H5&amp;"/"&amp;IF(LEN(G5)=1,"0"&amp;G5,G5)&amp;"/2024"</f>
        <v>27/02/2024</v>
      </c>
      <c r="V5" s="10" t="str">
        <f>IFERROR(VLOOKUP(K5,'List+TK'!$G$3:$H$16,2,0),"-")</f>
        <v>Phạm Minh Thuận</v>
      </c>
      <c r="W5" s="10" t="str">
        <f t="shared" si="4"/>
        <v>Ao B10</v>
      </c>
      <c r="X5" s="2"/>
    </row>
    <row r="6" spans="1:25" ht="49.5" x14ac:dyDescent="0.25">
      <c r="A6" s="5">
        <f>_xlfn.AGGREGATE(3,3,$I$4:I6)</f>
        <v>3</v>
      </c>
      <c r="B6" s="5">
        <v>3</v>
      </c>
      <c r="C6" s="26" t="s">
        <v>636</v>
      </c>
      <c r="D6" s="10" t="s">
        <v>352</v>
      </c>
      <c r="E6" s="10" t="s">
        <v>22</v>
      </c>
      <c r="F6" s="10" t="s">
        <v>4</v>
      </c>
      <c r="G6" s="45">
        <v>2</v>
      </c>
      <c r="H6" s="10">
        <v>27</v>
      </c>
      <c r="I6" s="10" t="s">
        <v>614</v>
      </c>
      <c r="J6" s="10" t="s">
        <v>621</v>
      </c>
      <c r="K6" s="10" t="s">
        <v>245</v>
      </c>
      <c r="L6" s="10" t="str">
        <f t="shared" si="0"/>
        <v>Ba Tri</v>
      </c>
      <c r="M6" s="10" t="str">
        <f>IFERROR(VLOOKUP(L6,'List+TK'!$I$3:$J$9,2,0),"-")</f>
        <v>83/01</v>
      </c>
      <c r="N6" s="10">
        <v>6</v>
      </c>
      <c r="O6" s="10" t="str">
        <f t="shared" si="1"/>
        <v>Cá chẽm thương phẩm</v>
      </c>
      <c r="P6" s="10" t="str">
        <f t="shared" si="5"/>
        <v>83/0224/03</v>
      </c>
      <c r="Q6" s="10" t="str">
        <f t="shared" si="2"/>
        <v>Ba Tri 83/01</v>
      </c>
      <c r="R6" s="10" t="str">
        <f t="shared" si="3"/>
        <v>Công ty TNHH Thực Phẩm Vạn Đức  - Ấp 6, Xã Bảo Thạnh</v>
      </c>
      <c r="S6" s="10">
        <v>1.5</v>
      </c>
      <c r="T6" s="10" t="str">
        <f>IFERROR(VLOOKUP(J6,'List+TK'!$D$3:$E$1000,2,0),"-")</f>
        <v>Pb, Hg, Cd</v>
      </c>
      <c r="U6" s="10" t="str">
        <f t="shared" si="6"/>
        <v>27/02/2024</v>
      </c>
      <c r="V6" s="10" t="str">
        <f>IFERROR(VLOOKUP(K6,'List+TK'!$G$3:$H$16,2,0),"-")</f>
        <v>Phạm Minh Thuận</v>
      </c>
      <c r="W6" s="10" t="str">
        <f t="shared" si="4"/>
        <v>Ao 6</v>
      </c>
      <c r="X6" s="4"/>
    </row>
    <row r="7" spans="1:25" s="6" customFormat="1" ht="33" x14ac:dyDescent="0.25">
      <c r="A7" s="5">
        <f>_xlfn.AGGREGATE(3,3,$I$4:I7)</f>
        <v>4</v>
      </c>
      <c r="B7" s="5">
        <v>4</v>
      </c>
      <c r="C7" s="26" t="s">
        <v>258</v>
      </c>
      <c r="D7" s="10" t="s">
        <v>259</v>
      </c>
      <c r="E7" s="10" t="s">
        <v>48</v>
      </c>
      <c r="F7" s="10" t="s">
        <v>5</v>
      </c>
      <c r="G7" s="45">
        <v>2</v>
      </c>
      <c r="H7" s="10">
        <v>27</v>
      </c>
      <c r="I7" s="10" t="s">
        <v>240</v>
      </c>
      <c r="J7" s="10" t="s">
        <v>616</v>
      </c>
      <c r="K7" s="10" t="s">
        <v>244</v>
      </c>
      <c r="L7" s="10" t="str">
        <f t="shared" si="0"/>
        <v>Bình Đại</v>
      </c>
      <c r="M7" s="10" t="str">
        <f>IFERROR(VLOOKUP(L7,'List+TK'!$I$3:$J$9,2,0),"-")</f>
        <v>83/02</v>
      </c>
      <c r="N7" s="10">
        <v>1</v>
      </c>
      <c r="O7" s="10" t="str">
        <f t="shared" si="1"/>
        <v>Tôm chân trắng nhỏ</v>
      </c>
      <c r="P7" s="10" t="str">
        <f t="shared" si="5"/>
        <v>83/0224/04</v>
      </c>
      <c r="Q7" s="10" t="str">
        <f t="shared" si="2"/>
        <v>Bình Đại 83/02</v>
      </c>
      <c r="R7" s="10" t="str">
        <f t="shared" si="3"/>
        <v>Cao Văn Dước - Ấp 3, Xã Phú Vang</v>
      </c>
      <c r="S7" s="10">
        <f t="shared" ref="S7:S67" si="7">IF(OR(I7="Tôm chân trắng nhỏ",I7="Tôm sú nhỏ"),0.5,IF(OR(I7="Cá tra nhỏ",I7="Tôm sú thương phẩm",I7="Tôm chân trắng thương phẩm",I7="Tôm sú quảng canh",I7="Nước ương tôm giống"),1,IF(I7="Cá tra thương phẩm",1.5,0)))</f>
        <v>0.5</v>
      </c>
      <c r="T7" s="10" t="str">
        <f>IFERROR(VLOOKUP(J7,'List+TK'!$D$3:$E$1000,2,0),"-")</f>
        <v>Nhóm Nitroimidazoles</v>
      </c>
      <c r="U7" s="10" t="str">
        <f t="shared" si="6"/>
        <v>27/02/2024</v>
      </c>
      <c r="V7" s="10" t="str">
        <f>IFERROR(VLOOKUP(K7,'List+TK'!$G$3:$H$16,2,0),"-")</f>
        <v>Cao Quang Nguyên</v>
      </c>
      <c r="W7" s="10" t="str">
        <f t="shared" si="4"/>
        <v>Ao 1</v>
      </c>
      <c r="X7" s="2"/>
      <c r="Y7" s="3"/>
    </row>
    <row r="8" spans="1:25" ht="49.5" x14ac:dyDescent="0.25">
      <c r="A8" s="5">
        <f>_xlfn.AGGREGATE(3,3,$I$4:I8)</f>
        <v>5</v>
      </c>
      <c r="B8" s="5">
        <v>5</v>
      </c>
      <c r="C8" s="26" t="s">
        <v>231</v>
      </c>
      <c r="D8" s="10" t="s">
        <v>641</v>
      </c>
      <c r="E8" s="10" t="s">
        <v>40</v>
      </c>
      <c r="F8" s="10" t="s">
        <v>5</v>
      </c>
      <c r="G8" s="45">
        <v>2</v>
      </c>
      <c r="H8" s="10">
        <v>27</v>
      </c>
      <c r="I8" s="10" t="s">
        <v>207</v>
      </c>
      <c r="J8" s="10" t="s">
        <v>615</v>
      </c>
      <c r="K8" s="10" t="s">
        <v>244</v>
      </c>
      <c r="L8" s="10" t="str">
        <f t="shared" si="0"/>
        <v>Bình Đại</v>
      </c>
      <c r="M8" s="10" t="str">
        <f>IFERROR(VLOOKUP(L8,'List+TK'!$I$3:$J$9,2,0),"-")</f>
        <v>83/02</v>
      </c>
      <c r="N8" s="10">
        <v>1</v>
      </c>
      <c r="O8" s="10" t="str">
        <f t="shared" si="1"/>
        <v>Cá tra nhỏ</v>
      </c>
      <c r="P8" s="10" t="str">
        <f t="shared" si="5"/>
        <v>83/0224/05</v>
      </c>
      <c r="Q8" s="10" t="str">
        <f t="shared" si="2"/>
        <v>Bình Đại 83/02</v>
      </c>
      <c r="R8" s="10" t="str">
        <f t="shared" si="3"/>
        <v>Công ty CP Thủy sản Vinh Quang - Ấp Hưng Thạnh, Xã Châu Hưng</v>
      </c>
      <c r="S8" s="10">
        <f t="shared" si="7"/>
        <v>1</v>
      </c>
      <c r="T8" s="10" t="str">
        <f>IFERROR(VLOOKUP(J8,'List+TK'!$D$3:$E$1000,2,0),"-")</f>
        <v>Methyltestosterone</v>
      </c>
      <c r="U8" s="10" t="str">
        <f t="shared" si="6"/>
        <v>27/02/2024</v>
      </c>
      <c r="V8" s="10" t="str">
        <f>IFERROR(VLOOKUP(K8,'List+TK'!$G$3:$H$16,2,0),"-")</f>
        <v>Cao Quang Nguyên</v>
      </c>
      <c r="W8" s="10" t="str">
        <f t="shared" si="4"/>
        <v>Ao 1</v>
      </c>
      <c r="X8" s="4"/>
    </row>
    <row r="9" spans="1:25" s="6" customFormat="1" ht="33" x14ac:dyDescent="0.25">
      <c r="A9" s="5">
        <f>_xlfn.AGGREGATE(3,3,$I$4:I9)</f>
        <v>6</v>
      </c>
      <c r="B9" s="5">
        <v>6</v>
      </c>
      <c r="C9" s="26" t="s">
        <v>264</v>
      </c>
      <c r="D9" s="10" t="s">
        <v>404</v>
      </c>
      <c r="E9" s="10" t="s">
        <v>142</v>
      </c>
      <c r="F9" s="10" t="s">
        <v>11</v>
      </c>
      <c r="G9" s="45">
        <v>2</v>
      </c>
      <c r="H9" s="10">
        <v>28</v>
      </c>
      <c r="I9" s="10" t="s">
        <v>240</v>
      </c>
      <c r="J9" s="10" t="s">
        <v>273</v>
      </c>
      <c r="K9" s="10" t="s">
        <v>244</v>
      </c>
      <c r="L9" s="10" t="str">
        <f t="shared" si="0"/>
        <v>Thạnh Phú</v>
      </c>
      <c r="M9" s="10" t="str">
        <f>IFERROR(VLOOKUP(L9,'List+TK'!$I$3:$J$9,2,0),"-")</f>
        <v>83/03</v>
      </c>
      <c r="N9" s="10">
        <v>1</v>
      </c>
      <c r="O9" s="10" t="str">
        <f t="shared" si="1"/>
        <v>Tôm chân trắng nhỏ</v>
      </c>
      <c r="P9" s="10" t="str">
        <f t="shared" si="5"/>
        <v>83/0224/06</v>
      </c>
      <c r="Q9" s="10" t="str">
        <f t="shared" si="2"/>
        <v>Thạnh Phú 83/03</v>
      </c>
      <c r="R9" s="10" t="str">
        <f t="shared" si="3"/>
        <v>Cao Văn Tùng - Ấp An Hòa, Xã An Nhơn</v>
      </c>
      <c r="S9" s="10">
        <f t="shared" si="7"/>
        <v>0.5</v>
      </c>
      <c r="T9" s="10" t="str">
        <f>IFERROR(VLOOKUP(J9,'List+TK'!$D$3:$E$1000,2,0),"-")</f>
        <v>Chloramphenicol</v>
      </c>
      <c r="U9" s="10" t="str">
        <f t="shared" si="6"/>
        <v>28/02/2024</v>
      </c>
      <c r="V9" s="10" t="str">
        <f>IFERROR(VLOOKUP(K9,'List+TK'!$G$3:$H$16,2,0),"-")</f>
        <v>Cao Quang Nguyên</v>
      </c>
      <c r="W9" s="10" t="str">
        <f t="shared" si="4"/>
        <v>Ao 1</v>
      </c>
      <c r="X9" s="2"/>
      <c r="Y9" s="3"/>
    </row>
    <row r="10" spans="1:25" s="6" customFormat="1" ht="49.5" x14ac:dyDescent="0.25">
      <c r="A10" s="5">
        <f>_xlfn.AGGREGATE(3,3,$I$4:I10)</f>
        <v>7</v>
      </c>
      <c r="B10" s="5">
        <v>7</v>
      </c>
      <c r="C10" s="26" t="s">
        <v>211</v>
      </c>
      <c r="D10" s="10" t="s">
        <v>548</v>
      </c>
      <c r="E10" s="10" t="s">
        <v>73</v>
      </c>
      <c r="F10" s="10" t="s">
        <v>6</v>
      </c>
      <c r="G10" s="45">
        <v>2</v>
      </c>
      <c r="H10" s="10">
        <v>27</v>
      </c>
      <c r="I10" s="10" t="s">
        <v>207</v>
      </c>
      <c r="J10" s="10" t="s">
        <v>615</v>
      </c>
      <c r="K10" s="10" t="s">
        <v>246</v>
      </c>
      <c r="L10" s="10" t="str">
        <f t="shared" si="0"/>
        <v>Châu Thành</v>
      </c>
      <c r="M10" s="10" t="str">
        <f>IFERROR(VLOOKUP(L10,'List+TK'!$I$3:$J$9,2,0),"-")</f>
        <v>83/05</v>
      </c>
      <c r="N10" s="10">
        <v>3</v>
      </c>
      <c r="O10" s="10" t="str">
        <f t="shared" si="1"/>
        <v>Cá tra nhỏ</v>
      </c>
      <c r="P10" s="10" t="str">
        <f t="shared" si="5"/>
        <v>83/0224/07</v>
      </c>
      <c r="Q10" s="10" t="str">
        <f t="shared" si="2"/>
        <v>Châu Thành 83/05</v>
      </c>
      <c r="R10" s="10" t="str">
        <f t="shared" si="3"/>
        <v>Công ty CP Gò Đàng - Ấp Phú Luông, Xã Tân Phú</v>
      </c>
      <c r="S10" s="10">
        <f t="shared" si="7"/>
        <v>1</v>
      </c>
      <c r="T10" s="10" t="str">
        <f>IFERROR(VLOOKUP(J10,'List+TK'!$D$3:$E$1000,2,0),"-")</f>
        <v>Methyltestosterone</v>
      </c>
      <c r="U10" s="10" t="str">
        <f t="shared" si="6"/>
        <v>27/02/2024</v>
      </c>
      <c r="V10" s="10" t="str">
        <f>IFERROR(VLOOKUP(K10,'List+TK'!$G$3:$H$16,2,0),"-")</f>
        <v>Nguyễn Duy Khanh</v>
      </c>
      <c r="W10" s="10" t="str">
        <f t="shared" si="4"/>
        <v>Ao 3</v>
      </c>
      <c r="X10" s="2"/>
      <c r="Y10" s="3"/>
    </row>
    <row r="11" spans="1:25" s="6" customFormat="1" ht="49.5" x14ac:dyDescent="0.25">
      <c r="A11" s="5">
        <f>_xlfn.AGGREGATE(3,3,$I$4:I11)</f>
        <v>8</v>
      </c>
      <c r="B11" s="5">
        <v>8</v>
      </c>
      <c r="C11" s="26" t="s">
        <v>211</v>
      </c>
      <c r="D11" s="10" t="s">
        <v>548</v>
      </c>
      <c r="E11" s="10" t="s">
        <v>73</v>
      </c>
      <c r="F11" s="10" t="s">
        <v>6</v>
      </c>
      <c r="G11" s="45">
        <v>2</v>
      </c>
      <c r="H11" s="10">
        <v>27</v>
      </c>
      <c r="I11" s="10" t="s">
        <v>207</v>
      </c>
      <c r="J11" s="10" t="s">
        <v>616</v>
      </c>
      <c r="K11" s="10" t="s">
        <v>246</v>
      </c>
      <c r="L11" s="10" t="str">
        <f t="shared" si="0"/>
        <v>Châu Thành</v>
      </c>
      <c r="M11" s="10" t="str">
        <f>IFERROR(VLOOKUP(L11,'List+TK'!$I$3:$J$9,2,0),"-")</f>
        <v>83/05</v>
      </c>
      <c r="N11" s="10">
        <v>4</v>
      </c>
      <c r="O11" s="10" t="str">
        <f t="shared" si="1"/>
        <v>Cá tra nhỏ</v>
      </c>
      <c r="P11" s="10" t="str">
        <f t="shared" si="5"/>
        <v>83/0224/08</v>
      </c>
      <c r="Q11" s="10" t="str">
        <f t="shared" si="2"/>
        <v>Châu Thành 83/05</v>
      </c>
      <c r="R11" s="10" t="str">
        <f t="shared" si="3"/>
        <v>Công ty CP Gò Đàng - Ấp Phú Luông, Xã Tân Phú</v>
      </c>
      <c r="S11" s="10">
        <f t="shared" si="7"/>
        <v>1</v>
      </c>
      <c r="T11" s="10" t="str">
        <f>IFERROR(VLOOKUP(J11,'List+TK'!$D$3:$E$1000,2,0),"-")</f>
        <v>Nhóm Nitroimidazoles</v>
      </c>
      <c r="U11" s="10" t="str">
        <f t="shared" si="6"/>
        <v>27/02/2024</v>
      </c>
      <c r="V11" s="10" t="str">
        <f>IFERROR(VLOOKUP(K11,'List+TK'!$G$3:$H$16,2,0),"-")</f>
        <v>Nguyễn Duy Khanh</v>
      </c>
      <c r="W11" s="10" t="str">
        <f t="shared" si="4"/>
        <v>Ao 4</v>
      </c>
      <c r="X11" s="4"/>
      <c r="Y11" s="3"/>
    </row>
    <row r="12" spans="1:25" ht="49.5" x14ac:dyDescent="0.25">
      <c r="A12" s="5">
        <f>_xlfn.AGGREGATE(3,3,$I$4:I12)</f>
        <v>9</v>
      </c>
      <c r="B12" s="5">
        <v>9</v>
      </c>
      <c r="C12" s="26" t="s">
        <v>211</v>
      </c>
      <c r="D12" s="10" t="s">
        <v>548</v>
      </c>
      <c r="E12" s="10" t="s">
        <v>73</v>
      </c>
      <c r="F12" s="10" t="s">
        <v>6</v>
      </c>
      <c r="G12" s="45">
        <v>2</v>
      </c>
      <c r="H12" s="10">
        <v>27</v>
      </c>
      <c r="I12" s="10" t="s">
        <v>207</v>
      </c>
      <c r="J12" s="10" t="s">
        <v>621</v>
      </c>
      <c r="K12" s="10" t="s">
        <v>246</v>
      </c>
      <c r="L12" s="10" t="str">
        <f t="shared" si="0"/>
        <v>Châu Thành</v>
      </c>
      <c r="M12" s="10" t="str">
        <f>IFERROR(VLOOKUP(L12,'List+TK'!$I$3:$J$9,2,0),"-")</f>
        <v>83/05</v>
      </c>
      <c r="N12" s="10">
        <v>5</v>
      </c>
      <c r="O12" s="10" t="str">
        <f t="shared" si="1"/>
        <v>Cá tra nhỏ</v>
      </c>
      <c r="P12" s="10" t="str">
        <f t="shared" si="5"/>
        <v>83/0224/09</v>
      </c>
      <c r="Q12" s="10" t="str">
        <f t="shared" si="2"/>
        <v>Châu Thành 83/05</v>
      </c>
      <c r="R12" s="10" t="str">
        <f t="shared" si="3"/>
        <v>Công ty CP Gò Đàng - Ấp Phú Luông, Xã Tân Phú</v>
      </c>
      <c r="S12" s="10">
        <f t="shared" si="7"/>
        <v>1</v>
      </c>
      <c r="T12" s="10" t="str">
        <f>IFERROR(VLOOKUP(J12,'List+TK'!$D$3:$E$1000,2,0),"-")</f>
        <v>Pb, Hg, Cd</v>
      </c>
      <c r="U12" s="10" t="str">
        <f t="shared" si="6"/>
        <v>27/02/2024</v>
      </c>
      <c r="V12" s="10" t="str">
        <f>IFERROR(VLOOKUP(K12,'List+TK'!$G$3:$H$16,2,0),"-")</f>
        <v>Nguyễn Duy Khanh</v>
      </c>
      <c r="W12" s="10" t="str">
        <f t="shared" si="4"/>
        <v>Ao 5</v>
      </c>
      <c r="X12" s="2"/>
    </row>
    <row r="13" spans="1:25" ht="33" x14ac:dyDescent="0.25">
      <c r="A13" s="5">
        <f>_xlfn.AGGREGATE(3,3,$I$4:I13)</f>
        <v>10</v>
      </c>
      <c r="B13" s="5">
        <v>10</v>
      </c>
      <c r="C13" s="26" t="s">
        <v>211</v>
      </c>
      <c r="D13" s="10" t="s">
        <v>302</v>
      </c>
      <c r="E13" s="10" t="s">
        <v>104</v>
      </c>
      <c r="F13" s="10" t="s">
        <v>8</v>
      </c>
      <c r="G13" s="45">
        <v>2</v>
      </c>
      <c r="H13" s="10">
        <v>28</v>
      </c>
      <c r="I13" s="10" t="s">
        <v>207</v>
      </c>
      <c r="J13" s="10" t="s">
        <v>615</v>
      </c>
      <c r="K13" s="10" t="s">
        <v>245</v>
      </c>
      <c r="L13" s="10" t="str">
        <f t="shared" si="0"/>
        <v>Giồng Trôm</v>
      </c>
      <c r="M13" s="10" t="str">
        <f>IFERROR(VLOOKUP(L13,'List+TK'!$I$3:$J$9,2,0),"-")</f>
        <v>83/06</v>
      </c>
      <c r="N13" s="10">
        <v>2</v>
      </c>
      <c r="O13" s="10" t="str">
        <f t="shared" si="1"/>
        <v>Cá tra nhỏ</v>
      </c>
      <c r="P13" s="10" t="str">
        <f t="shared" si="5"/>
        <v>83/0224/10</v>
      </c>
      <c r="Q13" s="10" t="str">
        <f t="shared" si="2"/>
        <v>Giồng Trôm 83/06</v>
      </c>
      <c r="R13" s="10" t="str">
        <f t="shared" si="3"/>
        <v>Công ty CP Gò Đàng - Ấp 1, Xã Sơn Phú</v>
      </c>
      <c r="S13" s="10">
        <f t="shared" si="7"/>
        <v>1</v>
      </c>
      <c r="T13" s="10" t="str">
        <f>IFERROR(VLOOKUP(J13,'List+TK'!$D$3:$E$1000,2,0),"-")</f>
        <v>Methyltestosterone</v>
      </c>
      <c r="U13" s="10" t="str">
        <f t="shared" si="6"/>
        <v>28/02/2024</v>
      </c>
      <c r="V13" s="10" t="str">
        <f>IFERROR(VLOOKUP(K13,'List+TK'!$G$3:$H$16,2,0),"-")</f>
        <v>Phạm Minh Thuận</v>
      </c>
      <c r="W13" s="10" t="str">
        <f t="shared" si="4"/>
        <v>Ao 2</v>
      </c>
      <c r="X13" s="4"/>
    </row>
    <row r="14" spans="1:25" s="6" customFormat="1" ht="33" x14ac:dyDescent="0.25">
      <c r="A14" s="5">
        <f>_xlfn.AGGREGATE(3,3,$I$4:I14)</f>
        <v>11</v>
      </c>
      <c r="B14" s="5">
        <v>11</v>
      </c>
      <c r="C14" s="26" t="s">
        <v>211</v>
      </c>
      <c r="D14" s="10" t="s">
        <v>302</v>
      </c>
      <c r="E14" s="10" t="s">
        <v>104</v>
      </c>
      <c r="F14" s="10" t="s">
        <v>8</v>
      </c>
      <c r="G14" s="45">
        <v>2</v>
      </c>
      <c r="H14" s="10">
        <v>28</v>
      </c>
      <c r="I14" s="10" t="s">
        <v>208</v>
      </c>
      <c r="J14" s="10" t="s">
        <v>273</v>
      </c>
      <c r="K14" s="10" t="s">
        <v>245</v>
      </c>
      <c r="L14" s="10" t="str">
        <f t="shared" si="0"/>
        <v>Giồng Trôm</v>
      </c>
      <c r="M14" s="10" t="str">
        <f>IFERROR(VLOOKUP(L14,'List+TK'!$I$3:$J$9,2,0),"-")</f>
        <v>83/06</v>
      </c>
      <c r="N14" s="10">
        <v>3</v>
      </c>
      <c r="O14" s="10" t="str">
        <f t="shared" si="1"/>
        <v>Cá tra thương phẩm</v>
      </c>
      <c r="P14" s="10" t="str">
        <f t="shared" si="5"/>
        <v>83/0224/11</v>
      </c>
      <c r="Q14" s="10" t="str">
        <f t="shared" si="2"/>
        <v>Giồng Trôm 83/06</v>
      </c>
      <c r="R14" s="10" t="str">
        <f t="shared" si="3"/>
        <v>Công ty CP Gò Đàng - Ấp 1, Xã Sơn Phú</v>
      </c>
      <c r="S14" s="10">
        <f t="shared" si="7"/>
        <v>1.5</v>
      </c>
      <c r="T14" s="10" t="str">
        <f>IFERROR(VLOOKUP(J14,'List+TK'!$D$3:$E$1000,2,0),"-")</f>
        <v>Chloramphenicol</v>
      </c>
      <c r="U14" s="10" t="str">
        <f t="shared" si="6"/>
        <v>28/02/2024</v>
      </c>
      <c r="V14" s="10" t="str">
        <f>IFERROR(VLOOKUP(K14,'List+TK'!$G$3:$H$16,2,0),"-")</f>
        <v>Phạm Minh Thuận</v>
      </c>
      <c r="W14" s="10" t="str">
        <f t="shared" si="4"/>
        <v>Ao 3</v>
      </c>
      <c r="X14" s="2"/>
      <c r="Y14" s="3"/>
    </row>
    <row r="15" spans="1:25" ht="33" x14ac:dyDescent="0.25">
      <c r="A15" s="5">
        <f>_xlfn.AGGREGATE(3,3,$I$4:I15)</f>
        <v>12</v>
      </c>
      <c r="B15" s="5">
        <v>12</v>
      </c>
      <c r="C15" s="26" t="s">
        <v>211</v>
      </c>
      <c r="D15" s="10" t="s">
        <v>302</v>
      </c>
      <c r="E15" s="10" t="s">
        <v>104</v>
      </c>
      <c r="F15" s="10" t="s">
        <v>8</v>
      </c>
      <c r="G15" s="45">
        <v>2</v>
      </c>
      <c r="H15" s="10">
        <v>28</v>
      </c>
      <c r="I15" s="10" t="s">
        <v>208</v>
      </c>
      <c r="J15" s="10" t="s">
        <v>274</v>
      </c>
      <c r="K15" s="10" t="s">
        <v>245</v>
      </c>
      <c r="L15" s="10" t="str">
        <f t="shared" si="0"/>
        <v>Giồng Trôm</v>
      </c>
      <c r="M15" s="10" t="str">
        <f>IFERROR(VLOOKUP(L15,'List+TK'!$I$3:$J$9,2,0),"-")</f>
        <v>83/06</v>
      </c>
      <c r="N15" s="10">
        <v>5</v>
      </c>
      <c r="O15" s="10" t="str">
        <f t="shared" si="1"/>
        <v>Cá tra thương phẩm</v>
      </c>
      <c r="P15" s="10" t="str">
        <f t="shared" si="5"/>
        <v>83/0224/12</v>
      </c>
      <c r="Q15" s="10" t="str">
        <f t="shared" si="2"/>
        <v>Giồng Trôm 83/06</v>
      </c>
      <c r="R15" s="10" t="str">
        <f t="shared" si="3"/>
        <v>Công ty CP Gò Đàng - Ấp 1, Xã Sơn Phú</v>
      </c>
      <c r="S15" s="10">
        <f t="shared" si="7"/>
        <v>1.5</v>
      </c>
      <c r="T15" s="10" t="str">
        <f>IFERROR(VLOOKUP(J15,'List+TK'!$D$3:$E$1000,2,0),"-")</f>
        <v>Nitrofurans</v>
      </c>
      <c r="U15" s="10" t="str">
        <f t="shared" si="6"/>
        <v>28/02/2024</v>
      </c>
      <c r="V15" s="10" t="str">
        <f>IFERROR(VLOOKUP(K15,'List+TK'!$G$3:$H$16,2,0),"-")</f>
        <v>Phạm Minh Thuận</v>
      </c>
      <c r="W15" s="10" t="str">
        <f t="shared" si="4"/>
        <v>Ao 5</v>
      </c>
      <c r="X15" s="4"/>
    </row>
    <row r="16" spans="1:25" ht="33" x14ac:dyDescent="0.25">
      <c r="A16" s="5">
        <f>_xlfn.AGGREGATE(3,3,$I$4:I16)</f>
        <v>13</v>
      </c>
      <c r="B16" s="5">
        <v>13</v>
      </c>
      <c r="C16" s="26" t="s">
        <v>211</v>
      </c>
      <c r="D16" s="10" t="s">
        <v>302</v>
      </c>
      <c r="E16" s="10" t="s">
        <v>104</v>
      </c>
      <c r="F16" s="10" t="s">
        <v>8</v>
      </c>
      <c r="G16" s="45">
        <v>2</v>
      </c>
      <c r="H16" s="10">
        <v>28</v>
      </c>
      <c r="I16" s="10" t="s">
        <v>208</v>
      </c>
      <c r="J16" s="10" t="s">
        <v>616</v>
      </c>
      <c r="K16" s="10" t="s">
        <v>245</v>
      </c>
      <c r="L16" s="10" t="str">
        <f t="shared" si="0"/>
        <v>Giồng Trôm</v>
      </c>
      <c r="M16" s="10" t="str">
        <f>IFERROR(VLOOKUP(L16,'List+TK'!$I$3:$J$9,2,0),"-")</f>
        <v>83/06</v>
      </c>
      <c r="N16" s="10">
        <v>6</v>
      </c>
      <c r="O16" s="10" t="str">
        <f t="shared" si="1"/>
        <v>Cá tra thương phẩm</v>
      </c>
      <c r="P16" s="10" t="str">
        <f t="shared" si="5"/>
        <v>83/0224/13</v>
      </c>
      <c r="Q16" s="10" t="str">
        <f t="shared" si="2"/>
        <v>Giồng Trôm 83/06</v>
      </c>
      <c r="R16" s="10" t="str">
        <f t="shared" si="3"/>
        <v>Công ty CP Gò Đàng - Ấp 1, Xã Sơn Phú</v>
      </c>
      <c r="S16" s="10">
        <f t="shared" si="7"/>
        <v>1.5</v>
      </c>
      <c r="T16" s="10" t="str">
        <f>IFERROR(VLOOKUP(J16,'List+TK'!$D$3:$E$1000,2,0),"-")</f>
        <v>Nhóm Nitroimidazoles</v>
      </c>
      <c r="U16" s="10" t="str">
        <f t="shared" si="6"/>
        <v>28/02/2024</v>
      </c>
      <c r="V16" s="10" t="str">
        <f>IFERROR(VLOOKUP(K16,'List+TK'!$G$3:$H$16,2,0),"-")</f>
        <v>Phạm Minh Thuận</v>
      </c>
      <c r="W16" s="10" t="str">
        <f t="shared" si="4"/>
        <v>Ao 6</v>
      </c>
      <c r="X16" s="4"/>
    </row>
    <row r="17" spans="1:24" ht="66" x14ac:dyDescent="0.25">
      <c r="A17" s="5">
        <f>_xlfn.AGGREGATE(3,3,$I$4:I17)</f>
        <v>14</v>
      </c>
      <c r="B17" s="5">
        <v>14</v>
      </c>
      <c r="C17" s="26" t="s">
        <v>232</v>
      </c>
      <c r="D17" s="10" t="s">
        <v>327</v>
      </c>
      <c r="E17" s="10" t="s">
        <v>87</v>
      </c>
      <c r="F17" s="10" t="s">
        <v>7</v>
      </c>
      <c r="G17" s="45">
        <v>2</v>
      </c>
      <c r="H17" s="10">
        <v>28</v>
      </c>
      <c r="I17" s="10" t="s">
        <v>207</v>
      </c>
      <c r="J17" s="10" t="s">
        <v>615</v>
      </c>
      <c r="K17" s="10" t="s">
        <v>246</v>
      </c>
      <c r="L17" s="10" t="str">
        <f t="shared" si="0"/>
        <v>Chợ Lách</v>
      </c>
      <c r="M17" s="10" t="str">
        <f>IFERROR(VLOOKUP(L17,'List+TK'!$I$3:$J$9,2,0),"-")</f>
        <v>83/07</v>
      </c>
      <c r="N17" s="10">
        <v>23</v>
      </c>
      <c r="O17" s="10" t="str">
        <f t="shared" si="1"/>
        <v>Cá tra nhỏ</v>
      </c>
      <c r="P17" s="10" t="str">
        <f t="shared" si="5"/>
        <v>83/0224/14</v>
      </c>
      <c r="Q17" s="10" t="str">
        <f t="shared" si="2"/>
        <v>Chợ Lách 83/07</v>
      </c>
      <c r="R17" s="10" t="str">
        <f t="shared" si="3"/>
        <v>Công ty TNHH CBTPXK Vạn Đức Tiền Giang - Ấp Phú Bình, Xã Vĩnh Bình</v>
      </c>
      <c r="S17" s="10">
        <f t="shared" si="7"/>
        <v>1</v>
      </c>
      <c r="T17" s="10" t="str">
        <f>IFERROR(VLOOKUP(J17,'List+TK'!$D$3:$E$1000,2,0),"-")</f>
        <v>Methyltestosterone</v>
      </c>
      <c r="U17" s="10" t="str">
        <f t="shared" si="6"/>
        <v>28/02/2024</v>
      </c>
      <c r="V17" s="10" t="str">
        <f>IFERROR(VLOOKUP(K17,'List+TK'!$G$3:$H$16,2,0),"-")</f>
        <v>Nguyễn Duy Khanh</v>
      </c>
      <c r="W17" s="10" t="str">
        <f t="shared" si="4"/>
        <v>Ao 23</v>
      </c>
      <c r="X17" s="4"/>
    </row>
    <row r="18" spans="1:24" ht="66" x14ac:dyDescent="0.25">
      <c r="A18" s="5">
        <f>_xlfn.AGGREGATE(3,3,$I$4:I18)</f>
        <v>15</v>
      </c>
      <c r="B18" s="5">
        <v>15</v>
      </c>
      <c r="C18" s="26" t="s">
        <v>232</v>
      </c>
      <c r="D18" s="10" t="s">
        <v>327</v>
      </c>
      <c r="E18" s="10" t="s">
        <v>87</v>
      </c>
      <c r="F18" s="10" t="s">
        <v>7</v>
      </c>
      <c r="G18" s="45">
        <v>2</v>
      </c>
      <c r="H18" s="10">
        <v>28</v>
      </c>
      <c r="I18" s="10" t="s">
        <v>208</v>
      </c>
      <c r="J18" s="10" t="s">
        <v>616</v>
      </c>
      <c r="K18" s="10" t="s">
        <v>246</v>
      </c>
      <c r="L18" s="10" t="str">
        <f t="shared" si="0"/>
        <v>Chợ Lách</v>
      </c>
      <c r="M18" s="10" t="str">
        <f>IFERROR(VLOOKUP(L18,'List+TK'!$I$3:$J$9,2,0),"-")</f>
        <v>83/07</v>
      </c>
      <c r="N18" s="10">
        <v>8</v>
      </c>
      <c r="O18" s="10" t="str">
        <f t="shared" si="1"/>
        <v>Cá tra thương phẩm</v>
      </c>
      <c r="P18" s="10" t="str">
        <f t="shared" si="5"/>
        <v>83/0224/15</v>
      </c>
      <c r="Q18" s="10" t="str">
        <f t="shared" si="2"/>
        <v>Chợ Lách 83/07</v>
      </c>
      <c r="R18" s="10" t="str">
        <f t="shared" si="3"/>
        <v>Công ty TNHH CBTPXK Vạn Đức Tiền Giang - Ấp Phú Bình, Xã Vĩnh Bình</v>
      </c>
      <c r="S18" s="10">
        <f t="shared" si="7"/>
        <v>1.5</v>
      </c>
      <c r="T18" s="10" t="str">
        <f>IFERROR(VLOOKUP(J18,'List+TK'!$D$3:$E$1000,2,0),"-")</f>
        <v>Nhóm Nitroimidazoles</v>
      </c>
      <c r="U18" s="10" t="str">
        <f t="shared" si="6"/>
        <v>28/02/2024</v>
      </c>
      <c r="V18" s="10" t="str">
        <f>IFERROR(VLOOKUP(K18,'List+TK'!$G$3:$H$16,2,0),"-")</f>
        <v>Nguyễn Duy Khanh</v>
      </c>
      <c r="W18" s="10" t="str">
        <f t="shared" si="4"/>
        <v>Ao 8</v>
      </c>
      <c r="X18" s="4"/>
    </row>
    <row r="19" spans="1:24" ht="66" x14ac:dyDescent="0.25">
      <c r="A19" s="5">
        <f>_xlfn.AGGREGATE(3,3,$I$4:I19)</f>
        <v>16</v>
      </c>
      <c r="B19" s="5">
        <v>16</v>
      </c>
      <c r="C19" s="26" t="s">
        <v>232</v>
      </c>
      <c r="D19" s="10" t="s">
        <v>327</v>
      </c>
      <c r="E19" s="10" t="s">
        <v>87</v>
      </c>
      <c r="F19" s="10" t="s">
        <v>7</v>
      </c>
      <c r="G19" s="45">
        <v>2</v>
      </c>
      <c r="H19" s="10">
        <v>28</v>
      </c>
      <c r="I19" s="10" t="s">
        <v>208</v>
      </c>
      <c r="J19" s="10" t="s">
        <v>638</v>
      </c>
      <c r="K19" s="10" t="s">
        <v>246</v>
      </c>
      <c r="L19" s="10" t="str">
        <f t="shared" si="0"/>
        <v>Chợ Lách</v>
      </c>
      <c r="M19" s="10" t="str">
        <f>IFERROR(VLOOKUP(L19,'List+TK'!$I$3:$J$9,2,0),"-")</f>
        <v>83/07</v>
      </c>
      <c r="N19" s="10">
        <v>11</v>
      </c>
      <c r="O19" s="10" t="str">
        <f t="shared" si="1"/>
        <v>Cá tra thương phẩm</v>
      </c>
      <c r="P19" s="10" t="str">
        <f t="shared" si="5"/>
        <v>83/0224/16</v>
      </c>
      <c r="Q19" s="10" t="str">
        <f t="shared" si="2"/>
        <v>Chợ Lách 83/07</v>
      </c>
      <c r="R19" s="10" t="str">
        <f t="shared" si="3"/>
        <v>Công ty TNHH CBTPXK Vạn Đức Tiền Giang - Ấp Phú Bình, Xã Vĩnh Bình</v>
      </c>
      <c r="S19" s="10">
        <f t="shared" si="7"/>
        <v>1.5</v>
      </c>
      <c r="T19" s="10" t="str">
        <f>IFERROR(VLOOKUP(J19,'List+TK'!$D$3:$E$1000,2,0),"-")</f>
        <v>Albendazole</v>
      </c>
      <c r="U19" s="10" t="str">
        <f t="shared" si="6"/>
        <v>28/02/2024</v>
      </c>
      <c r="V19" s="10" t="str">
        <f>IFERROR(VLOOKUP(K19,'List+TK'!$G$3:$H$16,2,0),"-")</f>
        <v>Nguyễn Duy Khanh</v>
      </c>
      <c r="W19" s="10" t="str">
        <f t="shared" si="4"/>
        <v>Ao 11</v>
      </c>
      <c r="X19" s="4"/>
    </row>
    <row r="20" spans="1:24" ht="66" x14ac:dyDescent="0.25">
      <c r="A20" s="5">
        <f>_xlfn.AGGREGATE(3,3,$I$4:I20)</f>
        <v>17</v>
      </c>
      <c r="B20" s="5">
        <v>17</v>
      </c>
      <c r="C20" s="26" t="s">
        <v>232</v>
      </c>
      <c r="D20" s="10" t="s">
        <v>327</v>
      </c>
      <c r="E20" s="10" t="s">
        <v>87</v>
      </c>
      <c r="F20" s="10" t="s">
        <v>7</v>
      </c>
      <c r="G20" s="45">
        <v>2</v>
      </c>
      <c r="H20" s="10">
        <v>28</v>
      </c>
      <c r="I20" s="10" t="s">
        <v>208</v>
      </c>
      <c r="J20" s="10" t="s">
        <v>634</v>
      </c>
      <c r="K20" s="10" t="s">
        <v>246</v>
      </c>
      <c r="L20" s="10" t="str">
        <f t="shared" si="0"/>
        <v>Chợ Lách</v>
      </c>
      <c r="M20" s="10" t="str">
        <f>IFERROR(VLOOKUP(L20,'List+TK'!$I$3:$J$9,2,0),"-")</f>
        <v>83/07</v>
      </c>
      <c r="N20" s="10">
        <v>3</v>
      </c>
      <c r="O20" s="10" t="str">
        <f t="shared" si="1"/>
        <v>Cá tra thương phẩm</v>
      </c>
      <c r="P20" s="10" t="str">
        <f t="shared" si="5"/>
        <v>83/0224/17</v>
      </c>
      <c r="Q20" s="10" t="str">
        <f t="shared" si="2"/>
        <v>Chợ Lách 83/07</v>
      </c>
      <c r="R20" s="10" t="str">
        <f t="shared" si="3"/>
        <v>Công ty TNHH CBTPXK Vạn Đức Tiền Giang - Ấp Phú Bình, Xã Vĩnh Bình</v>
      </c>
      <c r="S20" s="10">
        <f t="shared" si="7"/>
        <v>1.5</v>
      </c>
      <c r="T20" s="10" t="str">
        <f>IFERROR(VLOOKUP(J20,'List+TK'!$D$3:$E$1000,2,0),"-")</f>
        <v>Perfluoroalkyl</v>
      </c>
      <c r="U20" s="10" t="str">
        <f t="shared" si="6"/>
        <v>28/02/2024</v>
      </c>
      <c r="V20" s="10" t="str">
        <f>IFERROR(VLOOKUP(K20,'List+TK'!$G$3:$H$16,2,0),"-")</f>
        <v>Nguyễn Duy Khanh</v>
      </c>
      <c r="W20" s="10" t="str">
        <f t="shared" si="4"/>
        <v>Ao 3</v>
      </c>
      <c r="X20" s="4"/>
    </row>
    <row r="21" spans="1:24" ht="49.5" x14ac:dyDescent="0.25">
      <c r="A21" s="5">
        <f>_xlfn.AGGREGATE(3,3,$I$4:I21)</f>
        <v>18</v>
      </c>
      <c r="B21" s="5">
        <v>1</v>
      </c>
      <c r="C21" s="26" t="s">
        <v>653</v>
      </c>
      <c r="D21" s="10" t="s">
        <v>254</v>
      </c>
      <c r="E21" s="10" t="s">
        <v>655</v>
      </c>
      <c r="F21" s="10" t="s">
        <v>4</v>
      </c>
      <c r="G21" s="110">
        <v>3</v>
      </c>
      <c r="H21" s="10">
        <v>18</v>
      </c>
      <c r="I21" s="10" t="s">
        <v>240</v>
      </c>
      <c r="J21" s="10" t="s">
        <v>273</v>
      </c>
      <c r="K21" s="10" t="s">
        <v>245</v>
      </c>
      <c r="L21" s="10" t="str">
        <f t="shared" si="0"/>
        <v>Ba Tri</v>
      </c>
      <c r="M21" s="10" t="str">
        <f>IFERROR(VLOOKUP(L21,'List+TK'!$I$3:$J$9,2,0),"-")</f>
        <v>83/01</v>
      </c>
      <c r="N21" s="10">
        <v>1</v>
      </c>
      <c r="O21" s="10" t="str">
        <f t="shared" si="1"/>
        <v>Tôm chân trắng nhỏ</v>
      </c>
      <c r="P21" s="10" t="str">
        <f t="shared" si="5"/>
        <v>83/0324/01</v>
      </c>
      <c r="Q21" s="10" t="str">
        <f t="shared" si="2"/>
        <v>Ba Tri 83/01</v>
      </c>
      <c r="R21" s="10" t="str">
        <f t="shared" si="3"/>
        <v>Nguyễn Văn Bi - Ấp 7, Thị Trấn Tiệm Tôm</v>
      </c>
      <c r="S21" s="10">
        <f t="shared" si="7"/>
        <v>0.5</v>
      </c>
      <c r="T21" s="10" t="str">
        <f>IFERROR(VLOOKUP(J21,'List+TK'!$D$3:$E$1000,2,0),"-")</f>
        <v>Chloramphenicol</v>
      </c>
      <c r="U21" s="10" t="str">
        <f t="shared" si="6"/>
        <v>18/03/2024</v>
      </c>
      <c r="V21" s="10" t="str">
        <f>IFERROR(VLOOKUP(K21,'List+TK'!$G$3:$H$16,2,0),"-")</f>
        <v>Phạm Minh Thuận</v>
      </c>
      <c r="W21" s="10" t="str">
        <f t="shared" si="4"/>
        <v>Ao 1</v>
      </c>
      <c r="X21" s="4"/>
    </row>
    <row r="22" spans="1:24" ht="33" x14ac:dyDescent="0.25">
      <c r="A22" s="5">
        <f>_xlfn.AGGREGATE(3,3,$I$4:I22)</f>
        <v>19</v>
      </c>
      <c r="B22" s="5">
        <v>2</v>
      </c>
      <c r="C22" s="26" t="s">
        <v>211</v>
      </c>
      <c r="D22" s="10" t="s">
        <v>260</v>
      </c>
      <c r="E22" s="10" t="s">
        <v>34</v>
      </c>
      <c r="F22" s="10" t="s">
        <v>4</v>
      </c>
      <c r="G22" s="110">
        <v>3</v>
      </c>
      <c r="H22" s="10">
        <v>18</v>
      </c>
      <c r="I22" s="10" t="s">
        <v>208</v>
      </c>
      <c r="J22" s="10" t="s">
        <v>287</v>
      </c>
      <c r="K22" s="10" t="s">
        <v>245</v>
      </c>
      <c r="L22" s="10" t="str">
        <f t="shared" si="0"/>
        <v>Ba Tri</v>
      </c>
      <c r="M22" s="10" t="str">
        <f>IFERROR(VLOOKUP(L22,'List+TK'!$I$3:$J$9,2,0),"-")</f>
        <v>83/01</v>
      </c>
      <c r="N22" s="10">
        <v>4</v>
      </c>
      <c r="O22" s="10" t="str">
        <f t="shared" si="1"/>
        <v>Cá tra thương phẩm</v>
      </c>
      <c r="P22" s="10" t="str">
        <f t="shared" si="5"/>
        <v>83/0324/02</v>
      </c>
      <c r="Q22" s="10" t="str">
        <f t="shared" si="2"/>
        <v>Ba Tri 83/01</v>
      </c>
      <c r="R22" s="10" t="str">
        <f t="shared" si="3"/>
        <v>Công ty CP Gò Đàng - Ấp 4, Xã Tân Xuân</v>
      </c>
      <c r="S22" s="10">
        <f t="shared" si="7"/>
        <v>1.5</v>
      </c>
      <c r="T22" s="10" t="str">
        <f>IFERROR(VLOOKUP(J22,'List+TK'!$D$3:$E$1000,2,0),"-")</f>
        <v>Trifluralin</v>
      </c>
      <c r="U22" s="10" t="str">
        <f t="shared" si="6"/>
        <v>18/03/2024</v>
      </c>
      <c r="V22" s="10" t="str">
        <f>IFERROR(VLOOKUP(K22,'List+TK'!$G$3:$H$16,2,0),"-")</f>
        <v>Phạm Minh Thuận</v>
      </c>
      <c r="W22" s="10" t="str">
        <f t="shared" si="4"/>
        <v>Ao 4</v>
      </c>
      <c r="X22" s="4"/>
    </row>
    <row r="23" spans="1:24" ht="49.5" x14ac:dyDescent="0.25">
      <c r="A23" s="5">
        <f>_xlfn.AGGREGATE(3,3,$I$4:I23)</f>
        <v>20</v>
      </c>
      <c r="B23" s="5">
        <v>3</v>
      </c>
      <c r="C23" s="27" t="s">
        <v>383</v>
      </c>
      <c r="D23" s="10" t="s">
        <v>656</v>
      </c>
      <c r="E23" s="10" t="s">
        <v>50</v>
      </c>
      <c r="F23" s="10" t="s">
        <v>5</v>
      </c>
      <c r="G23" s="110">
        <v>3</v>
      </c>
      <c r="H23" s="10">
        <v>18</v>
      </c>
      <c r="I23" s="10" t="s">
        <v>238</v>
      </c>
      <c r="J23" s="10" t="s">
        <v>276</v>
      </c>
      <c r="K23" s="10" t="s">
        <v>244</v>
      </c>
      <c r="L23" s="10" t="str">
        <f t="shared" si="0"/>
        <v>Bình Đại</v>
      </c>
      <c r="M23" s="10" t="str">
        <f>IFERROR(VLOOKUP(L23,'List+TK'!$I$3:$J$9,2,0),"-")</f>
        <v>83/02</v>
      </c>
      <c r="N23" s="10">
        <v>1</v>
      </c>
      <c r="O23" s="10" t="str">
        <f t="shared" si="1"/>
        <v>Tôm sú thương phẩm</v>
      </c>
      <c r="P23" s="10" t="str">
        <f t="shared" si="5"/>
        <v>83/0324/03</v>
      </c>
      <c r="Q23" s="10" t="str">
        <f t="shared" si="2"/>
        <v>Bình Đại 83/02</v>
      </c>
      <c r="R23" s="10" t="str">
        <f t="shared" si="3"/>
        <v>Trần Thanh Hải  - Ấp 1 , Xã Thạnh Phước</v>
      </c>
      <c r="S23" s="10">
        <f t="shared" si="7"/>
        <v>1</v>
      </c>
      <c r="T23" s="10" t="str">
        <f>IFERROR(VLOOKUP(J23,'List+TK'!$D$3:$E$1000,2,0),"-")</f>
        <v>Nhóm Tetracyclines</v>
      </c>
      <c r="U23" s="10" t="str">
        <f t="shared" si="6"/>
        <v>18/03/2024</v>
      </c>
      <c r="V23" s="10" t="str">
        <f>IFERROR(VLOOKUP(K23,'List+TK'!$G$3:$H$16,2,0),"-")</f>
        <v>Cao Quang Nguyên</v>
      </c>
      <c r="W23" s="10" t="str">
        <f t="shared" si="4"/>
        <v>Ao 1</v>
      </c>
      <c r="X23" s="4"/>
    </row>
    <row r="24" spans="1:24" ht="49.5" x14ac:dyDescent="0.25">
      <c r="A24" s="5">
        <f>_xlfn.AGGREGATE(3,3,$I$4:I24)</f>
        <v>21</v>
      </c>
      <c r="B24" s="5">
        <v>4</v>
      </c>
      <c r="C24" s="27" t="s">
        <v>383</v>
      </c>
      <c r="D24" s="10" t="s">
        <v>656</v>
      </c>
      <c r="E24" s="10" t="s">
        <v>50</v>
      </c>
      <c r="F24" s="10" t="s">
        <v>5</v>
      </c>
      <c r="G24" s="110">
        <v>3</v>
      </c>
      <c r="H24" s="10">
        <v>18</v>
      </c>
      <c r="I24" s="10" t="s">
        <v>241</v>
      </c>
      <c r="J24" s="10" t="s">
        <v>273</v>
      </c>
      <c r="K24" s="10" t="s">
        <v>244</v>
      </c>
      <c r="L24" s="10" t="str">
        <f t="shared" si="0"/>
        <v>Bình Đại</v>
      </c>
      <c r="M24" s="10" t="str">
        <f>IFERROR(VLOOKUP(L24,'List+TK'!$I$3:$J$9,2,0),"-")</f>
        <v>83/02</v>
      </c>
      <c r="N24" s="10">
        <v>2</v>
      </c>
      <c r="O24" s="10" t="str">
        <f t="shared" si="1"/>
        <v>Tôm chân trắng thương phẩm</v>
      </c>
      <c r="P24" s="10" t="str">
        <f t="shared" si="5"/>
        <v>83/0324/04</v>
      </c>
      <c r="Q24" s="10" t="str">
        <f t="shared" si="2"/>
        <v>Bình Đại 83/02</v>
      </c>
      <c r="R24" s="10" t="str">
        <f t="shared" si="3"/>
        <v>Trần Thanh Hải  - Ấp 1 , Xã Thạnh Phước</v>
      </c>
      <c r="S24" s="10">
        <f t="shared" si="7"/>
        <v>1</v>
      </c>
      <c r="T24" s="10" t="str">
        <f>IFERROR(VLOOKUP(J24,'List+TK'!$D$3:$E$1000,2,0),"-")</f>
        <v>Chloramphenicol</v>
      </c>
      <c r="U24" s="10" t="str">
        <f t="shared" si="6"/>
        <v>18/03/2024</v>
      </c>
      <c r="V24" s="10" t="str">
        <f>IFERROR(VLOOKUP(K24,'List+TK'!$G$3:$H$16,2,0),"-")</f>
        <v>Cao Quang Nguyên</v>
      </c>
      <c r="W24" s="10" t="str">
        <f t="shared" si="4"/>
        <v>Ao 2</v>
      </c>
      <c r="X24" s="4"/>
    </row>
    <row r="25" spans="1:24" ht="66" x14ac:dyDescent="0.25">
      <c r="A25" s="5">
        <f>_xlfn.AGGREGATE(3,3,$I$4:I25)</f>
        <v>22</v>
      </c>
      <c r="B25" s="5">
        <v>5</v>
      </c>
      <c r="C25" s="26" t="s">
        <v>211</v>
      </c>
      <c r="D25" s="10" t="s">
        <v>262</v>
      </c>
      <c r="E25" s="10" t="s">
        <v>43</v>
      </c>
      <c r="F25" s="10" t="s">
        <v>5</v>
      </c>
      <c r="G25" s="110">
        <v>3</v>
      </c>
      <c r="H25" s="10">
        <v>18</v>
      </c>
      <c r="I25" s="10" t="s">
        <v>208</v>
      </c>
      <c r="J25" s="10" t="s">
        <v>282</v>
      </c>
      <c r="K25" s="10" t="s">
        <v>244</v>
      </c>
      <c r="L25" s="10" t="str">
        <f t="shared" si="0"/>
        <v>Bình Đại</v>
      </c>
      <c r="M25" s="10" t="str">
        <f>IFERROR(VLOOKUP(L25,'List+TK'!$I$3:$J$9,2,0),"-")</f>
        <v>83/02</v>
      </c>
      <c r="N25" s="10">
        <v>1</v>
      </c>
      <c r="O25" s="10" t="str">
        <f t="shared" si="1"/>
        <v>Cá tra thương phẩm</v>
      </c>
      <c r="P25" s="10" t="str">
        <f t="shared" si="5"/>
        <v>83/0324/05</v>
      </c>
      <c r="Q25" s="10" t="str">
        <f t="shared" si="2"/>
        <v>Bình Đại 83/02</v>
      </c>
      <c r="R25" s="10" t="str">
        <f t="shared" si="3"/>
        <v>Công ty CP Gò Đàng - Khu A Lộc Thuận, ấp Lộc Sơn, Xã Lộc Thuận</v>
      </c>
      <c r="S25" s="10">
        <f t="shared" si="7"/>
        <v>1.5</v>
      </c>
      <c r="T25" s="10" t="str">
        <f>IFERROR(VLOOKUP(J25,'List+TK'!$D$3:$E$1000,2,0),"-")</f>
        <v>Fosfomycin</v>
      </c>
      <c r="U25" s="10" t="str">
        <f t="shared" si="6"/>
        <v>18/03/2024</v>
      </c>
      <c r="V25" s="10" t="str">
        <f>IFERROR(VLOOKUP(K25,'List+TK'!$G$3:$H$16,2,0),"-")</f>
        <v>Cao Quang Nguyên</v>
      </c>
      <c r="W25" s="10" t="str">
        <f t="shared" si="4"/>
        <v>Ao 1</v>
      </c>
      <c r="X25" s="4"/>
    </row>
    <row r="26" spans="1:24" ht="66" x14ac:dyDescent="0.25">
      <c r="A26" s="5">
        <f>_xlfn.AGGREGATE(3,3,$I$4:I26)</f>
        <v>23</v>
      </c>
      <c r="B26" s="5">
        <v>6</v>
      </c>
      <c r="C26" s="26" t="s">
        <v>211</v>
      </c>
      <c r="D26" s="10" t="s">
        <v>262</v>
      </c>
      <c r="E26" s="10" t="s">
        <v>43</v>
      </c>
      <c r="F26" s="10" t="s">
        <v>5</v>
      </c>
      <c r="G26" s="110">
        <v>3</v>
      </c>
      <c r="H26" s="10">
        <v>18</v>
      </c>
      <c r="I26" s="10" t="s">
        <v>208</v>
      </c>
      <c r="J26" s="10" t="s">
        <v>284</v>
      </c>
      <c r="K26" s="10" t="s">
        <v>244</v>
      </c>
      <c r="L26" s="10" t="str">
        <f t="shared" si="0"/>
        <v>Bình Đại</v>
      </c>
      <c r="M26" s="10" t="str">
        <f>IFERROR(VLOOKUP(L26,'List+TK'!$I$3:$J$9,2,0),"-")</f>
        <v>83/02</v>
      </c>
      <c r="N26" s="10">
        <v>3</v>
      </c>
      <c r="O26" s="10" t="str">
        <f t="shared" si="1"/>
        <v>Cá tra thương phẩm</v>
      </c>
      <c r="P26" s="10" t="str">
        <f t="shared" si="5"/>
        <v>83/0324/06</v>
      </c>
      <c r="Q26" s="10" t="str">
        <f t="shared" si="2"/>
        <v>Bình Đại 83/02</v>
      </c>
      <c r="R26" s="10" t="str">
        <f t="shared" si="3"/>
        <v>Công ty CP Gò Đàng - Khu A Lộc Thuận, ấp Lộc Sơn, Xã Lộc Thuận</v>
      </c>
      <c r="S26" s="10">
        <f t="shared" si="7"/>
        <v>1.5</v>
      </c>
      <c r="T26" s="10" t="str">
        <f>IFERROR(VLOOKUP(J26,'List+TK'!$D$3:$E$1000,2,0),"-")</f>
        <v>Azadirachtin</v>
      </c>
      <c r="U26" s="10" t="str">
        <f t="shared" si="6"/>
        <v>18/03/2024</v>
      </c>
      <c r="V26" s="10" t="str">
        <f>IFERROR(VLOOKUP(K26,'List+TK'!$G$3:$H$16,2,0),"-")</f>
        <v>Cao Quang Nguyên</v>
      </c>
      <c r="W26" s="10" t="str">
        <f t="shared" si="4"/>
        <v>Ao 3</v>
      </c>
      <c r="X26" s="4"/>
    </row>
    <row r="27" spans="1:24" ht="49.5" x14ac:dyDescent="0.25">
      <c r="A27" s="5">
        <f>_xlfn.AGGREGATE(3,3,$I$4:I27)</f>
        <v>24</v>
      </c>
      <c r="B27" s="5">
        <v>7</v>
      </c>
      <c r="C27" s="26" t="s">
        <v>636</v>
      </c>
      <c r="D27" s="10" t="s">
        <v>254</v>
      </c>
      <c r="E27" s="10" t="s">
        <v>50</v>
      </c>
      <c r="F27" s="10" t="s">
        <v>5</v>
      </c>
      <c r="G27" s="110">
        <v>3</v>
      </c>
      <c r="H27" s="10">
        <v>18</v>
      </c>
      <c r="I27" s="10" t="s">
        <v>613</v>
      </c>
      <c r="J27" s="10" t="s">
        <v>273</v>
      </c>
      <c r="K27" s="10" t="s">
        <v>244</v>
      </c>
      <c r="L27" s="10" t="str">
        <f t="shared" si="0"/>
        <v>Bình Đại</v>
      </c>
      <c r="M27" s="10" t="str">
        <f>IFERROR(VLOOKUP(L27,'List+TK'!$I$3:$J$9,2,0),"-")</f>
        <v>83/02</v>
      </c>
      <c r="N27" s="10" t="s">
        <v>649</v>
      </c>
      <c r="O27" s="10" t="str">
        <f t="shared" si="1"/>
        <v>Cá chẽm nhỏ</v>
      </c>
      <c r="P27" s="10" t="str">
        <f t="shared" si="5"/>
        <v>83/0324/07</v>
      </c>
      <c r="Q27" s="10" t="str">
        <f t="shared" si="2"/>
        <v>Bình Đại 83/02</v>
      </c>
      <c r="R27" s="10" t="str">
        <f t="shared" si="3"/>
        <v>Công ty TNHH Thực Phẩm Vạn Đức  - Ấp 7, Xã Thạnh Phước</v>
      </c>
      <c r="S27" s="10">
        <f t="shared" si="7"/>
        <v>0</v>
      </c>
      <c r="T27" s="10" t="str">
        <f>IFERROR(VLOOKUP(J27,'List+TK'!$D$3:$E$1000,2,0),"-")</f>
        <v>Chloramphenicol</v>
      </c>
      <c r="U27" s="10" t="str">
        <f t="shared" si="6"/>
        <v>18/03/2024</v>
      </c>
      <c r="V27" s="10" t="str">
        <f>IFERROR(VLOOKUP(K27,'List+TK'!$G$3:$H$16,2,0),"-")</f>
        <v>Cao Quang Nguyên</v>
      </c>
      <c r="W27" s="10" t="str">
        <f t="shared" si="4"/>
        <v>Ao B10</v>
      </c>
      <c r="X27" s="4"/>
    </row>
    <row r="28" spans="1:24" ht="49.5" x14ac:dyDescent="0.25">
      <c r="A28" s="5">
        <f>_xlfn.AGGREGATE(3,3,$I$4:I28)</f>
        <v>25</v>
      </c>
      <c r="B28" s="5">
        <v>8</v>
      </c>
      <c r="C28" s="26" t="s">
        <v>636</v>
      </c>
      <c r="D28" s="10" t="s">
        <v>254</v>
      </c>
      <c r="E28" s="10" t="s">
        <v>50</v>
      </c>
      <c r="F28" s="10" t="s">
        <v>5</v>
      </c>
      <c r="G28" s="110">
        <v>3</v>
      </c>
      <c r="H28" s="10">
        <v>18</v>
      </c>
      <c r="I28" s="10" t="s">
        <v>614</v>
      </c>
      <c r="J28" s="10" t="s">
        <v>274</v>
      </c>
      <c r="K28" s="10" t="s">
        <v>244</v>
      </c>
      <c r="L28" s="10" t="str">
        <f t="shared" si="0"/>
        <v>Bình Đại</v>
      </c>
      <c r="M28" s="10" t="str">
        <f>IFERROR(VLOOKUP(L28,'List+TK'!$I$3:$J$9,2,0),"-")</f>
        <v>83/02</v>
      </c>
      <c r="N28" s="10" t="s">
        <v>657</v>
      </c>
      <c r="O28" s="10" t="str">
        <f t="shared" si="1"/>
        <v>Cá chẽm thương phẩm</v>
      </c>
      <c r="P28" s="10" t="str">
        <f t="shared" si="5"/>
        <v>83/0324/08</v>
      </c>
      <c r="Q28" s="10" t="str">
        <f t="shared" si="2"/>
        <v>Bình Đại 83/02</v>
      </c>
      <c r="R28" s="10" t="str">
        <f t="shared" si="3"/>
        <v>Công ty TNHH Thực Phẩm Vạn Đức  - Ấp 7, Xã Thạnh Phước</v>
      </c>
      <c r="S28" s="10">
        <f t="shared" si="7"/>
        <v>0</v>
      </c>
      <c r="T28" s="10" t="str">
        <f>IFERROR(VLOOKUP(J28,'List+TK'!$D$3:$E$1000,2,0),"-")</f>
        <v>Nitrofurans</v>
      </c>
      <c r="U28" s="10" t="str">
        <f t="shared" si="6"/>
        <v>18/03/2024</v>
      </c>
      <c r="V28" s="10" t="str">
        <f>IFERROR(VLOOKUP(K28,'List+TK'!$G$3:$H$16,2,0),"-")</f>
        <v>Cao Quang Nguyên</v>
      </c>
      <c r="W28" s="10" t="str">
        <f t="shared" si="4"/>
        <v>Ao A20</v>
      </c>
      <c r="X28" s="4"/>
    </row>
    <row r="29" spans="1:24" ht="33" x14ac:dyDescent="0.25">
      <c r="A29" s="5">
        <f>_xlfn.AGGREGATE(3,3,$I$4:I29)</f>
        <v>26</v>
      </c>
      <c r="B29" s="5">
        <v>9</v>
      </c>
      <c r="C29" s="26" t="s">
        <v>487</v>
      </c>
      <c r="D29" s="10"/>
      <c r="E29" s="10" t="s">
        <v>144</v>
      </c>
      <c r="F29" s="10" t="s">
        <v>11</v>
      </c>
      <c r="G29" s="110">
        <v>3</v>
      </c>
      <c r="H29" s="10">
        <v>19</v>
      </c>
      <c r="I29" s="10" t="s">
        <v>241</v>
      </c>
      <c r="J29" s="10" t="s">
        <v>274</v>
      </c>
      <c r="K29" s="10" t="s">
        <v>244</v>
      </c>
      <c r="L29" s="10" t="str">
        <f t="shared" si="0"/>
        <v>Thạnh Phú</v>
      </c>
      <c r="M29" s="10" t="str">
        <f>IFERROR(VLOOKUP(L29,'List+TK'!$I$3:$J$9,2,0),"-")</f>
        <v>83/03</v>
      </c>
      <c r="N29" s="10">
        <v>1</v>
      </c>
      <c r="O29" s="10" t="str">
        <f t="shared" si="1"/>
        <v>Tôm chân trắng thương phẩm</v>
      </c>
      <c r="P29" s="10" t="str">
        <f t="shared" si="5"/>
        <v>83/0324/09</v>
      </c>
      <c r="Q29" s="10" t="str">
        <f t="shared" si="2"/>
        <v>Thạnh Phú 83/03</v>
      </c>
      <c r="R29" s="10" t="str">
        <f t="shared" si="3"/>
        <v>Phạm Văn Cưng  - , Xã An Thuận</v>
      </c>
      <c r="S29" s="10">
        <f t="shared" si="7"/>
        <v>1</v>
      </c>
      <c r="T29" s="10" t="str">
        <f>IFERROR(VLOOKUP(J29,'List+TK'!$D$3:$E$1000,2,0),"-")</f>
        <v>Nitrofurans</v>
      </c>
      <c r="U29" s="10" t="str">
        <f t="shared" si="6"/>
        <v>19/03/2024</v>
      </c>
      <c r="V29" s="10" t="str">
        <f>IFERROR(VLOOKUP(K29,'List+TK'!$G$3:$H$16,2,0),"-")</f>
        <v>Cao Quang Nguyên</v>
      </c>
      <c r="W29" s="10" t="str">
        <f t="shared" si="4"/>
        <v>Ao 1</v>
      </c>
      <c r="X29" s="4"/>
    </row>
    <row r="30" spans="1:24" s="111" customFormat="1" ht="49.5" x14ac:dyDescent="0.25">
      <c r="A30" s="5">
        <f>_xlfn.AGGREGATE(3,3,$I$4:I30)</f>
        <v>27</v>
      </c>
      <c r="B30" s="5">
        <v>10</v>
      </c>
      <c r="C30" s="26" t="s">
        <v>211</v>
      </c>
      <c r="D30" s="10" t="s">
        <v>303</v>
      </c>
      <c r="E30" s="10" t="s">
        <v>138</v>
      </c>
      <c r="F30" s="10" t="s">
        <v>10</v>
      </c>
      <c r="G30" s="110">
        <v>3</v>
      </c>
      <c r="H30" s="10">
        <v>19</v>
      </c>
      <c r="I30" s="10" t="s">
        <v>207</v>
      </c>
      <c r="J30" s="10" t="s">
        <v>273</v>
      </c>
      <c r="K30" s="10" t="s">
        <v>245</v>
      </c>
      <c r="L30" s="10" t="str">
        <f t="shared" si="0"/>
        <v>Mỏ Cày</v>
      </c>
      <c r="M30" s="10" t="str">
        <f>IFERROR(VLOOKUP(L30,'List+TK'!$I$3:$J$9,2,0),"-")</f>
        <v>83/04</v>
      </c>
      <c r="N30" s="10">
        <v>1</v>
      </c>
      <c r="O30" s="10" t="str">
        <f t="shared" si="1"/>
        <v>Cá tra nhỏ</v>
      </c>
      <c r="P30" s="10" t="str">
        <f t="shared" si="5"/>
        <v>83/0324/10</v>
      </c>
      <c r="Q30" s="10" t="str">
        <f t="shared" si="2"/>
        <v>Mỏ Cày 83/04</v>
      </c>
      <c r="R30" s="10" t="str">
        <f t="shared" si="3"/>
        <v>Công ty CP Gò Đàng - Ấp Thành Long, Xã Thành Thới A</v>
      </c>
      <c r="S30" s="10">
        <f t="shared" si="7"/>
        <v>1</v>
      </c>
      <c r="T30" s="10" t="str">
        <f>IFERROR(VLOOKUP(J30,'List+TK'!$D$3:$E$1000,2,0),"-")</f>
        <v>Chloramphenicol</v>
      </c>
      <c r="U30" s="10" t="str">
        <f t="shared" si="6"/>
        <v>19/03/2024</v>
      </c>
      <c r="V30" s="10" t="str">
        <f>IFERROR(VLOOKUP(K30,'List+TK'!$G$3:$H$16,2,0),"-")</f>
        <v>Phạm Minh Thuận</v>
      </c>
      <c r="W30" s="10" t="str">
        <f t="shared" si="4"/>
        <v>Ao 1</v>
      </c>
      <c r="X30" s="4"/>
    </row>
    <row r="31" spans="1:24" ht="49.5" x14ac:dyDescent="0.25">
      <c r="A31" s="5">
        <f>_xlfn.AGGREGATE(3,3,$I$4:I31)</f>
        <v>28</v>
      </c>
      <c r="B31" s="5">
        <v>11</v>
      </c>
      <c r="C31" s="26" t="s">
        <v>211</v>
      </c>
      <c r="D31" s="10" t="s">
        <v>303</v>
      </c>
      <c r="E31" s="10" t="s">
        <v>138</v>
      </c>
      <c r="F31" s="10" t="s">
        <v>10</v>
      </c>
      <c r="G31" s="110">
        <v>3</v>
      </c>
      <c r="H31" s="10">
        <v>19</v>
      </c>
      <c r="I31" s="10" t="s">
        <v>207</v>
      </c>
      <c r="J31" s="10" t="s">
        <v>274</v>
      </c>
      <c r="K31" s="10" t="s">
        <v>245</v>
      </c>
      <c r="L31" s="10" t="str">
        <f t="shared" si="0"/>
        <v>Mỏ Cày</v>
      </c>
      <c r="M31" s="10" t="str">
        <f>IFERROR(VLOOKUP(L31,'List+TK'!$I$3:$J$9,2,0),"-")</f>
        <v>83/04</v>
      </c>
      <c r="N31" s="10">
        <v>3</v>
      </c>
      <c r="O31" s="10" t="str">
        <f t="shared" si="1"/>
        <v>Cá tra nhỏ</v>
      </c>
      <c r="P31" s="10" t="str">
        <f t="shared" si="5"/>
        <v>83/0324/11</v>
      </c>
      <c r="Q31" s="10" t="str">
        <f t="shared" si="2"/>
        <v>Mỏ Cày 83/04</v>
      </c>
      <c r="R31" s="10" t="str">
        <f t="shared" si="3"/>
        <v>Công ty CP Gò Đàng - Ấp Thành Long, Xã Thành Thới A</v>
      </c>
      <c r="S31" s="10">
        <f t="shared" si="7"/>
        <v>1</v>
      </c>
      <c r="T31" s="10" t="str">
        <f>IFERROR(VLOOKUP(J31,'List+TK'!$D$3:$E$1000,2,0),"-")</f>
        <v>Nitrofurans</v>
      </c>
      <c r="U31" s="10" t="str">
        <f t="shared" si="6"/>
        <v>19/03/2024</v>
      </c>
      <c r="V31" s="10" t="str">
        <f>IFERROR(VLOOKUP(K31,'List+TK'!$G$3:$H$16,2,0),"-")</f>
        <v>Phạm Minh Thuận</v>
      </c>
      <c r="W31" s="10" t="str">
        <f t="shared" si="4"/>
        <v>Ao 3</v>
      </c>
      <c r="X31" s="4"/>
    </row>
    <row r="32" spans="1:24" ht="49.5" x14ac:dyDescent="0.25">
      <c r="A32" s="5">
        <f>_xlfn.AGGREGATE(3,3,$I$4:I32)</f>
        <v>29</v>
      </c>
      <c r="B32" s="5">
        <v>12</v>
      </c>
      <c r="C32" s="26" t="s">
        <v>652</v>
      </c>
      <c r="D32" s="10" t="s">
        <v>419</v>
      </c>
      <c r="E32" s="10" t="s">
        <v>67</v>
      </c>
      <c r="F32" s="10" t="s">
        <v>6</v>
      </c>
      <c r="G32" s="110">
        <v>3</v>
      </c>
      <c r="H32" s="10">
        <v>18</v>
      </c>
      <c r="I32" s="10" t="s">
        <v>208</v>
      </c>
      <c r="J32" s="10" t="s">
        <v>273</v>
      </c>
      <c r="K32" s="10" t="s">
        <v>246</v>
      </c>
      <c r="L32" s="10" t="str">
        <f t="shared" si="0"/>
        <v>Châu Thành</v>
      </c>
      <c r="M32" s="10" t="str">
        <f>IFERROR(VLOOKUP(L32,'List+TK'!$I$3:$J$9,2,0),"-")</f>
        <v>83/05</v>
      </c>
      <c r="N32" s="10">
        <v>1</v>
      </c>
      <c r="O32" s="10" t="str">
        <f t="shared" si="1"/>
        <v>Cá tra thương phẩm</v>
      </c>
      <c r="P32" s="10" t="str">
        <f t="shared" si="5"/>
        <v>83/0324/12</v>
      </c>
      <c r="Q32" s="10" t="str">
        <f t="shared" si="2"/>
        <v>Châu Thành 83/05</v>
      </c>
      <c r="R32" s="10" t="str">
        <f t="shared" si="3"/>
        <v xml:space="preserve"> Trại nuôi cá tra Thành Hưng - Ấp Phú Tân, Xã Phú Túc</v>
      </c>
      <c r="S32" s="10">
        <f t="shared" si="7"/>
        <v>1.5</v>
      </c>
      <c r="T32" s="10" t="str">
        <f>IFERROR(VLOOKUP(J32,'List+TK'!$D$3:$E$1000,2,0),"-")</f>
        <v>Chloramphenicol</v>
      </c>
      <c r="U32" s="10" t="str">
        <f t="shared" si="6"/>
        <v>18/03/2024</v>
      </c>
      <c r="V32" s="10" t="str">
        <f>IFERROR(VLOOKUP(K32,'List+TK'!$G$3:$H$16,2,0),"-")</f>
        <v>Nguyễn Duy Khanh</v>
      </c>
      <c r="W32" s="10" t="str">
        <f t="shared" si="4"/>
        <v>Ao 1</v>
      </c>
      <c r="X32" s="4"/>
    </row>
    <row r="33" spans="1:24" ht="49.5" x14ac:dyDescent="0.25">
      <c r="A33" s="5">
        <f>_xlfn.AGGREGATE(3,3,$I$4:I33)</f>
        <v>30</v>
      </c>
      <c r="B33" s="5">
        <v>13</v>
      </c>
      <c r="C33" s="26" t="s">
        <v>652</v>
      </c>
      <c r="D33" s="10" t="s">
        <v>419</v>
      </c>
      <c r="E33" s="10" t="s">
        <v>67</v>
      </c>
      <c r="F33" s="10" t="s">
        <v>6</v>
      </c>
      <c r="G33" s="110">
        <v>3</v>
      </c>
      <c r="H33" s="10">
        <v>18</v>
      </c>
      <c r="I33" s="10" t="s">
        <v>208</v>
      </c>
      <c r="J33" s="10" t="s">
        <v>274</v>
      </c>
      <c r="K33" s="10" t="s">
        <v>246</v>
      </c>
      <c r="L33" s="10" t="str">
        <f t="shared" si="0"/>
        <v>Châu Thành</v>
      </c>
      <c r="M33" s="10" t="str">
        <f>IFERROR(VLOOKUP(L33,'List+TK'!$I$3:$J$9,2,0),"-")</f>
        <v>83/05</v>
      </c>
      <c r="N33" s="10">
        <v>6</v>
      </c>
      <c r="O33" s="10" t="str">
        <f t="shared" si="1"/>
        <v>Cá tra thương phẩm</v>
      </c>
      <c r="P33" s="10" t="str">
        <f t="shared" si="5"/>
        <v>83/0324/13</v>
      </c>
      <c r="Q33" s="10" t="str">
        <f t="shared" si="2"/>
        <v>Châu Thành 83/05</v>
      </c>
      <c r="R33" s="10" t="str">
        <f t="shared" si="3"/>
        <v xml:space="preserve"> Trại nuôi cá tra Thành Hưng - Ấp Phú Tân, Xã Phú Túc</v>
      </c>
      <c r="S33" s="10">
        <f t="shared" si="7"/>
        <v>1.5</v>
      </c>
      <c r="T33" s="10" t="str">
        <f>IFERROR(VLOOKUP(J33,'List+TK'!$D$3:$E$1000,2,0),"-")</f>
        <v>Nitrofurans</v>
      </c>
      <c r="U33" s="10" t="str">
        <f t="shared" si="6"/>
        <v>18/03/2024</v>
      </c>
      <c r="V33" s="10" t="str">
        <f>IFERROR(VLOOKUP(K33,'List+TK'!$G$3:$H$16,2,0),"-")</f>
        <v>Nguyễn Duy Khanh</v>
      </c>
      <c r="W33" s="10" t="str">
        <f t="shared" si="4"/>
        <v>Ao 6</v>
      </c>
      <c r="X33" s="4"/>
    </row>
    <row r="34" spans="1:24" ht="49.5" x14ac:dyDescent="0.25">
      <c r="A34" s="5">
        <f>_xlfn.AGGREGATE(3,3,$I$4:I34)</f>
        <v>31</v>
      </c>
      <c r="B34" s="5">
        <v>14</v>
      </c>
      <c r="C34" s="26" t="s">
        <v>652</v>
      </c>
      <c r="D34" s="10" t="s">
        <v>419</v>
      </c>
      <c r="E34" s="10" t="s">
        <v>67</v>
      </c>
      <c r="F34" s="10" t="s">
        <v>6</v>
      </c>
      <c r="G34" s="110">
        <v>3</v>
      </c>
      <c r="H34" s="10">
        <v>18</v>
      </c>
      <c r="I34" s="10" t="s">
        <v>208</v>
      </c>
      <c r="J34" s="10" t="s">
        <v>281</v>
      </c>
      <c r="K34" s="10" t="s">
        <v>246</v>
      </c>
      <c r="L34" s="10" t="str">
        <f t="shared" si="0"/>
        <v>Châu Thành</v>
      </c>
      <c r="M34" s="10" t="str">
        <f>IFERROR(VLOOKUP(L34,'List+TK'!$I$3:$J$9,2,0),"-")</f>
        <v>83/05</v>
      </c>
      <c r="N34" s="10">
        <v>8</v>
      </c>
      <c r="O34" s="10" t="str">
        <f t="shared" si="1"/>
        <v>Cá tra thương phẩm</v>
      </c>
      <c r="P34" s="10" t="str">
        <f t="shared" si="5"/>
        <v>83/0324/14</v>
      </c>
      <c r="Q34" s="10" t="str">
        <f t="shared" si="2"/>
        <v>Châu Thành 83/05</v>
      </c>
      <c r="R34" s="10" t="str">
        <f t="shared" si="3"/>
        <v xml:space="preserve"> Trại nuôi cá tra Thành Hưng - Ấp Phú Tân, Xã Phú Túc</v>
      </c>
      <c r="S34" s="10">
        <f t="shared" si="7"/>
        <v>1.5</v>
      </c>
      <c r="T34" s="10" t="str">
        <f>IFERROR(VLOOKUP(J34,'List+TK'!$D$3:$E$1000,2,0),"-")</f>
        <v>Ormetoprim</v>
      </c>
      <c r="U34" s="10" t="str">
        <f t="shared" si="6"/>
        <v>18/03/2024</v>
      </c>
      <c r="V34" s="10" t="str">
        <f>IFERROR(VLOOKUP(K34,'List+TK'!$G$3:$H$16,2,0),"-")</f>
        <v>Nguyễn Duy Khanh</v>
      </c>
      <c r="W34" s="10" t="str">
        <f t="shared" si="4"/>
        <v>Ao 8</v>
      </c>
      <c r="X34" s="4"/>
    </row>
    <row r="35" spans="1:24" ht="49.5" x14ac:dyDescent="0.25">
      <c r="A35" s="5">
        <f>_xlfn.AGGREGATE(3,3,$I$4:I35)</f>
        <v>32</v>
      </c>
      <c r="B35" s="5">
        <v>15</v>
      </c>
      <c r="C35" s="26" t="s">
        <v>211</v>
      </c>
      <c r="D35" s="10" t="s">
        <v>302</v>
      </c>
      <c r="E35" s="10" t="s">
        <v>96</v>
      </c>
      <c r="F35" s="10" t="s">
        <v>8</v>
      </c>
      <c r="G35" s="110">
        <v>3</v>
      </c>
      <c r="H35" s="10">
        <v>20</v>
      </c>
      <c r="I35" s="10" t="s">
        <v>208</v>
      </c>
      <c r="J35" s="10" t="s">
        <v>616</v>
      </c>
      <c r="K35" s="10" t="s">
        <v>245</v>
      </c>
      <c r="L35" s="10" t="str">
        <f t="shared" si="0"/>
        <v>Giồng Trôm</v>
      </c>
      <c r="M35" s="10" t="str">
        <f>IFERROR(VLOOKUP(L35,'List+TK'!$I$3:$J$9,2,0),"-")</f>
        <v>83/06</v>
      </c>
      <c r="N35" s="10">
        <v>5</v>
      </c>
      <c r="O35" s="10" t="str">
        <f t="shared" si="1"/>
        <v>Cá tra thương phẩm</v>
      </c>
      <c r="P35" s="10" t="str">
        <f t="shared" si="5"/>
        <v>83/0324/15</v>
      </c>
      <c r="Q35" s="10" t="str">
        <f t="shared" si="2"/>
        <v>Giồng Trôm 83/06</v>
      </c>
      <c r="R35" s="10" t="str">
        <f t="shared" si="3"/>
        <v>Công ty CP Gò Đàng - Ấp 1, Xã Hưng Phong</v>
      </c>
      <c r="S35" s="10">
        <f t="shared" si="7"/>
        <v>1.5</v>
      </c>
      <c r="T35" s="10" t="str">
        <f>IFERROR(VLOOKUP(J35,'List+TK'!$D$3:$E$1000,2,0),"-")</f>
        <v>Nhóm Nitroimidazoles</v>
      </c>
      <c r="U35" s="10" t="str">
        <f t="shared" si="6"/>
        <v>20/03/2024</v>
      </c>
      <c r="V35" s="10" t="str">
        <f>IFERROR(VLOOKUP(K35,'List+TK'!$G$3:$H$16,2,0),"-")</f>
        <v>Phạm Minh Thuận</v>
      </c>
      <c r="W35" s="10" t="str">
        <f t="shared" si="4"/>
        <v>Ao 5</v>
      </c>
      <c r="X35" s="4"/>
    </row>
    <row r="36" spans="1:24" ht="49.5" x14ac:dyDescent="0.25">
      <c r="A36" s="5">
        <f>_xlfn.AGGREGATE(3,3,$I$4:I36)</f>
        <v>33</v>
      </c>
      <c r="B36" s="5">
        <v>16</v>
      </c>
      <c r="C36" s="26" t="s">
        <v>211</v>
      </c>
      <c r="D36" s="10" t="s">
        <v>302</v>
      </c>
      <c r="E36" s="10" t="s">
        <v>96</v>
      </c>
      <c r="F36" s="10" t="s">
        <v>8</v>
      </c>
      <c r="G36" s="110">
        <v>3</v>
      </c>
      <c r="H36" s="10">
        <v>20</v>
      </c>
      <c r="I36" s="10" t="s">
        <v>208</v>
      </c>
      <c r="J36" s="10" t="s">
        <v>621</v>
      </c>
      <c r="K36" s="10" t="s">
        <v>245</v>
      </c>
      <c r="L36" s="10" t="str">
        <f t="shared" si="0"/>
        <v>Giồng Trôm</v>
      </c>
      <c r="M36" s="10" t="str">
        <f>IFERROR(VLOOKUP(L36,'List+TK'!$I$3:$J$9,2,0),"-")</f>
        <v>83/06</v>
      </c>
      <c r="N36" s="10">
        <v>3</v>
      </c>
      <c r="O36" s="10" t="str">
        <f t="shared" si="1"/>
        <v>Cá tra thương phẩm</v>
      </c>
      <c r="P36" s="10" t="str">
        <f t="shared" si="5"/>
        <v>83/0324/16</v>
      </c>
      <c r="Q36" s="10" t="str">
        <f t="shared" si="2"/>
        <v>Giồng Trôm 83/06</v>
      </c>
      <c r="R36" s="10" t="str">
        <f t="shared" si="3"/>
        <v>Công ty CP Gò Đàng - Ấp 1, Xã Hưng Phong</v>
      </c>
      <c r="S36" s="10">
        <f t="shared" si="7"/>
        <v>1.5</v>
      </c>
      <c r="T36" s="10" t="str">
        <f>IFERROR(VLOOKUP(J36,'List+TK'!$D$3:$E$1000,2,0),"-")</f>
        <v>Pb, Hg, Cd</v>
      </c>
      <c r="U36" s="10" t="str">
        <f t="shared" si="6"/>
        <v>20/03/2024</v>
      </c>
      <c r="V36" s="10" t="str">
        <f>IFERROR(VLOOKUP(K36,'List+TK'!$G$3:$H$16,2,0),"-")</f>
        <v>Phạm Minh Thuận</v>
      </c>
      <c r="W36" s="10" t="str">
        <f t="shared" si="4"/>
        <v>Ao 3</v>
      </c>
      <c r="X36" s="4"/>
    </row>
    <row r="37" spans="1:24" ht="49.5" x14ac:dyDescent="0.25">
      <c r="A37" s="5">
        <f>_xlfn.AGGREGATE(3,3,$I$4:I37)</f>
        <v>34</v>
      </c>
      <c r="B37" s="5">
        <v>17</v>
      </c>
      <c r="C37" s="26" t="s">
        <v>211</v>
      </c>
      <c r="D37" s="10" t="s">
        <v>302</v>
      </c>
      <c r="E37" s="10" t="s">
        <v>96</v>
      </c>
      <c r="F37" s="10" t="s">
        <v>8</v>
      </c>
      <c r="G37" s="110">
        <v>3</v>
      </c>
      <c r="H37" s="10">
        <v>20</v>
      </c>
      <c r="I37" s="10" t="s">
        <v>208</v>
      </c>
      <c r="J37" s="10" t="s">
        <v>622</v>
      </c>
      <c r="K37" s="10" t="s">
        <v>245</v>
      </c>
      <c r="L37" s="10" t="str">
        <f t="shared" si="0"/>
        <v>Giồng Trôm</v>
      </c>
      <c r="M37" s="10" t="str">
        <f>IFERROR(VLOOKUP(L37,'List+TK'!$I$3:$J$9,2,0),"-")</f>
        <v>83/06</v>
      </c>
      <c r="N37" s="10">
        <v>2</v>
      </c>
      <c r="O37" s="10" t="str">
        <f t="shared" si="1"/>
        <v>Cá tra thương phẩm</v>
      </c>
      <c r="P37" s="10" t="str">
        <f t="shared" si="5"/>
        <v>83/0324/17</v>
      </c>
      <c r="Q37" s="10" t="str">
        <f t="shared" si="2"/>
        <v>Giồng Trôm 83/06</v>
      </c>
      <c r="R37" s="10" t="str">
        <f t="shared" si="3"/>
        <v>Công ty CP Gò Đàng - Ấp 1, Xã Hưng Phong</v>
      </c>
      <c r="S37" s="10">
        <f t="shared" si="7"/>
        <v>1.5</v>
      </c>
      <c r="T37" s="10" t="str">
        <f>IFERROR(VLOOKUP(J37,'List+TK'!$D$3:$E$1000,2,0),"-")</f>
        <v>Thuốc trừ sâu gốc Chlor hữu cơ; phospho hữu cơ; cúc tổng hợp…</v>
      </c>
      <c r="U37" s="10" t="str">
        <f t="shared" si="6"/>
        <v>20/03/2024</v>
      </c>
      <c r="V37" s="10" t="str">
        <f>IFERROR(VLOOKUP(K37,'List+TK'!$G$3:$H$16,2,0),"-")</f>
        <v>Phạm Minh Thuận</v>
      </c>
      <c r="W37" s="10" t="str">
        <f t="shared" si="4"/>
        <v>Ao 2</v>
      </c>
      <c r="X37" s="4"/>
    </row>
    <row r="38" spans="1:24" ht="49.5" x14ac:dyDescent="0.25">
      <c r="A38" s="5">
        <f>_xlfn.AGGREGATE(3,3,$I$4:I38)</f>
        <v>35</v>
      </c>
      <c r="B38" s="5">
        <v>18</v>
      </c>
      <c r="C38" s="26" t="s">
        <v>231</v>
      </c>
      <c r="D38" s="10" t="s">
        <v>511</v>
      </c>
      <c r="E38" s="10" t="s">
        <v>86</v>
      </c>
      <c r="F38" s="10" t="s">
        <v>7</v>
      </c>
      <c r="G38" s="110">
        <v>3</v>
      </c>
      <c r="H38" s="10">
        <v>19</v>
      </c>
      <c r="I38" s="10" t="s">
        <v>208</v>
      </c>
      <c r="J38" s="10" t="s">
        <v>617</v>
      </c>
      <c r="K38" s="10" t="s">
        <v>246</v>
      </c>
      <c r="L38" s="10" t="str">
        <f t="shared" si="0"/>
        <v>Chợ Lách</v>
      </c>
      <c r="M38" s="10" t="str">
        <f>IFERROR(VLOOKUP(L38,'List+TK'!$I$3:$J$9,2,0),"-")</f>
        <v>83/07</v>
      </c>
      <c r="N38" s="10" t="s">
        <v>659</v>
      </c>
      <c r="O38" s="10" t="str">
        <f t="shared" si="1"/>
        <v>Cá tra thương phẩm</v>
      </c>
      <c r="P38" s="10" t="str">
        <f t="shared" si="5"/>
        <v>83/0324/18</v>
      </c>
      <c r="Q38" s="10" t="str">
        <f t="shared" si="2"/>
        <v>Chợ Lách 83/07</v>
      </c>
      <c r="R38" s="10" t="str">
        <f t="shared" si="3"/>
        <v>Công ty CP Thủy sản Vinh Quang - Ấp Quân Bình, Xã Tân Thiềng</v>
      </c>
      <c r="S38" s="10">
        <f t="shared" si="7"/>
        <v>1.5</v>
      </c>
      <c r="T38" s="10" t="str">
        <f>IFERROR(VLOOKUP(J38,'List+TK'!$D$3:$E$1000,2,0),"-")</f>
        <v>Malachite Green, Leuco Malachite Green</v>
      </c>
      <c r="U38" s="10" t="str">
        <f t="shared" si="6"/>
        <v>19/03/2024</v>
      </c>
      <c r="V38" s="10" t="str">
        <f>IFERROR(VLOOKUP(K38,'List+TK'!$G$3:$H$16,2,0),"-")</f>
        <v>Nguyễn Duy Khanh</v>
      </c>
      <c r="W38" s="10" t="str">
        <f t="shared" si="4"/>
        <v>Ao 1B</v>
      </c>
      <c r="X38" s="4"/>
    </row>
    <row r="39" spans="1:24" ht="49.5" x14ac:dyDescent="0.25">
      <c r="A39" s="5">
        <f>_xlfn.AGGREGATE(3,3,$I$4:I39)</f>
        <v>36</v>
      </c>
      <c r="B39" s="5">
        <v>19</v>
      </c>
      <c r="C39" s="26" t="s">
        <v>231</v>
      </c>
      <c r="D39" s="10" t="s">
        <v>511</v>
      </c>
      <c r="E39" s="10" t="s">
        <v>86</v>
      </c>
      <c r="F39" s="10" t="s">
        <v>7</v>
      </c>
      <c r="G39" s="110">
        <v>3</v>
      </c>
      <c r="H39" s="10">
        <v>19</v>
      </c>
      <c r="I39" s="10" t="s">
        <v>208</v>
      </c>
      <c r="J39" s="10" t="s">
        <v>623</v>
      </c>
      <c r="K39" s="10" t="s">
        <v>246</v>
      </c>
      <c r="L39" s="10" t="str">
        <f t="shared" si="0"/>
        <v>Chợ Lách</v>
      </c>
      <c r="M39" s="10" t="str">
        <f>IFERROR(VLOOKUP(L39,'List+TK'!$I$3:$J$9,2,0),"-")</f>
        <v>83/07</v>
      </c>
      <c r="N39" s="10" t="s">
        <v>658</v>
      </c>
      <c r="O39" s="10" t="str">
        <f t="shared" si="1"/>
        <v>Cá tra thương phẩm</v>
      </c>
      <c r="P39" s="10" t="str">
        <f t="shared" si="5"/>
        <v>83/0324/19</v>
      </c>
      <c r="Q39" s="10" t="str">
        <f t="shared" si="2"/>
        <v>Chợ Lách 83/07</v>
      </c>
      <c r="R39" s="10" t="str">
        <f t="shared" si="3"/>
        <v>Công ty CP Thủy sản Vinh Quang - Ấp Quân Bình, Xã Tân Thiềng</v>
      </c>
      <c r="S39" s="10">
        <f t="shared" si="7"/>
        <v>1.5</v>
      </c>
      <c r="T39" s="10" t="str">
        <f>IFERROR(VLOOKUP(J39,'List+TK'!$D$3:$E$1000,2,0),"-")</f>
        <v>Ivermectin</v>
      </c>
      <c r="U39" s="10" t="str">
        <f t="shared" si="6"/>
        <v>19/03/2024</v>
      </c>
      <c r="V39" s="10" t="str">
        <f>IFERROR(VLOOKUP(K39,'List+TK'!$G$3:$H$16,2,0),"-")</f>
        <v>Nguyễn Duy Khanh</v>
      </c>
      <c r="W39" s="10" t="str">
        <f t="shared" si="4"/>
        <v>Ao 3B</v>
      </c>
      <c r="X39" s="4"/>
    </row>
    <row r="40" spans="1:24" ht="49.5" x14ac:dyDescent="0.25">
      <c r="A40" s="5">
        <f>_xlfn.AGGREGATE(3,3,$I$4:I40)</f>
        <v>37</v>
      </c>
      <c r="B40" s="5">
        <v>20</v>
      </c>
      <c r="C40" s="26" t="s">
        <v>231</v>
      </c>
      <c r="D40" s="10" t="s">
        <v>511</v>
      </c>
      <c r="E40" s="10" t="s">
        <v>86</v>
      </c>
      <c r="F40" s="10" t="s">
        <v>7</v>
      </c>
      <c r="G40" s="110">
        <v>3</v>
      </c>
      <c r="H40" s="10">
        <v>19</v>
      </c>
      <c r="I40" s="10" t="s">
        <v>208</v>
      </c>
      <c r="J40" s="10" t="s">
        <v>624</v>
      </c>
      <c r="K40" s="10" t="s">
        <v>246</v>
      </c>
      <c r="L40" s="10" t="str">
        <f t="shared" si="0"/>
        <v>Chợ Lách</v>
      </c>
      <c r="M40" s="10" t="str">
        <f>IFERROR(VLOOKUP(L40,'List+TK'!$I$3:$J$9,2,0),"-")</f>
        <v>83/07</v>
      </c>
      <c r="N40" s="10">
        <v>1</v>
      </c>
      <c r="O40" s="10" t="str">
        <f t="shared" si="1"/>
        <v>Cá tra thương phẩm</v>
      </c>
      <c r="P40" s="10" t="str">
        <f t="shared" si="5"/>
        <v>83/0324/20</v>
      </c>
      <c r="Q40" s="10" t="str">
        <f t="shared" si="2"/>
        <v>Chợ Lách 83/07</v>
      </c>
      <c r="R40" s="10" t="str">
        <f t="shared" si="3"/>
        <v>Công ty CP Thủy sản Vinh Quang - Ấp Quân Bình, Xã Tân Thiềng</v>
      </c>
      <c r="S40" s="10">
        <f t="shared" si="7"/>
        <v>1.5</v>
      </c>
      <c r="T40" s="10" t="str">
        <f>IFERROR(VLOOKUP(J40,'List+TK'!$D$3:$E$1000,2,0),"-")</f>
        <v>Avermectin B1a (Abarmectin B1a)</v>
      </c>
      <c r="U40" s="10" t="str">
        <f t="shared" si="6"/>
        <v>19/03/2024</v>
      </c>
      <c r="V40" s="10" t="str">
        <f>IFERROR(VLOOKUP(K40,'List+TK'!$G$3:$H$16,2,0),"-")</f>
        <v>Nguyễn Duy Khanh</v>
      </c>
      <c r="W40" s="10" t="str">
        <f t="shared" si="4"/>
        <v>Ao 1</v>
      </c>
      <c r="X40" s="4"/>
    </row>
    <row r="41" spans="1:24" ht="49.5" x14ac:dyDescent="0.25">
      <c r="A41" s="5">
        <f>_xlfn.AGGREGATE(3,3,$I$4:I41)</f>
        <v>38</v>
      </c>
      <c r="B41" s="5">
        <v>21</v>
      </c>
      <c r="C41" s="26" t="s">
        <v>231</v>
      </c>
      <c r="D41" s="10" t="s">
        <v>511</v>
      </c>
      <c r="E41" s="10" t="s">
        <v>86</v>
      </c>
      <c r="F41" s="10" t="s">
        <v>7</v>
      </c>
      <c r="G41" s="110">
        <v>3</v>
      </c>
      <c r="H41" s="10">
        <v>19</v>
      </c>
      <c r="I41" s="10" t="s">
        <v>208</v>
      </c>
      <c r="J41" s="10" t="s">
        <v>625</v>
      </c>
      <c r="K41" s="10" t="s">
        <v>246</v>
      </c>
      <c r="L41" s="10" t="str">
        <f t="shared" si="0"/>
        <v>Chợ Lách</v>
      </c>
      <c r="M41" s="10" t="str">
        <f>IFERROR(VLOOKUP(L41,'List+TK'!$I$3:$J$9,2,0),"-")</f>
        <v>83/07</v>
      </c>
      <c r="N41" s="10">
        <v>3</v>
      </c>
      <c r="O41" s="10" t="str">
        <f t="shared" si="1"/>
        <v>Cá tra thương phẩm</v>
      </c>
      <c r="P41" s="10" t="str">
        <f t="shared" si="5"/>
        <v>83/0324/21</v>
      </c>
      <c r="Q41" s="10" t="str">
        <f t="shared" si="2"/>
        <v>Chợ Lách 83/07</v>
      </c>
      <c r="R41" s="10" t="str">
        <f t="shared" si="3"/>
        <v>Công ty CP Thủy sản Vinh Quang - Ấp Quân Bình, Xã Tân Thiềng</v>
      </c>
      <c r="S41" s="10">
        <f t="shared" si="7"/>
        <v>1.5</v>
      </c>
      <c r="T41" s="10" t="str">
        <f>IFERROR(VLOOKUP(J41,'List+TK'!$D$3:$E$1000,2,0),"-")</f>
        <v>Praziquantel</v>
      </c>
      <c r="U41" s="10" t="str">
        <f t="shared" si="6"/>
        <v>19/03/2024</v>
      </c>
      <c r="V41" s="10" t="str">
        <f>IFERROR(VLOOKUP(K41,'List+TK'!$G$3:$H$16,2,0),"-")</f>
        <v>Nguyễn Duy Khanh</v>
      </c>
      <c r="W41" s="10" t="str">
        <f t="shared" si="4"/>
        <v>Ao 3</v>
      </c>
      <c r="X41" s="4"/>
    </row>
    <row r="42" spans="1:24" ht="49.5" x14ac:dyDescent="0.25">
      <c r="A42" s="5">
        <f>_xlfn.AGGREGATE(3,3,$I$4:I42)</f>
        <v>39</v>
      </c>
      <c r="B42" s="5">
        <v>22</v>
      </c>
      <c r="C42" s="26" t="s">
        <v>231</v>
      </c>
      <c r="D42" s="10" t="s">
        <v>511</v>
      </c>
      <c r="E42" s="10" t="s">
        <v>85</v>
      </c>
      <c r="F42" s="10" t="s">
        <v>7</v>
      </c>
      <c r="G42" s="110">
        <v>3</v>
      </c>
      <c r="H42" s="10">
        <v>19</v>
      </c>
      <c r="I42" s="10" t="s">
        <v>208</v>
      </c>
      <c r="J42" s="10" t="s">
        <v>626</v>
      </c>
      <c r="K42" s="10" t="s">
        <v>246</v>
      </c>
      <c r="L42" s="10" t="str">
        <f t="shared" si="0"/>
        <v>Chợ Lách</v>
      </c>
      <c r="M42" s="10" t="str">
        <f>IFERROR(VLOOKUP(L42,'List+TK'!$I$3:$J$9,2,0),"-")</f>
        <v>83/07</v>
      </c>
      <c r="N42" s="10">
        <v>4</v>
      </c>
      <c r="O42" s="10" t="str">
        <f t="shared" si="1"/>
        <v>Cá tra thương phẩm</v>
      </c>
      <c r="P42" s="10" t="str">
        <f t="shared" si="5"/>
        <v>83/0324/22</v>
      </c>
      <c r="Q42" s="10" t="str">
        <f t="shared" si="2"/>
        <v>Chợ Lách 83/07</v>
      </c>
      <c r="R42" s="10" t="str">
        <f t="shared" si="3"/>
        <v>Công ty CP Thủy sản Vinh Quang - Ấp Quân Bình, Xã Sơn Định</v>
      </c>
      <c r="S42" s="10">
        <f t="shared" si="7"/>
        <v>1.5</v>
      </c>
      <c r="T42" s="10" t="str">
        <f>IFERROR(VLOOKUP(J42,'List+TK'!$D$3:$E$1000,2,0),"-")</f>
        <v xml:space="preserve"> Trichlorfon (Dipterex)</v>
      </c>
      <c r="U42" s="10" t="str">
        <f t="shared" si="6"/>
        <v>19/03/2024</v>
      </c>
      <c r="V42" s="10" t="str">
        <f>IFERROR(VLOOKUP(K42,'List+TK'!$G$3:$H$16,2,0),"-")</f>
        <v>Nguyễn Duy Khanh</v>
      </c>
      <c r="W42" s="10" t="str">
        <f t="shared" si="4"/>
        <v>Ao 4</v>
      </c>
      <c r="X42" s="4"/>
    </row>
    <row r="43" spans="1:24" ht="66" x14ac:dyDescent="0.25">
      <c r="A43" s="5">
        <f>_xlfn.AGGREGATE(3,3,$I$4:I43)</f>
        <v>40</v>
      </c>
      <c r="B43" s="5">
        <v>1</v>
      </c>
      <c r="C43" s="26" t="s">
        <v>252</v>
      </c>
      <c r="D43" s="10" t="s">
        <v>254</v>
      </c>
      <c r="E43" s="10" t="s">
        <v>655</v>
      </c>
      <c r="F43" s="10" t="s">
        <v>4</v>
      </c>
      <c r="G43" s="115">
        <v>4</v>
      </c>
      <c r="H43" s="116" t="s">
        <v>667</v>
      </c>
      <c r="I43" s="10" t="s">
        <v>238</v>
      </c>
      <c r="J43" s="10" t="s">
        <v>274</v>
      </c>
      <c r="K43" s="10" t="s">
        <v>245</v>
      </c>
      <c r="L43" s="10" t="str">
        <f t="shared" si="0"/>
        <v>Ba Tri</v>
      </c>
      <c r="M43" s="10" t="str">
        <f>IFERROR(VLOOKUP(L43,'List+TK'!$I$3:$J$9,2,0),"-")</f>
        <v>83/01</v>
      </c>
      <c r="N43" s="10">
        <v>1</v>
      </c>
      <c r="O43" s="10" t="str">
        <f t="shared" si="1"/>
        <v>Tôm sú thương phẩm</v>
      </c>
      <c r="P43" s="10" t="str">
        <f t="shared" si="5"/>
        <v>83/0424/01</v>
      </c>
      <c r="Q43" s="10" t="str">
        <f t="shared" si="2"/>
        <v>Ba Tri 83/01</v>
      </c>
      <c r="R43" s="10" t="str">
        <f t="shared" si="3"/>
        <v>Nguyễn Văn Út - Ấp 7, Thị Trấn Tiệm Tôm</v>
      </c>
      <c r="S43" s="10">
        <f t="shared" si="7"/>
        <v>1</v>
      </c>
      <c r="T43" s="10" t="str">
        <f>IFERROR(VLOOKUP(J43,'List+TK'!$D$3:$E$1000,2,0),"-")</f>
        <v>Nitrofurans</v>
      </c>
      <c r="U43" s="10" t="str">
        <f t="shared" si="6"/>
        <v>09/04/2024</v>
      </c>
      <c r="V43" s="10" t="str">
        <f>IFERROR(VLOOKUP(K43,'List+TK'!$G$3:$H$16,2,0),"-")</f>
        <v>Phạm Minh Thuận</v>
      </c>
      <c r="W43" s="10" t="str">
        <f t="shared" si="4"/>
        <v>Ao 1</v>
      </c>
      <c r="X43" s="4"/>
    </row>
    <row r="44" spans="1:24" ht="66" x14ac:dyDescent="0.25">
      <c r="A44" s="5">
        <f>_xlfn.AGGREGATE(3,3,$I$4:I44)</f>
        <v>41</v>
      </c>
      <c r="B44" s="5">
        <v>2</v>
      </c>
      <c r="C44" s="26" t="s">
        <v>668</v>
      </c>
      <c r="D44" s="10" t="s">
        <v>255</v>
      </c>
      <c r="E44" s="10" t="s">
        <v>655</v>
      </c>
      <c r="F44" s="10" t="s">
        <v>4</v>
      </c>
      <c r="G44" s="115">
        <v>4</v>
      </c>
      <c r="H44" s="116" t="s">
        <v>667</v>
      </c>
      <c r="I44" s="10" t="s">
        <v>240</v>
      </c>
      <c r="J44" s="10" t="s">
        <v>274</v>
      </c>
      <c r="K44" s="10" t="s">
        <v>245</v>
      </c>
      <c r="L44" s="10" t="str">
        <f t="shared" si="0"/>
        <v>Ba Tri</v>
      </c>
      <c r="M44" s="10" t="str">
        <f>IFERROR(VLOOKUP(L44,'List+TK'!$I$3:$J$9,2,0),"-")</f>
        <v>83/01</v>
      </c>
      <c r="N44" s="10">
        <v>2</v>
      </c>
      <c r="O44" s="10" t="str">
        <f t="shared" si="1"/>
        <v>Tôm chân trắng nhỏ</v>
      </c>
      <c r="P44" s="10" t="str">
        <f t="shared" si="5"/>
        <v>83/0424/02</v>
      </c>
      <c r="Q44" s="10" t="str">
        <f t="shared" si="2"/>
        <v>Ba Tri 83/01</v>
      </c>
      <c r="R44" s="10" t="str">
        <f t="shared" si="3"/>
        <v>Phạm Văn Tư - Ấp 8, Thị Trấn Tiệm Tôm</v>
      </c>
      <c r="S44" s="10">
        <f t="shared" si="7"/>
        <v>0.5</v>
      </c>
      <c r="T44" s="10" t="str">
        <f>IFERROR(VLOOKUP(J44,'List+TK'!$D$3:$E$1000,2,0),"-")</f>
        <v>Nitrofurans</v>
      </c>
      <c r="U44" s="10" t="str">
        <f t="shared" si="6"/>
        <v>09/04/2024</v>
      </c>
      <c r="V44" s="10" t="str">
        <f>IFERROR(VLOOKUP(K44,'List+TK'!$G$3:$H$16,2,0),"-")</f>
        <v>Phạm Minh Thuận</v>
      </c>
      <c r="W44" s="10" t="str">
        <f t="shared" si="4"/>
        <v>Ao 2</v>
      </c>
      <c r="X44" s="4"/>
    </row>
    <row r="45" spans="1:24" ht="49.5" x14ac:dyDescent="0.25">
      <c r="A45" s="5">
        <f>_xlfn.AGGREGATE(3,3,$I$4:I45)</f>
        <v>42</v>
      </c>
      <c r="B45" s="5">
        <v>3</v>
      </c>
      <c r="C45" s="26" t="s">
        <v>636</v>
      </c>
      <c r="D45" s="10" t="s">
        <v>352</v>
      </c>
      <c r="E45" s="10" t="s">
        <v>22</v>
      </c>
      <c r="F45" s="10" t="s">
        <v>4</v>
      </c>
      <c r="G45" s="115">
        <v>4</v>
      </c>
      <c r="H45" s="116" t="s">
        <v>667</v>
      </c>
      <c r="I45" s="10" t="s">
        <v>614</v>
      </c>
      <c r="J45" s="10" t="s">
        <v>618</v>
      </c>
      <c r="K45" s="10" t="s">
        <v>245</v>
      </c>
      <c r="L45" s="10" t="str">
        <f t="shared" si="0"/>
        <v>Ba Tri</v>
      </c>
      <c r="M45" s="10" t="str">
        <f>IFERROR(VLOOKUP(L45,'List+TK'!$I$3:$J$9,2,0),"-")</f>
        <v>83/01</v>
      </c>
      <c r="N45" s="10" t="s">
        <v>679</v>
      </c>
      <c r="O45" s="10" t="str">
        <f t="shared" si="1"/>
        <v>Cá chẽm thương phẩm</v>
      </c>
      <c r="P45" s="10" t="str">
        <f t="shared" si="5"/>
        <v>83/0424/03</v>
      </c>
      <c r="Q45" s="10" t="str">
        <f t="shared" si="2"/>
        <v>Ba Tri 83/01</v>
      </c>
      <c r="R45" s="10" t="str">
        <f t="shared" si="3"/>
        <v>Công ty TNHH Thực Phẩm Vạn Đức  - Ấp 6, Xã Bảo Thạnh</v>
      </c>
      <c r="S45" s="10">
        <f t="shared" si="7"/>
        <v>0</v>
      </c>
      <c r="T45" s="10" t="str">
        <f>IFERROR(VLOOKUP(J45,'List+TK'!$D$3:$E$1000,2,0),"-")</f>
        <v xml:space="preserve"> Crystal Violet, Leuco Crystal Violet</v>
      </c>
      <c r="U45" s="10" t="str">
        <f t="shared" si="6"/>
        <v>09/04/2024</v>
      </c>
      <c r="V45" s="10" t="str">
        <f>IFERROR(VLOOKUP(K45,'List+TK'!$G$3:$H$16,2,0),"-")</f>
        <v>Phạm Minh Thuận</v>
      </c>
      <c r="W45" s="10" t="str">
        <f t="shared" si="4"/>
        <v>Ao A10</v>
      </c>
      <c r="X45" s="4"/>
    </row>
    <row r="46" spans="1:24" ht="49.5" x14ac:dyDescent="0.25">
      <c r="A46" s="5">
        <f>_xlfn.AGGREGATE(3,3,$I$4:I46)</f>
        <v>43</v>
      </c>
      <c r="B46" s="5">
        <v>4</v>
      </c>
      <c r="C46" s="26" t="s">
        <v>329</v>
      </c>
      <c r="D46" s="10" t="s">
        <v>525</v>
      </c>
      <c r="E46" s="10" t="s">
        <v>51</v>
      </c>
      <c r="F46" s="10" t="s">
        <v>5</v>
      </c>
      <c r="G46" s="115">
        <v>4</v>
      </c>
      <c r="H46" s="116" t="s">
        <v>667</v>
      </c>
      <c r="I46" s="10" t="s">
        <v>238</v>
      </c>
      <c r="J46" s="10" t="s">
        <v>617</v>
      </c>
      <c r="K46" s="10" t="s">
        <v>244</v>
      </c>
      <c r="L46" s="10" t="str">
        <f t="shared" si="0"/>
        <v>Bình Đại</v>
      </c>
      <c r="M46" s="10" t="str">
        <f>IFERROR(VLOOKUP(L46,'List+TK'!$I$3:$J$9,2,0),"-")</f>
        <v>83/02</v>
      </c>
      <c r="N46" s="10">
        <v>1</v>
      </c>
      <c r="O46" s="10" t="str">
        <f t="shared" si="1"/>
        <v>Tôm sú thương phẩm</v>
      </c>
      <c r="P46" s="10" t="str">
        <f t="shared" si="5"/>
        <v>83/0424/04</v>
      </c>
      <c r="Q46" s="10" t="str">
        <f t="shared" si="2"/>
        <v>Bình Đại 83/02</v>
      </c>
      <c r="R46" s="10" t="str">
        <f t="shared" si="3"/>
        <v>Nguyễn Văn Mười - Ấp Bình Thạnh 3, Xã Thạnh Trị</v>
      </c>
      <c r="S46" s="10">
        <f t="shared" si="7"/>
        <v>1</v>
      </c>
      <c r="T46" s="10" t="str">
        <f>IFERROR(VLOOKUP(J46,'List+TK'!$D$3:$E$1000,2,0),"-")</f>
        <v>Malachite Green, Leuco Malachite Green</v>
      </c>
      <c r="U46" s="10" t="str">
        <f t="shared" si="6"/>
        <v>09/04/2024</v>
      </c>
      <c r="V46" s="10" t="str">
        <f>IFERROR(VLOOKUP(K46,'List+TK'!$G$3:$H$16,2,0),"-")</f>
        <v>Cao Quang Nguyên</v>
      </c>
      <c r="W46" s="10" t="str">
        <f t="shared" si="4"/>
        <v>Ao 1</v>
      </c>
      <c r="X46" s="4"/>
    </row>
    <row r="47" spans="1:24" ht="49.5" x14ac:dyDescent="0.25">
      <c r="A47" s="5">
        <f>_xlfn.AGGREGATE(3,3,$I$4:I47)</f>
        <v>44</v>
      </c>
      <c r="B47" s="5">
        <v>5</v>
      </c>
      <c r="C47" s="26" t="s">
        <v>329</v>
      </c>
      <c r="D47" s="10" t="s">
        <v>525</v>
      </c>
      <c r="E47" s="10" t="s">
        <v>51</v>
      </c>
      <c r="F47" s="10" t="s">
        <v>5</v>
      </c>
      <c r="G47" s="115">
        <v>4</v>
      </c>
      <c r="H47" s="116" t="s">
        <v>667</v>
      </c>
      <c r="I47" s="10" t="s">
        <v>241</v>
      </c>
      <c r="J47" s="10" t="s">
        <v>281</v>
      </c>
      <c r="K47" s="10" t="s">
        <v>244</v>
      </c>
      <c r="L47" s="10" t="str">
        <f t="shared" si="0"/>
        <v>Bình Đại</v>
      </c>
      <c r="M47" s="10" t="str">
        <f>IFERROR(VLOOKUP(L47,'List+TK'!$I$3:$J$9,2,0),"-")</f>
        <v>83/02</v>
      </c>
      <c r="N47" s="10">
        <v>2</v>
      </c>
      <c r="O47" s="10" t="str">
        <f t="shared" si="1"/>
        <v>Tôm chân trắng thương phẩm</v>
      </c>
      <c r="P47" s="10" t="str">
        <f t="shared" si="5"/>
        <v>83/0424/05</v>
      </c>
      <c r="Q47" s="10" t="str">
        <f t="shared" si="2"/>
        <v>Bình Đại 83/02</v>
      </c>
      <c r="R47" s="10" t="str">
        <f t="shared" si="3"/>
        <v>Nguyễn Văn Mười - Ấp Bình Thạnh 3, Xã Thạnh Trị</v>
      </c>
      <c r="S47" s="10">
        <f t="shared" si="7"/>
        <v>1</v>
      </c>
      <c r="T47" s="10" t="str">
        <f>IFERROR(VLOOKUP(J47,'List+TK'!$D$3:$E$1000,2,0),"-")</f>
        <v>Ormetoprim</v>
      </c>
      <c r="U47" s="10" t="str">
        <f t="shared" si="6"/>
        <v>09/04/2024</v>
      </c>
      <c r="V47" s="10" t="str">
        <f>IFERROR(VLOOKUP(K47,'List+TK'!$G$3:$H$16,2,0),"-")</f>
        <v>Cao Quang Nguyên</v>
      </c>
      <c r="W47" s="10" t="str">
        <f t="shared" si="4"/>
        <v>Ao 2</v>
      </c>
      <c r="X47" s="4"/>
    </row>
    <row r="48" spans="1:24" ht="49.5" x14ac:dyDescent="0.25">
      <c r="A48" s="5">
        <f>_xlfn.AGGREGATE(3,3,$I$4:I48)</f>
        <v>45</v>
      </c>
      <c r="B48" s="5">
        <v>6</v>
      </c>
      <c r="C48" s="26" t="s">
        <v>211</v>
      </c>
      <c r="D48" s="10" t="s">
        <v>641</v>
      </c>
      <c r="E48" s="10" t="s">
        <v>40</v>
      </c>
      <c r="F48" s="10" t="s">
        <v>5</v>
      </c>
      <c r="G48" s="115">
        <v>4</v>
      </c>
      <c r="H48" s="116" t="s">
        <v>667</v>
      </c>
      <c r="I48" s="10" t="s">
        <v>208</v>
      </c>
      <c r="J48" s="10" t="s">
        <v>617</v>
      </c>
      <c r="K48" s="10" t="s">
        <v>244</v>
      </c>
      <c r="L48" s="10" t="str">
        <f t="shared" si="0"/>
        <v>Bình Đại</v>
      </c>
      <c r="M48" s="10" t="str">
        <f>IFERROR(VLOOKUP(L48,'List+TK'!$I$3:$J$9,2,0),"-")</f>
        <v>83/02</v>
      </c>
      <c r="N48" s="10">
        <v>1</v>
      </c>
      <c r="O48" s="10" t="str">
        <f t="shared" si="1"/>
        <v>Cá tra thương phẩm</v>
      </c>
      <c r="P48" s="10" t="str">
        <f t="shared" si="5"/>
        <v>83/0424/06</v>
      </c>
      <c r="Q48" s="10" t="str">
        <f t="shared" si="2"/>
        <v>Bình Đại 83/02</v>
      </c>
      <c r="R48" s="10" t="str">
        <f t="shared" si="3"/>
        <v>Công ty CP Gò Đàng - Ấp Hưng Thạnh, Xã Châu Hưng</v>
      </c>
      <c r="S48" s="10">
        <f t="shared" si="7"/>
        <v>1.5</v>
      </c>
      <c r="T48" s="10" t="str">
        <f>IFERROR(VLOOKUP(J48,'List+TK'!$D$3:$E$1000,2,0),"-")</f>
        <v>Malachite Green, Leuco Malachite Green</v>
      </c>
      <c r="U48" s="10" t="str">
        <f t="shared" si="6"/>
        <v>09/04/2024</v>
      </c>
      <c r="V48" s="10" t="str">
        <f>IFERROR(VLOOKUP(K48,'List+TK'!$G$3:$H$16,2,0),"-")</f>
        <v>Cao Quang Nguyên</v>
      </c>
      <c r="W48" s="10" t="str">
        <f t="shared" si="4"/>
        <v>Ao 1</v>
      </c>
      <c r="X48" s="4"/>
    </row>
    <row r="49" spans="1:24" ht="49.5" x14ac:dyDescent="0.25">
      <c r="A49" s="5">
        <f>_xlfn.AGGREGATE(3,3,$I$4:I49)</f>
        <v>46</v>
      </c>
      <c r="B49" s="5">
        <v>7</v>
      </c>
      <c r="C49" s="26" t="s">
        <v>211</v>
      </c>
      <c r="D49" s="10" t="s">
        <v>641</v>
      </c>
      <c r="E49" s="10" t="s">
        <v>40</v>
      </c>
      <c r="F49" s="10" t="s">
        <v>5</v>
      </c>
      <c r="G49" s="115">
        <v>4</v>
      </c>
      <c r="H49" s="116" t="s">
        <v>667</v>
      </c>
      <c r="I49" s="10" t="s">
        <v>208</v>
      </c>
      <c r="J49" s="10" t="s">
        <v>621</v>
      </c>
      <c r="K49" s="10" t="s">
        <v>244</v>
      </c>
      <c r="L49" s="10" t="str">
        <f t="shared" si="0"/>
        <v>Bình Đại</v>
      </c>
      <c r="M49" s="10" t="str">
        <f>IFERROR(VLOOKUP(L49,'List+TK'!$I$3:$J$9,2,0),"-")</f>
        <v>83/02</v>
      </c>
      <c r="N49" s="10">
        <v>3</v>
      </c>
      <c r="O49" s="10" t="str">
        <f t="shared" si="1"/>
        <v>Cá tra thương phẩm</v>
      </c>
      <c r="P49" s="10" t="str">
        <f t="shared" si="5"/>
        <v>83/0424/07</v>
      </c>
      <c r="Q49" s="10" t="str">
        <f t="shared" si="2"/>
        <v>Bình Đại 83/02</v>
      </c>
      <c r="R49" s="10" t="str">
        <f t="shared" si="3"/>
        <v>Công ty CP Gò Đàng - Ấp Hưng Thạnh, Xã Châu Hưng</v>
      </c>
      <c r="S49" s="10">
        <f t="shared" si="7"/>
        <v>1.5</v>
      </c>
      <c r="T49" s="10" t="str">
        <f>IFERROR(VLOOKUP(J49,'List+TK'!$D$3:$E$1000,2,0),"-")</f>
        <v>Pb, Hg, Cd</v>
      </c>
      <c r="U49" s="10" t="str">
        <f t="shared" si="6"/>
        <v>09/04/2024</v>
      </c>
      <c r="V49" s="10" t="str">
        <f>IFERROR(VLOOKUP(K49,'List+TK'!$G$3:$H$16,2,0),"-")</f>
        <v>Cao Quang Nguyên</v>
      </c>
      <c r="W49" s="10" t="str">
        <f t="shared" si="4"/>
        <v>Ao 3</v>
      </c>
      <c r="X49" s="4"/>
    </row>
    <row r="50" spans="1:24" ht="49.5" x14ac:dyDescent="0.25">
      <c r="A50" s="5">
        <f>_xlfn.AGGREGATE(3,3,$I$4:I50)</f>
        <v>47</v>
      </c>
      <c r="B50" s="5">
        <v>8</v>
      </c>
      <c r="C50" s="26" t="s">
        <v>231</v>
      </c>
      <c r="D50" s="10" t="s">
        <v>546</v>
      </c>
      <c r="E50" s="10" t="s">
        <v>40</v>
      </c>
      <c r="F50" s="10" t="s">
        <v>5</v>
      </c>
      <c r="G50" s="115">
        <v>4</v>
      </c>
      <c r="H50" s="116" t="s">
        <v>667</v>
      </c>
      <c r="I50" s="10" t="s">
        <v>208</v>
      </c>
      <c r="J50" s="10" t="s">
        <v>622</v>
      </c>
      <c r="K50" s="10" t="s">
        <v>244</v>
      </c>
      <c r="L50" s="10" t="str">
        <f t="shared" si="0"/>
        <v>Bình Đại</v>
      </c>
      <c r="M50" s="10" t="str">
        <f>IFERROR(VLOOKUP(L50,'List+TK'!$I$3:$J$9,2,0),"-")</f>
        <v>83/02</v>
      </c>
      <c r="N50" s="10">
        <v>3</v>
      </c>
      <c r="O50" s="10" t="str">
        <f t="shared" si="1"/>
        <v>Cá tra thương phẩm</v>
      </c>
      <c r="P50" s="10" t="str">
        <f t="shared" si="5"/>
        <v>83/0424/08</v>
      </c>
      <c r="Q50" s="10" t="str">
        <f t="shared" si="2"/>
        <v>Bình Đại 83/02</v>
      </c>
      <c r="R50" s="10" t="str">
        <f t="shared" si="3"/>
        <v>Công ty CP Thủy sản Vinh Quang - Ấp Hưng Nhơn, Xã Châu Hưng</v>
      </c>
      <c r="S50" s="10">
        <f t="shared" si="7"/>
        <v>1.5</v>
      </c>
      <c r="T50" s="10" t="str">
        <f>IFERROR(VLOOKUP(J50,'List+TK'!$D$3:$E$1000,2,0),"-")</f>
        <v>Thuốc trừ sâu gốc Chlor hữu cơ; phospho hữu cơ; cúc tổng hợp…</v>
      </c>
      <c r="U50" s="10" t="str">
        <f t="shared" si="6"/>
        <v>09/04/2024</v>
      </c>
      <c r="V50" s="10" t="str">
        <f>IFERROR(VLOOKUP(K50,'List+TK'!$G$3:$H$16,2,0),"-")</f>
        <v>Cao Quang Nguyên</v>
      </c>
      <c r="W50" s="10" t="str">
        <f t="shared" si="4"/>
        <v>Ao 3</v>
      </c>
      <c r="X50" s="4"/>
    </row>
    <row r="51" spans="1:24" ht="49.5" x14ac:dyDescent="0.25">
      <c r="A51" s="5">
        <f>_xlfn.AGGREGATE(3,3,$I$4:I51)</f>
        <v>48</v>
      </c>
      <c r="B51" s="5">
        <v>9</v>
      </c>
      <c r="C51" s="26" t="s">
        <v>324</v>
      </c>
      <c r="D51" s="10" t="s">
        <v>260</v>
      </c>
      <c r="E51" s="10" t="s">
        <v>155</v>
      </c>
      <c r="F51" s="10" t="s">
        <v>11</v>
      </c>
      <c r="G51" s="115">
        <v>4</v>
      </c>
      <c r="H51" s="10">
        <v>10</v>
      </c>
      <c r="I51" s="10" t="s">
        <v>238</v>
      </c>
      <c r="J51" s="10" t="s">
        <v>623</v>
      </c>
      <c r="K51" s="10" t="s">
        <v>244</v>
      </c>
      <c r="L51" s="10" t="str">
        <f t="shared" si="0"/>
        <v>Thạnh Phú</v>
      </c>
      <c r="M51" s="10" t="str">
        <f>IFERROR(VLOOKUP(L51,'List+TK'!$I$3:$J$9,2,0),"-")</f>
        <v>83/03</v>
      </c>
      <c r="N51" s="10">
        <v>1</v>
      </c>
      <c r="O51" s="10" t="str">
        <f t="shared" si="1"/>
        <v>Tôm sú thương phẩm</v>
      </c>
      <c r="P51" s="10" t="str">
        <f t="shared" si="5"/>
        <v>83/0424/09</v>
      </c>
      <c r="Q51" s="10" t="str">
        <f t="shared" si="2"/>
        <v>Thạnh Phú 83/03</v>
      </c>
      <c r="R51" s="10" t="str">
        <f t="shared" si="3"/>
        <v>Phạm Văn Triều - Ấp 4, Xã Thạnh Phong</v>
      </c>
      <c r="S51" s="10">
        <f t="shared" si="7"/>
        <v>1</v>
      </c>
      <c r="T51" s="10" t="str">
        <f>IFERROR(VLOOKUP(J51,'List+TK'!$D$3:$E$1000,2,0),"-")</f>
        <v>Ivermectin</v>
      </c>
      <c r="U51" s="10" t="str">
        <f t="shared" si="6"/>
        <v>10/04/2024</v>
      </c>
      <c r="V51" s="10" t="str">
        <f>IFERROR(VLOOKUP(K51,'List+TK'!$G$3:$H$16,2,0),"-")</f>
        <v>Cao Quang Nguyên</v>
      </c>
      <c r="W51" s="10" t="str">
        <f t="shared" si="4"/>
        <v>Ao 1</v>
      </c>
      <c r="X51" s="4"/>
    </row>
    <row r="52" spans="1:24" s="111" customFormat="1" ht="49.5" x14ac:dyDescent="0.25">
      <c r="A52" s="5">
        <f>_xlfn.AGGREGATE(3,3,$I$4:I52)</f>
        <v>49</v>
      </c>
      <c r="B52" s="5">
        <v>10</v>
      </c>
      <c r="C52" s="26" t="s">
        <v>324</v>
      </c>
      <c r="D52" s="10" t="s">
        <v>260</v>
      </c>
      <c r="E52" s="10" t="s">
        <v>155</v>
      </c>
      <c r="F52" s="10" t="s">
        <v>11</v>
      </c>
      <c r="G52" s="115">
        <v>4</v>
      </c>
      <c r="H52" s="10">
        <v>10</v>
      </c>
      <c r="I52" s="10" t="s">
        <v>241</v>
      </c>
      <c r="J52" s="10" t="s">
        <v>621</v>
      </c>
      <c r="K52" s="10" t="s">
        <v>244</v>
      </c>
      <c r="L52" s="10" t="str">
        <f t="shared" si="0"/>
        <v>Thạnh Phú</v>
      </c>
      <c r="M52" s="10" t="str">
        <f>IFERROR(VLOOKUP(L52,'List+TK'!$I$3:$J$9,2,0),"-")</f>
        <v>83/03</v>
      </c>
      <c r="N52" s="10">
        <v>2</v>
      </c>
      <c r="O52" s="10" t="str">
        <f t="shared" si="1"/>
        <v>Tôm chân trắng thương phẩm</v>
      </c>
      <c r="P52" s="10" t="str">
        <f t="shared" si="5"/>
        <v>83/0424/10</v>
      </c>
      <c r="Q52" s="10" t="str">
        <f t="shared" si="2"/>
        <v>Thạnh Phú 83/03</v>
      </c>
      <c r="R52" s="10" t="str">
        <f t="shared" si="3"/>
        <v>Phạm Văn Triều - Ấp 4, Xã Thạnh Phong</v>
      </c>
      <c r="S52" s="10">
        <f t="shared" si="7"/>
        <v>1</v>
      </c>
      <c r="T52" s="10" t="str">
        <f>IFERROR(VLOOKUP(J52,'List+TK'!$D$3:$E$1000,2,0),"-")</f>
        <v>Pb, Hg, Cd</v>
      </c>
      <c r="U52" s="10" t="str">
        <f t="shared" si="6"/>
        <v>10/04/2024</v>
      </c>
      <c r="V52" s="10" t="str">
        <f>IFERROR(VLOOKUP(K52,'List+TK'!$G$3:$H$16,2,0),"-")</f>
        <v>Cao Quang Nguyên</v>
      </c>
      <c r="W52" s="10" t="str">
        <f t="shared" si="4"/>
        <v>Ao 2</v>
      </c>
      <c r="X52" s="4"/>
    </row>
    <row r="53" spans="1:24" ht="49.5" x14ac:dyDescent="0.25">
      <c r="A53" s="5">
        <f>_xlfn.AGGREGATE(3,3,$I$4:I53)</f>
        <v>50</v>
      </c>
      <c r="B53" s="60">
        <v>11</v>
      </c>
      <c r="C53" s="26" t="s">
        <v>211</v>
      </c>
      <c r="D53" s="10" t="s">
        <v>338</v>
      </c>
      <c r="E53" s="10" t="s">
        <v>138</v>
      </c>
      <c r="F53" s="10" t="s">
        <v>10</v>
      </c>
      <c r="G53" s="115">
        <v>4</v>
      </c>
      <c r="H53" s="10">
        <v>10</v>
      </c>
      <c r="I53" s="10" t="s">
        <v>208</v>
      </c>
      <c r="J53" s="10" t="s">
        <v>621</v>
      </c>
      <c r="K53" s="10" t="s">
        <v>245</v>
      </c>
      <c r="L53" s="10" t="str">
        <f t="shared" si="0"/>
        <v>Mỏ Cày</v>
      </c>
      <c r="M53" s="10" t="str">
        <f>IFERROR(VLOOKUP(L53,'List+TK'!$I$3:$J$9,2,0),"-")</f>
        <v>83/04</v>
      </c>
      <c r="N53" s="10">
        <v>4</v>
      </c>
      <c r="O53" s="10" t="str">
        <f t="shared" si="1"/>
        <v>Cá tra thương phẩm</v>
      </c>
      <c r="P53" s="10" t="str">
        <f t="shared" si="5"/>
        <v>83/0424/11</v>
      </c>
      <c r="Q53" s="10" t="str">
        <f t="shared" si="2"/>
        <v>Mỏ Cày 83/04</v>
      </c>
      <c r="R53" s="10" t="str">
        <f t="shared" si="3"/>
        <v>Công ty CP Gò Đàng - Ấp Tân Phong, Xã Thành Thới A</v>
      </c>
      <c r="S53" s="10">
        <f t="shared" si="7"/>
        <v>1.5</v>
      </c>
      <c r="T53" s="10" t="str">
        <f>IFERROR(VLOOKUP(J53,'List+TK'!$D$3:$E$1000,2,0),"-")</f>
        <v>Pb, Hg, Cd</v>
      </c>
      <c r="U53" s="10" t="str">
        <f t="shared" si="6"/>
        <v>10/04/2024</v>
      </c>
      <c r="V53" s="10" t="str">
        <f>IFERROR(VLOOKUP(K53,'List+TK'!$G$3:$H$16,2,0),"-")</f>
        <v>Phạm Minh Thuận</v>
      </c>
      <c r="W53" s="10" t="str">
        <f t="shared" si="4"/>
        <v>Ao 4</v>
      </c>
      <c r="X53" s="4"/>
    </row>
    <row r="54" spans="1:24" ht="49.5" x14ac:dyDescent="0.25">
      <c r="A54" s="5">
        <f>_xlfn.AGGREGATE(3,3,$I$4:I54)</f>
        <v>51</v>
      </c>
      <c r="B54" s="60">
        <v>12</v>
      </c>
      <c r="C54" s="26" t="s">
        <v>211</v>
      </c>
      <c r="D54" s="10" t="s">
        <v>338</v>
      </c>
      <c r="E54" s="10" t="s">
        <v>138</v>
      </c>
      <c r="F54" s="10" t="s">
        <v>10</v>
      </c>
      <c r="G54" s="115">
        <v>4</v>
      </c>
      <c r="H54" s="10">
        <v>10</v>
      </c>
      <c r="I54" s="10" t="s">
        <v>208</v>
      </c>
      <c r="J54" s="10" t="s">
        <v>622</v>
      </c>
      <c r="K54" s="10" t="s">
        <v>245</v>
      </c>
      <c r="L54" s="10" t="str">
        <f t="shared" si="0"/>
        <v>Mỏ Cày</v>
      </c>
      <c r="M54" s="10" t="str">
        <f>IFERROR(VLOOKUP(L54,'List+TK'!$I$3:$J$9,2,0),"-")</f>
        <v>83/04</v>
      </c>
      <c r="N54" s="10">
        <v>3</v>
      </c>
      <c r="O54" s="10" t="str">
        <f t="shared" si="1"/>
        <v>Cá tra thương phẩm</v>
      </c>
      <c r="P54" s="10" t="str">
        <f t="shared" si="5"/>
        <v>83/0424/12</v>
      </c>
      <c r="Q54" s="10" t="str">
        <f t="shared" si="2"/>
        <v>Mỏ Cày 83/04</v>
      </c>
      <c r="R54" s="10" t="str">
        <f t="shared" si="3"/>
        <v>Công ty CP Gò Đàng - Ấp Tân Phong, Xã Thành Thới A</v>
      </c>
      <c r="S54" s="10">
        <f t="shared" si="7"/>
        <v>1.5</v>
      </c>
      <c r="T54" s="10" t="str">
        <f>IFERROR(VLOOKUP(J54,'List+TK'!$D$3:$E$1000,2,0),"-")</f>
        <v>Thuốc trừ sâu gốc Chlor hữu cơ; phospho hữu cơ; cúc tổng hợp…</v>
      </c>
      <c r="U54" s="10" t="str">
        <f t="shared" si="6"/>
        <v>10/04/2024</v>
      </c>
      <c r="V54" s="10" t="str">
        <f>IFERROR(VLOOKUP(K54,'List+TK'!$G$3:$H$16,2,0),"-")</f>
        <v>Phạm Minh Thuận</v>
      </c>
      <c r="W54" s="10" t="str">
        <f t="shared" si="4"/>
        <v>Ao 3</v>
      </c>
      <c r="X54" s="4"/>
    </row>
    <row r="55" spans="1:24" ht="66" x14ac:dyDescent="0.25">
      <c r="A55" s="5">
        <f>_xlfn.AGGREGATE(3,3,$I$4:I55)</f>
        <v>52</v>
      </c>
      <c r="B55" s="60">
        <v>13</v>
      </c>
      <c r="C55" s="26" t="s">
        <v>608</v>
      </c>
      <c r="D55" s="10" t="s">
        <v>419</v>
      </c>
      <c r="E55" s="10" t="s">
        <v>67</v>
      </c>
      <c r="F55" s="10" t="s">
        <v>6</v>
      </c>
      <c r="G55" s="115">
        <v>4</v>
      </c>
      <c r="H55" s="116" t="s">
        <v>667</v>
      </c>
      <c r="I55" s="10" t="s">
        <v>208</v>
      </c>
      <c r="J55" s="10" t="s">
        <v>280</v>
      </c>
      <c r="K55" s="10" t="s">
        <v>246</v>
      </c>
      <c r="L55" s="10" t="str">
        <f t="shared" si="0"/>
        <v>Châu Thành</v>
      </c>
      <c r="M55" s="10" t="str">
        <f>IFERROR(VLOOKUP(L55,'List+TK'!$I$3:$J$9,2,0),"-")</f>
        <v>83/05</v>
      </c>
      <c r="N55" s="10" t="s">
        <v>680</v>
      </c>
      <c r="O55" s="10" t="str">
        <f t="shared" si="1"/>
        <v>Cá tra thương phẩm</v>
      </c>
      <c r="P55" s="10" t="str">
        <f t="shared" si="5"/>
        <v>83/0424/13</v>
      </c>
      <c r="Q55" s="10" t="str">
        <f t="shared" si="2"/>
        <v>Châu Thành 83/05</v>
      </c>
      <c r="R55" s="10" t="str">
        <f t="shared" si="3"/>
        <v>Công ty CP XNK Thủy sản Bến Tre (DL 22) - Ấp Phú Tân, Xã Phú Túc</v>
      </c>
      <c r="S55" s="10">
        <f t="shared" si="7"/>
        <v>1.5</v>
      </c>
      <c r="T55" s="10" t="str">
        <f>IFERROR(VLOOKUP(J55,'List+TK'!$D$3:$E$1000,2,0),"-")</f>
        <v>Trimethoprim</v>
      </c>
      <c r="U55" s="10" t="str">
        <f t="shared" si="6"/>
        <v>09/04/2024</v>
      </c>
      <c r="V55" s="10" t="str">
        <f>IFERROR(VLOOKUP(K55,'List+TK'!$G$3:$H$16,2,0),"-")</f>
        <v>Nguyễn Duy Khanh</v>
      </c>
      <c r="W55" s="10" t="str">
        <f t="shared" si="4"/>
        <v>Ao A4</v>
      </c>
      <c r="X55" s="4"/>
    </row>
    <row r="56" spans="1:24" ht="66" x14ac:dyDescent="0.25">
      <c r="A56" s="5">
        <f>_xlfn.AGGREGATE(3,3,$I$4:I56)</f>
        <v>53</v>
      </c>
      <c r="B56" s="60">
        <v>14</v>
      </c>
      <c r="C56" s="26" t="s">
        <v>608</v>
      </c>
      <c r="D56" s="10" t="s">
        <v>419</v>
      </c>
      <c r="E56" s="10" t="s">
        <v>67</v>
      </c>
      <c r="F56" s="10" t="s">
        <v>6</v>
      </c>
      <c r="G56" s="115">
        <v>4</v>
      </c>
      <c r="H56" s="116" t="s">
        <v>667</v>
      </c>
      <c r="I56" s="10" t="s">
        <v>208</v>
      </c>
      <c r="J56" s="10" t="s">
        <v>621</v>
      </c>
      <c r="K56" s="10" t="s">
        <v>246</v>
      </c>
      <c r="L56" s="10" t="str">
        <f t="shared" si="0"/>
        <v>Châu Thành</v>
      </c>
      <c r="M56" s="10" t="str">
        <f>IFERROR(VLOOKUP(L56,'List+TK'!$I$3:$J$9,2,0),"-")</f>
        <v>83/05</v>
      </c>
      <c r="N56" s="10" t="s">
        <v>553</v>
      </c>
      <c r="O56" s="10" t="str">
        <f t="shared" si="1"/>
        <v>Cá tra thương phẩm</v>
      </c>
      <c r="P56" s="10" t="str">
        <f t="shared" si="5"/>
        <v>83/0424/14</v>
      </c>
      <c r="Q56" s="10" t="str">
        <f t="shared" si="2"/>
        <v>Châu Thành 83/05</v>
      </c>
      <c r="R56" s="10" t="str">
        <f t="shared" si="3"/>
        <v>Công ty CP XNK Thủy sản Bến Tre (DL 22) - Ấp Phú Tân, Xã Phú Túc</v>
      </c>
      <c r="S56" s="10">
        <f t="shared" si="7"/>
        <v>1.5</v>
      </c>
      <c r="T56" s="10" t="str">
        <f>IFERROR(VLOOKUP(J56,'List+TK'!$D$3:$E$1000,2,0),"-")</f>
        <v>Pb, Hg, Cd</v>
      </c>
      <c r="U56" s="10" t="str">
        <f t="shared" si="6"/>
        <v>09/04/2024</v>
      </c>
      <c r="V56" s="10" t="str">
        <f>IFERROR(VLOOKUP(K56,'List+TK'!$G$3:$H$16,2,0),"-")</f>
        <v>Nguyễn Duy Khanh</v>
      </c>
      <c r="W56" s="10" t="str">
        <f t="shared" si="4"/>
        <v>Ao B4</v>
      </c>
      <c r="X56" s="4"/>
    </row>
    <row r="57" spans="1:24" ht="66" x14ac:dyDescent="0.25">
      <c r="A57" s="5">
        <f>_xlfn.AGGREGATE(3,3,$I$4:I57)</f>
        <v>54</v>
      </c>
      <c r="B57" s="60">
        <v>15</v>
      </c>
      <c r="C57" s="26" t="s">
        <v>608</v>
      </c>
      <c r="D57" s="10" t="s">
        <v>419</v>
      </c>
      <c r="E57" s="10" t="s">
        <v>67</v>
      </c>
      <c r="F57" s="10" t="s">
        <v>6</v>
      </c>
      <c r="G57" s="115">
        <v>4</v>
      </c>
      <c r="H57" s="116" t="s">
        <v>667</v>
      </c>
      <c r="I57" s="10" t="s">
        <v>208</v>
      </c>
      <c r="J57" s="10" t="s">
        <v>622</v>
      </c>
      <c r="K57" s="10" t="s">
        <v>246</v>
      </c>
      <c r="L57" s="10" t="str">
        <f t="shared" si="0"/>
        <v>Châu Thành</v>
      </c>
      <c r="M57" s="10" t="str">
        <f>IFERROR(VLOOKUP(L57,'List+TK'!$I$3:$J$9,2,0),"-")</f>
        <v>83/05</v>
      </c>
      <c r="N57" s="10" t="s">
        <v>681</v>
      </c>
      <c r="O57" s="10" t="str">
        <f t="shared" si="1"/>
        <v>Cá tra thương phẩm</v>
      </c>
      <c r="P57" s="10" t="str">
        <f t="shared" si="5"/>
        <v>83/0424/15</v>
      </c>
      <c r="Q57" s="10" t="str">
        <f t="shared" si="2"/>
        <v>Châu Thành 83/05</v>
      </c>
      <c r="R57" s="10" t="str">
        <f t="shared" si="3"/>
        <v>Công ty CP XNK Thủy sản Bến Tre (DL 22) - Ấp Phú Tân, Xã Phú Túc</v>
      </c>
      <c r="S57" s="10">
        <f t="shared" si="7"/>
        <v>1.5</v>
      </c>
      <c r="T57" s="10" t="str">
        <f>IFERROR(VLOOKUP(J57,'List+TK'!$D$3:$E$1000,2,0),"-")</f>
        <v>Thuốc trừ sâu gốc Chlor hữu cơ; phospho hữu cơ; cúc tổng hợp…</v>
      </c>
      <c r="U57" s="10" t="str">
        <f t="shared" si="6"/>
        <v>09/04/2024</v>
      </c>
      <c r="V57" s="10" t="str">
        <f>IFERROR(VLOOKUP(K57,'List+TK'!$G$3:$H$16,2,0),"-")</f>
        <v>Nguyễn Duy Khanh</v>
      </c>
      <c r="W57" s="10" t="str">
        <f t="shared" si="4"/>
        <v>Ao B6</v>
      </c>
      <c r="X57" s="4"/>
    </row>
    <row r="58" spans="1:24" ht="33" x14ac:dyDescent="0.25">
      <c r="A58" s="5">
        <f>_xlfn.AGGREGATE(3,3,$I$4:I58)</f>
        <v>55</v>
      </c>
      <c r="B58" s="60">
        <v>16</v>
      </c>
      <c r="C58" s="26" t="s">
        <v>353</v>
      </c>
      <c r="D58" s="10"/>
      <c r="E58" s="10"/>
      <c r="F58" s="10" t="s">
        <v>8</v>
      </c>
      <c r="G58" s="115">
        <v>4</v>
      </c>
      <c r="H58" s="10">
        <v>11</v>
      </c>
      <c r="I58" s="10" t="s">
        <v>208</v>
      </c>
      <c r="J58" s="10" t="s">
        <v>276</v>
      </c>
      <c r="K58" s="10"/>
      <c r="L58" s="10" t="str">
        <f t="shared" si="0"/>
        <v>Giồng Trôm</v>
      </c>
      <c r="M58" s="10" t="str">
        <f>IFERROR(VLOOKUP(L58,'List+TK'!$I$3:$J$9,2,0),"-")</f>
        <v>83/06</v>
      </c>
      <c r="N58" s="10"/>
      <c r="O58" s="10" t="str">
        <f t="shared" si="1"/>
        <v>Cá tra thương phẩm</v>
      </c>
      <c r="P58" s="10" t="str">
        <f t="shared" si="5"/>
        <v>83/0424/16</v>
      </c>
      <c r="Q58" s="10" t="str">
        <f t="shared" si="2"/>
        <v>Giồng Trôm 83/06</v>
      </c>
      <c r="R58" s="10" t="str">
        <f t="shared" si="3"/>
        <v xml:space="preserve">Không có mẫu - , </v>
      </c>
      <c r="S58" s="10">
        <f t="shared" si="7"/>
        <v>1.5</v>
      </c>
      <c r="T58" s="10" t="str">
        <f>IFERROR(VLOOKUP(J58,'List+TK'!$D$3:$E$1000,2,0),"-")</f>
        <v>Nhóm Tetracyclines</v>
      </c>
      <c r="U58" s="10"/>
      <c r="V58" s="10" t="str">
        <f>IFERROR(VLOOKUP(K58,'List+TK'!$G$3:$H$16,2,0),"-")</f>
        <v>-</v>
      </c>
      <c r="W58" s="10" t="str">
        <f t="shared" si="4"/>
        <v/>
      </c>
      <c r="X58" s="4"/>
    </row>
    <row r="59" spans="1:24" ht="33" x14ac:dyDescent="0.25">
      <c r="A59" s="5">
        <f>_xlfn.AGGREGATE(3,3,$I$4:I59)</f>
        <v>56</v>
      </c>
      <c r="B59" s="60">
        <v>17</v>
      </c>
      <c r="C59" s="26" t="s">
        <v>353</v>
      </c>
      <c r="D59" s="10"/>
      <c r="E59" s="10"/>
      <c r="F59" s="10" t="s">
        <v>8</v>
      </c>
      <c r="G59" s="115">
        <v>4</v>
      </c>
      <c r="H59" s="10">
        <v>11</v>
      </c>
      <c r="I59" s="10" t="s">
        <v>208</v>
      </c>
      <c r="J59" s="10" t="s">
        <v>279</v>
      </c>
      <c r="K59" s="10"/>
      <c r="L59" s="10" t="str">
        <f t="shared" si="0"/>
        <v>Giồng Trôm</v>
      </c>
      <c r="M59" s="10" t="str">
        <f>IFERROR(VLOOKUP(L59,'List+TK'!$I$3:$J$9,2,0),"-")</f>
        <v>83/06</v>
      </c>
      <c r="N59" s="10"/>
      <c r="O59" s="10" t="str">
        <f t="shared" si="1"/>
        <v>Cá tra thương phẩm</v>
      </c>
      <c r="P59" s="10" t="str">
        <f t="shared" si="5"/>
        <v>83/0424/17</v>
      </c>
      <c r="Q59" s="10" t="str">
        <f t="shared" si="2"/>
        <v>Giồng Trôm 83/06</v>
      </c>
      <c r="R59" s="10" t="str">
        <f t="shared" si="3"/>
        <v xml:space="preserve">Không có mẫu - , </v>
      </c>
      <c r="S59" s="10">
        <f t="shared" si="7"/>
        <v>1.5</v>
      </c>
      <c r="T59" s="10" t="str">
        <f>IFERROR(VLOOKUP(J59,'List+TK'!$D$3:$E$1000,2,0),"-")</f>
        <v>Florfenicol</v>
      </c>
      <c r="U59" s="10"/>
      <c r="V59" s="10" t="str">
        <f>IFERROR(VLOOKUP(K59,'List+TK'!$G$3:$H$16,2,0),"-")</f>
        <v>-</v>
      </c>
      <c r="W59" s="10" t="str">
        <f t="shared" si="4"/>
        <v/>
      </c>
      <c r="X59" s="4"/>
    </row>
    <row r="60" spans="1:24" ht="33" x14ac:dyDescent="0.25">
      <c r="A60" s="5">
        <f>_xlfn.AGGREGATE(3,3,$I$4:I60)</f>
        <v>57</v>
      </c>
      <c r="B60" s="60">
        <v>18</v>
      </c>
      <c r="C60" s="26" t="s">
        <v>353</v>
      </c>
      <c r="D60" s="10"/>
      <c r="E60" s="10"/>
      <c r="F60" s="10" t="s">
        <v>8</v>
      </c>
      <c r="G60" s="115">
        <v>4</v>
      </c>
      <c r="H60" s="10">
        <v>11</v>
      </c>
      <c r="I60" s="10" t="s">
        <v>208</v>
      </c>
      <c r="J60" s="10" t="s">
        <v>621</v>
      </c>
      <c r="K60" s="10"/>
      <c r="L60" s="10" t="str">
        <f t="shared" si="0"/>
        <v>Giồng Trôm</v>
      </c>
      <c r="M60" s="10" t="str">
        <f>IFERROR(VLOOKUP(L60,'List+TK'!$I$3:$J$9,2,0),"-")</f>
        <v>83/06</v>
      </c>
      <c r="N60" s="10"/>
      <c r="O60" s="10" t="str">
        <f t="shared" si="1"/>
        <v>Cá tra thương phẩm</v>
      </c>
      <c r="P60" s="10" t="str">
        <f t="shared" si="5"/>
        <v>83/0424/18</v>
      </c>
      <c r="Q60" s="10" t="str">
        <f t="shared" si="2"/>
        <v>Giồng Trôm 83/06</v>
      </c>
      <c r="R60" s="10" t="str">
        <f t="shared" si="3"/>
        <v xml:space="preserve">Không có mẫu - , </v>
      </c>
      <c r="S60" s="10">
        <f t="shared" si="7"/>
        <v>1.5</v>
      </c>
      <c r="T60" s="10" t="str">
        <f>IFERROR(VLOOKUP(J60,'List+TK'!$D$3:$E$1000,2,0),"-")</f>
        <v>Pb, Hg, Cd</v>
      </c>
      <c r="U60" s="10"/>
      <c r="V60" s="10" t="str">
        <f>IFERROR(VLOOKUP(K60,'List+TK'!$G$3:$H$16,2,0),"-")</f>
        <v>-</v>
      </c>
      <c r="W60" s="10" t="str">
        <f t="shared" si="4"/>
        <v/>
      </c>
      <c r="X60" s="4"/>
    </row>
    <row r="61" spans="1:24" ht="82.5" x14ac:dyDescent="0.25">
      <c r="A61" s="5">
        <f>_xlfn.AGGREGATE(3,3,$I$4:I61)</f>
        <v>58</v>
      </c>
      <c r="B61" s="60">
        <v>19</v>
      </c>
      <c r="C61" s="26" t="s">
        <v>232</v>
      </c>
      <c r="D61" s="10" t="s">
        <v>670</v>
      </c>
      <c r="E61" s="10" t="s">
        <v>80</v>
      </c>
      <c r="F61" s="10" t="s">
        <v>7</v>
      </c>
      <c r="G61" s="115">
        <v>4</v>
      </c>
      <c r="H61" s="10">
        <v>10</v>
      </c>
      <c r="I61" s="10" t="s">
        <v>208</v>
      </c>
      <c r="J61" s="10" t="s">
        <v>616</v>
      </c>
      <c r="K61" s="10" t="s">
        <v>246</v>
      </c>
      <c r="L61" s="10" t="str">
        <f t="shared" si="0"/>
        <v>Chợ Lách</v>
      </c>
      <c r="M61" s="10" t="str">
        <f>IFERROR(VLOOKUP(L61,'List+TK'!$I$3:$J$9,2,0),"-")</f>
        <v>83/07</v>
      </c>
      <c r="N61" s="10">
        <v>1</v>
      </c>
      <c r="O61" s="10" t="str">
        <f t="shared" si="1"/>
        <v>Cá tra thương phẩm</v>
      </c>
      <c r="P61" s="10" t="str">
        <f t="shared" si="5"/>
        <v>83/0424/19</v>
      </c>
      <c r="Q61" s="10" t="str">
        <f t="shared" si="2"/>
        <v>Chợ Lách 83/07</v>
      </c>
      <c r="R61" s="10" t="str">
        <f t="shared" si="3"/>
        <v>Công ty TNHH CBTPXK Vạn Đức Tiền Giang - Vùng nuôi Hòa Nghĩa, ấp Bình An, Xã Hòa Nghĩa</v>
      </c>
      <c r="S61" s="10">
        <f t="shared" si="7"/>
        <v>1.5</v>
      </c>
      <c r="T61" s="10" t="str">
        <f>IFERROR(VLOOKUP(J61,'List+TK'!$D$3:$E$1000,2,0),"-")</f>
        <v>Nhóm Nitroimidazoles</v>
      </c>
      <c r="U61" s="10" t="str">
        <f t="shared" si="6"/>
        <v>10/04/2024</v>
      </c>
      <c r="V61" s="10" t="str">
        <f>IFERROR(VLOOKUP(K61,'List+TK'!$G$3:$H$16,2,0),"-")</f>
        <v>Nguyễn Duy Khanh</v>
      </c>
      <c r="W61" s="10" t="str">
        <f t="shared" si="4"/>
        <v>Ao 1</v>
      </c>
      <c r="X61" s="4"/>
    </row>
    <row r="62" spans="1:24" ht="82.5" x14ac:dyDescent="0.25">
      <c r="A62" s="5">
        <f>_xlfn.AGGREGATE(3,3,$I$4:I62)</f>
        <v>59</v>
      </c>
      <c r="B62" s="60">
        <v>20</v>
      </c>
      <c r="C62" s="26" t="s">
        <v>232</v>
      </c>
      <c r="D62" s="10" t="s">
        <v>670</v>
      </c>
      <c r="E62" s="10" t="s">
        <v>80</v>
      </c>
      <c r="F62" s="10" t="s">
        <v>7</v>
      </c>
      <c r="G62" s="115">
        <v>4</v>
      </c>
      <c r="H62" s="10">
        <v>10</v>
      </c>
      <c r="I62" s="10" t="s">
        <v>208</v>
      </c>
      <c r="J62" s="10" t="s">
        <v>281</v>
      </c>
      <c r="K62" s="10" t="s">
        <v>246</v>
      </c>
      <c r="L62" s="10" t="str">
        <f t="shared" si="0"/>
        <v>Chợ Lách</v>
      </c>
      <c r="M62" s="10" t="str">
        <f>IFERROR(VLOOKUP(L62,'List+TK'!$I$3:$J$9,2,0),"-")</f>
        <v>83/07</v>
      </c>
      <c r="N62" s="10">
        <v>5</v>
      </c>
      <c r="O62" s="10" t="str">
        <f t="shared" si="1"/>
        <v>Cá tra thương phẩm</v>
      </c>
      <c r="P62" s="10" t="str">
        <f t="shared" si="5"/>
        <v>83/0424/20</v>
      </c>
      <c r="Q62" s="10" t="str">
        <f t="shared" si="2"/>
        <v>Chợ Lách 83/07</v>
      </c>
      <c r="R62" s="10" t="str">
        <f t="shared" si="3"/>
        <v>Công ty TNHH CBTPXK Vạn Đức Tiền Giang - Vùng nuôi Hòa Nghĩa, ấp Bình An, Xã Hòa Nghĩa</v>
      </c>
      <c r="S62" s="10">
        <f t="shared" si="7"/>
        <v>1.5</v>
      </c>
      <c r="T62" s="10" t="str">
        <f>IFERROR(VLOOKUP(J62,'List+TK'!$D$3:$E$1000,2,0),"-")</f>
        <v>Ormetoprim</v>
      </c>
      <c r="U62" s="10" t="str">
        <f t="shared" si="6"/>
        <v>10/04/2024</v>
      </c>
      <c r="V62" s="10" t="str">
        <f>IFERROR(VLOOKUP(K62,'List+TK'!$G$3:$H$16,2,0),"-")</f>
        <v>Nguyễn Duy Khanh</v>
      </c>
      <c r="W62" s="10" t="str">
        <f t="shared" si="4"/>
        <v>Ao 5</v>
      </c>
      <c r="X62" s="4"/>
    </row>
    <row r="63" spans="1:24" ht="82.5" x14ac:dyDescent="0.25">
      <c r="A63" s="5">
        <f>_xlfn.AGGREGATE(3,3,$I$4:I63)</f>
        <v>60</v>
      </c>
      <c r="B63" s="60">
        <v>21</v>
      </c>
      <c r="C63" s="26" t="s">
        <v>232</v>
      </c>
      <c r="D63" s="10" t="s">
        <v>671</v>
      </c>
      <c r="E63" s="10" t="s">
        <v>86</v>
      </c>
      <c r="F63" s="10" t="s">
        <v>7</v>
      </c>
      <c r="G63" s="115">
        <v>4</v>
      </c>
      <c r="H63" s="10">
        <v>10</v>
      </c>
      <c r="I63" s="10" t="s">
        <v>208</v>
      </c>
      <c r="J63" s="10" t="s">
        <v>276</v>
      </c>
      <c r="K63" s="10" t="s">
        <v>246</v>
      </c>
      <c r="L63" s="10" t="str">
        <f t="shared" si="0"/>
        <v>Chợ Lách</v>
      </c>
      <c r="M63" s="10" t="str">
        <f>IFERROR(VLOOKUP(L63,'List+TK'!$I$3:$J$9,2,0),"-")</f>
        <v>83/07</v>
      </c>
      <c r="N63" s="10">
        <v>1</v>
      </c>
      <c r="O63" s="10" t="str">
        <f t="shared" si="1"/>
        <v>Cá tra thương phẩm</v>
      </c>
      <c r="P63" s="10" t="str">
        <f t="shared" si="5"/>
        <v>83/0424/21</v>
      </c>
      <c r="Q63" s="10" t="str">
        <f t="shared" si="2"/>
        <v>Chợ Lách 83/07</v>
      </c>
      <c r="R63" s="10" t="str">
        <f t="shared" si="3"/>
        <v>Công ty TNHH CBTPXK Vạn Đức Tiền Giang - Vùng nuôi Cồn Sơn, ấp Thanh Yên, Xã Tân Thiềng</v>
      </c>
      <c r="S63" s="10">
        <f t="shared" si="7"/>
        <v>1.5</v>
      </c>
      <c r="T63" s="10" t="str">
        <f>IFERROR(VLOOKUP(J63,'List+TK'!$D$3:$E$1000,2,0),"-")</f>
        <v>Nhóm Tetracyclines</v>
      </c>
      <c r="U63" s="10" t="str">
        <f t="shared" si="6"/>
        <v>10/04/2024</v>
      </c>
      <c r="V63" s="10" t="str">
        <f>IFERROR(VLOOKUP(K63,'List+TK'!$G$3:$H$16,2,0),"-")</f>
        <v>Nguyễn Duy Khanh</v>
      </c>
      <c r="W63" s="10" t="str">
        <f t="shared" si="4"/>
        <v>Ao 1</v>
      </c>
      <c r="X63" s="4"/>
    </row>
    <row r="64" spans="1:24" ht="82.5" x14ac:dyDescent="0.25">
      <c r="A64" s="5">
        <f>_xlfn.AGGREGATE(3,3,$I$4:I64)</f>
        <v>61</v>
      </c>
      <c r="B64" s="60">
        <v>22</v>
      </c>
      <c r="C64" s="26" t="s">
        <v>232</v>
      </c>
      <c r="D64" s="10" t="s">
        <v>671</v>
      </c>
      <c r="E64" s="10" t="s">
        <v>86</v>
      </c>
      <c r="F64" s="10" t="s">
        <v>7</v>
      </c>
      <c r="G64" s="115">
        <v>4</v>
      </c>
      <c r="H64" s="10">
        <v>10</v>
      </c>
      <c r="I64" s="10" t="s">
        <v>208</v>
      </c>
      <c r="J64" s="10" t="s">
        <v>621</v>
      </c>
      <c r="K64" s="10" t="s">
        <v>246</v>
      </c>
      <c r="L64" s="10" t="str">
        <f t="shared" si="0"/>
        <v>Chợ Lách</v>
      </c>
      <c r="M64" s="10" t="str">
        <f>IFERROR(VLOOKUP(L64,'List+TK'!$I$3:$J$9,2,0),"-")</f>
        <v>83/07</v>
      </c>
      <c r="N64" s="10">
        <v>4</v>
      </c>
      <c r="O64" s="10" t="str">
        <f t="shared" si="1"/>
        <v>Cá tra thương phẩm</v>
      </c>
      <c r="P64" s="10" t="str">
        <f t="shared" si="5"/>
        <v>83/0424/22</v>
      </c>
      <c r="Q64" s="10" t="str">
        <f t="shared" si="2"/>
        <v>Chợ Lách 83/07</v>
      </c>
      <c r="R64" s="10" t="str">
        <f t="shared" si="3"/>
        <v>Công ty TNHH CBTPXK Vạn Đức Tiền Giang - Vùng nuôi Cồn Sơn, ấp Thanh Yên, Xã Tân Thiềng</v>
      </c>
      <c r="S64" s="10">
        <f t="shared" si="7"/>
        <v>1.5</v>
      </c>
      <c r="T64" s="10" t="str">
        <f>IFERROR(VLOOKUP(J64,'List+TK'!$D$3:$E$1000,2,0),"-")</f>
        <v>Pb, Hg, Cd</v>
      </c>
      <c r="U64" s="10" t="str">
        <f t="shared" si="6"/>
        <v>10/04/2024</v>
      </c>
      <c r="V64" s="10" t="str">
        <f>IFERROR(VLOOKUP(K64,'List+TK'!$G$3:$H$16,2,0),"-")</f>
        <v>Nguyễn Duy Khanh</v>
      </c>
      <c r="W64" s="10" t="str">
        <f t="shared" si="4"/>
        <v>Ao 4</v>
      </c>
      <c r="X64" s="4"/>
    </row>
    <row r="65" spans="1:24" ht="82.5" x14ac:dyDescent="0.25">
      <c r="A65" s="5">
        <f>_xlfn.AGGREGATE(3,3,$I$4:I65)</f>
        <v>62</v>
      </c>
      <c r="B65" s="60">
        <v>23</v>
      </c>
      <c r="C65" s="26" t="s">
        <v>232</v>
      </c>
      <c r="D65" s="10" t="s">
        <v>671</v>
      </c>
      <c r="E65" s="10" t="s">
        <v>86</v>
      </c>
      <c r="F65" s="10" t="s">
        <v>7</v>
      </c>
      <c r="G65" s="115">
        <v>4</v>
      </c>
      <c r="H65" s="10">
        <v>10</v>
      </c>
      <c r="I65" s="10" t="s">
        <v>208</v>
      </c>
      <c r="J65" s="10" t="s">
        <v>622</v>
      </c>
      <c r="K65" s="10" t="s">
        <v>246</v>
      </c>
      <c r="L65" s="10" t="str">
        <f t="shared" si="0"/>
        <v>Chợ Lách</v>
      </c>
      <c r="M65" s="10" t="str">
        <f>IFERROR(VLOOKUP(L65,'List+TK'!$I$3:$J$9,2,0),"-")</f>
        <v>83/07</v>
      </c>
      <c r="N65" s="10">
        <v>7</v>
      </c>
      <c r="O65" s="10" t="str">
        <f t="shared" si="1"/>
        <v>Cá tra thương phẩm</v>
      </c>
      <c r="P65" s="10" t="str">
        <f t="shared" si="5"/>
        <v>83/0424/23</v>
      </c>
      <c r="Q65" s="10" t="str">
        <f t="shared" si="2"/>
        <v>Chợ Lách 83/07</v>
      </c>
      <c r="R65" s="10" t="str">
        <f t="shared" si="3"/>
        <v>Công ty TNHH CBTPXK Vạn Đức Tiền Giang - Vùng nuôi Cồn Sơn, ấp Thanh Yên, Xã Tân Thiềng</v>
      </c>
      <c r="S65" s="10">
        <f t="shared" si="7"/>
        <v>1.5</v>
      </c>
      <c r="T65" s="10" t="str">
        <f>IFERROR(VLOOKUP(J65,'List+TK'!$D$3:$E$1000,2,0),"-")</f>
        <v>Thuốc trừ sâu gốc Chlor hữu cơ; phospho hữu cơ; cúc tổng hợp…</v>
      </c>
      <c r="U65" s="10" t="str">
        <f t="shared" si="6"/>
        <v>10/04/2024</v>
      </c>
      <c r="V65" s="10" t="str">
        <f>IFERROR(VLOOKUP(K65,'List+TK'!$G$3:$H$16,2,0),"-")</f>
        <v>Nguyễn Duy Khanh</v>
      </c>
      <c r="W65" s="10" t="str">
        <f t="shared" si="4"/>
        <v>Ao 7</v>
      </c>
      <c r="X65" s="4"/>
    </row>
    <row r="66" spans="1:24" ht="33" x14ac:dyDescent="0.25">
      <c r="A66" s="5">
        <f>_xlfn.AGGREGATE(3,3,$I$4:I66)</f>
        <v>63</v>
      </c>
      <c r="B66" s="60">
        <v>15</v>
      </c>
      <c r="C66" s="26" t="s">
        <v>211</v>
      </c>
      <c r="D66" s="10" t="s">
        <v>302</v>
      </c>
      <c r="E66" s="10" t="s">
        <v>104</v>
      </c>
      <c r="F66" s="10" t="s">
        <v>8</v>
      </c>
      <c r="G66" s="10">
        <v>5</v>
      </c>
      <c r="H66" s="10">
        <v>25</v>
      </c>
      <c r="I66" s="10" t="s">
        <v>208</v>
      </c>
      <c r="J66" s="10" t="s">
        <v>277</v>
      </c>
      <c r="K66" s="10" t="s">
        <v>245</v>
      </c>
      <c r="L66" s="10" t="str">
        <f t="shared" si="0"/>
        <v>Giồng Trôm</v>
      </c>
      <c r="M66" s="10" t="str">
        <f>IFERROR(VLOOKUP(L66,'List+TK'!$I$3:$J$9,2,0),"-")</f>
        <v>83/06</v>
      </c>
      <c r="N66" s="10" t="s">
        <v>354</v>
      </c>
      <c r="O66" s="10" t="str">
        <f t="shared" si="1"/>
        <v>Cá tra thương phẩm</v>
      </c>
      <c r="P66" s="10" t="str">
        <f t="shared" ref="P66:P67" si="8">"83/"&amp;IF(LEN(G66)=1,"0"&amp;G66,G66)&amp;"23/"&amp;IF(LEN(B66)=1,"0"&amp;B66,B66)</f>
        <v>83/0523/15</v>
      </c>
      <c r="Q66" s="10" t="str">
        <f t="shared" si="2"/>
        <v>Giồng Trôm 83/06</v>
      </c>
      <c r="R66" s="10" t="str">
        <f t="shared" si="3"/>
        <v>Công ty CP Gò Đàng - Ấp 1, Xã Sơn Phú</v>
      </c>
      <c r="S66" s="10">
        <f t="shared" si="7"/>
        <v>1.5</v>
      </c>
      <c r="T66" s="10" t="str">
        <f>IFERROR(VLOOKUP(J66,'List+TK'!$D$3:$E$1000,2,0),"-")</f>
        <v>Nhóm Sulfonamides</v>
      </c>
      <c r="U66" s="10" t="str">
        <f t="shared" ref="U66:U67" si="9">H66&amp;"/"&amp;IF(LEN(G66)=1,"0"&amp;G66,G66)&amp;"/2023"</f>
        <v>25/05/2023</v>
      </c>
      <c r="V66" s="10" t="str">
        <f>IFERROR(VLOOKUP(K66,'List+TK'!$G$3:$H$16,2,0),"-")</f>
        <v>Phạm Minh Thuận</v>
      </c>
      <c r="W66" s="10" t="str">
        <f t="shared" si="4"/>
        <v>Ao D4</v>
      </c>
      <c r="X66" s="4"/>
    </row>
    <row r="67" spans="1:24" ht="49.5" x14ac:dyDescent="0.25">
      <c r="A67" s="5">
        <f>_xlfn.AGGREGATE(3,3,$I$4:I67)</f>
        <v>64</v>
      </c>
      <c r="B67" s="60">
        <v>16</v>
      </c>
      <c r="C67" s="26" t="s">
        <v>227</v>
      </c>
      <c r="D67" s="10" t="s">
        <v>327</v>
      </c>
      <c r="E67" s="10" t="s">
        <v>87</v>
      </c>
      <c r="F67" s="10" t="s">
        <v>7</v>
      </c>
      <c r="G67" s="10">
        <v>5</v>
      </c>
      <c r="H67" s="10">
        <v>24</v>
      </c>
      <c r="I67" s="10" t="s">
        <v>208</v>
      </c>
      <c r="J67" s="10" t="s">
        <v>277</v>
      </c>
      <c r="K67" s="10" t="s">
        <v>249</v>
      </c>
      <c r="L67" s="10" t="str">
        <f t="shared" si="0"/>
        <v>Chợ Lách</v>
      </c>
      <c r="M67" s="10" t="str">
        <f>IFERROR(VLOOKUP(L67,'List+TK'!$I$3:$J$9,2,0),"-")</f>
        <v>83/07</v>
      </c>
      <c r="N67" s="10">
        <v>9</v>
      </c>
      <c r="O67" s="10" t="str">
        <f t="shared" si="1"/>
        <v>Cá tra thương phẩm</v>
      </c>
      <c r="P67" s="10" t="str">
        <f t="shared" si="8"/>
        <v>83/0523/16</v>
      </c>
      <c r="Q67" s="10" t="str">
        <f t="shared" si="2"/>
        <v>Chợ Lách 83/07</v>
      </c>
      <c r="R67" s="10" t="str">
        <f t="shared" si="3"/>
        <v>Công ty CP Vĩnh Hoàn - Ấp Phú Bình, Xã Vĩnh Bình</v>
      </c>
      <c r="S67" s="10">
        <f t="shared" si="7"/>
        <v>1.5</v>
      </c>
      <c r="T67" s="10" t="str">
        <f>IFERROR(VLOOKUP(J67,'List+TK'!$D$3:$E$1000,2,0),"-")</f>
        <v>Nhóm Sulfonamides</v>
      </c>
      <c r="U67" s="10" t="str">
        <f t="shared" si="9"/>
        <v>24/05/2023</v>
      </c>
      <c r="V67" s="10" t="str">
        <f>IFERROR(VLOOKUP(K67,'List+TK'!$G$3:$H$16,2,0),"-")</f>
        <v>Phạm Văn Lâm</v>
      </c>
      <c r="W67" s="10" t="str">
        <f t="shared" si="4"/>
        <v>Ao 9</v>
      </c>
      <c r="X67" s="4"/>
    </row>
    <row r="68" spans="1:24" ht="49.5" x14ac:dyDescent="0.25">
      <c r="A68" s="5">
        <f>_xlfn.AGGREGATE(3,3,$I$4:I68)</f>
        <v>65</v>
      </c>
      <c r="B68" s="60">
        <v>17</v>
      </c>
      <c r="C68" s="26" t="s">
        <v>227</v>
      </c>
      <c r="D68" s="10" t="s">
        <v>327</v>
      </c>
      <c r="E68" s="10" t="s">
        <v>87</v>
      </c>
      <c r="F68" s="10" t="s">
        <v>7</v>
      </c>
      <c r="G68" s="10">
        <v>5</v>
      </c>
      <c r="H68" s="10">
        <v>24</v>
      </c>
      <c r="I68" s="10" t="s">
        <v>208</v>
      </c>
      <c r="J68" s="10" t="s">
        <v>278</v>
      </c>
      <c r="K68" s="10" t="s">
        <v>249</v>
      </c>
      <c r="L68" s="10" t="str">
        <f t="shared" ref="L68:L131" si="10">IFERROR(IF(F68="Huyện Mỏ Cày Nam","Mỏ Cày",RIGHT(F68,LEN(F68)-6)),"-")</f>
        <v>Chợ Lách</v>
      </c>
      <c r="M68" s="10" t="str">
        <f>IFERROR(VLOOKUP(L68,'List+TK'!$I$3:$J$9,2,0),"-")</f>
        <v>83/07</v>
      </c>
      <c r="N68" s="10">
        <v>7</v>
      </c>
      <c r="O68" s="10" t="str">
        <f t="shared" ref="O68:O131" si="11">I68</f>
        <v>Cá tra thương phẩm</v>
      </c>
      <c r="P68" s="10" t="str">
        <f t="shared" ref="P68:P99" si="12">"83/"&amp;IF(LEN(G68)=1,"0"&amp;G68,G68)&amp;"23/"&amp;IF(LEN(B68)=1,"0"&amp;B68,B68)</f>
        <v>83/0523/17</v>
      </c>
      <c r="Q68" s="10" t="str">
        <f t="shared" ref="Q68:Q131" si="13">L68&amp;" "&amp;M68</f>
        <v>Chợ Lách 83/07</v>
      </c>
      <c r="R68" s="10" t="str">
        <f t="shared" ref="R68:R131" si="14">C68&amp;" - "&amp;D68&amp;", "&amp;E68</f>
        <v>Công ty CP Vĩnh Hoàn - Ấp Phú Bình, Xã Vĩnh Bình</v>
      </c>
      <c r="S68" s="10">
        <f t="shared" ref="S68:S131" si="15">IF(OR(I68="Tôm chân trắng nhỏ",I68="Tôm sú nhỏ"),0.5,IF(OR(I68="Cá tra nhỏ",I68="Tôm sú thương phẩm",I68="Tôm chân trắng thương phẩm",I68="Tôm sú quảng canh",I68="Nước ương tôm giống"),1,IF(I68="Cá tra thương phẩm",1.5,0)))</f>
        <v>1.5</v>
      </c>
      <c r="T68" s="10" t="str">
        <f>IFERROR(VLOOKUP(J68,'List+TK'!$D$3:$E$1000,2,0),"-")</f>
        <v>Nhóm Quinolones</v>
      </c>
      <c r="U68" s="10" t="str">
        <f t="shared" ref="U68:U99" si="16">H68&amp;"/"&amp;IF(LEN(G68)=1,"0"&amp;G68,G68)&amp;"/2023"</f>
        <v>24/05/2023</v>
      </c>
      <c r="V68" s="10" t="str">
        <f>IFERROR(VLOOKUP(K68,'List+TK'!$G$3:$H$16,2,0),"-")</f>
        <v>Phạm Văn Lâm</v>
      </c>
      <c r="W68" s="10" t="str">
        <f t="shared" ref="W68:W131" si="17">IF(N68="","",IF(I68="Nước ương tôm giống","Bể "&amp;N68,"Ao "&amp;N68))</f>
        <v>Ao 7</v>
      </c>
      <c r="X68" s="4"/>
    </row>
    <row r="69" spans="1:24" ht="49.5" x14ac:dyDescent="0.25">
      <c r="A69" s="5">
        <f>_xlfn.AGGREGATE(3,3,$I$4:I69)</f>
        <v>66</v>
      </c>
      <c r="B69" s="60">
        <v>18</v>
      </c>
      <c r="C69" s="26" t="s">
        <v>227</v>
      </c>
      <c r="D69" s="10" t="s">
        <v>327</v>
      </c>
      <c r="E69" s="10" t="s">
        <v>87</v>
      </c>
      <c r="F69" s="10" t="s">
        <v>7</v>
      </c>
      <c r="G69" s="10">
        <v>5</v>
      </c>
      <c r="H69" s="10">
        <v>24</v>
      </c>
      <c r="I69" s="10" t="s">
        <v>208</v>
      </c>
      <c r="J69" s="10" t="s">
        <v>279</v>
      </c>
      <c r="K69" s="10" t="s">
        <v>249</v>
      </c>
      <c r="L69" s="10" t="str">
        <f t="shared" si="10"/>
        <v>Chợ Lách</v>
      </c>
      <c r="M69" s="10" t="str">
        <f>IFERROR(VLOOKUP(L69,'List+TK'!$I$3:$J$9,2,0),"-")</f>
        <v>83/07</v>
      </c>
      <c r="N69" s="10">
        <v>8</v>
      </c>
      <c r="O69" s="10" t="str">
        <f t="shared" si="11"/>
        <v>Cá tra thương phẩm</v>
      </c>
      <c r="P69" s="10" t="str">
        <f t="shared" si="12"/>
        <v>83/0523/18</v>
      </c>
      <c r="Q69" s="10" t="str">
        <f t="shared" si="13"/>
        <v>Chợ Lách 83/07</v>
      </c>
      <c r="R69" s="10" t="str">
        <f t="shared" si="14"/>
        <v>Công ty CP Vĩnh Hoàn - Ấp Phú Bình, Xã Vĩnh Bình</v>
      </c>
      <c r="S69" s="10">
        <f t="shared" si="15"/>
        <v>1.5</v>
      </c>
      <c r="T69" s="10" t="str">
        <f>IFERROR(VLOOKUP(J69,'List+TK'!$D$3:$E$1000,2,0),"-")</f>
        <v>Florfenicol</v>
      </c>
      <c r="U69" s="10" t="str">
        <f t="shared" si="16"/>
        <v>24/05/2023</v>
      </c>
      <c r="V69" s="10" t="str">
        <f>IFERROR(VLOOKUP(K69,'List+TK'!$G$3:$H$16,2,0),"-")</f>
        <v>Phạm Văn Lâm</v>
      </c>
      <c r="W69" s="10" t="str">
        <f t="shared" si="17"/>
        <v>Ao 8</v>
      </c>
      <c r="X69" s="4"/>
    </row>
    <row r="70" spans="1:24" ht="49.5" x14ac:dyDescent="0.25">
      <c r="A70" s="5">
        <f>_xlfn.AGGREGATE(3,3,$I$4:I70)</f>
        <v>67</v>
      </c>
      <c r="B70" s="60">
        <v>19</v>
      </c>
      <c r="C70" s="26" t="s">
        <v>227</v>
      </c>
      <c r="D70" s="10" t="s">
        <v>327</v>
      </c>
      <c r="E70" s="10" t="s">
        <v>87</v>
      </c>
      <c r="F70" s="10" t="s">
        <v>7</v>
      </c>
      <c r="G70" s="10">
        <v>5</v>
      </c>
      <c r="H70" s="10">
        <v>24</v>
      </c>
      <c r="I70" s="10" t="s">
        <v>208</v>
      </c>
      <c r="J70" s="10" t="s">
        <v>280</v>
      </c>
      <c r="K70" s="10" t="s">
        <v>249</v>
      </c>
      <c r="L70" s="10" t="str">
        <f t="shared" si="10"/>
        <v>Chợ Lách</v>
      </c>
      <c r="M70" s="10" t="str">
        <f>IFERROR(VLOOKUP(L70,'List+TK'!$I$3:$J$9,2,0),"-")</f>
        <v>83/07</v>
      </c>
      <c r="N70" s="10">
        <v>19</v>
      </c>
      <c r="O70" s="10" t="str">
        <f t="shared" si="11"/>
        <v>Cá tra thương phẩm</v>
      </c>
      <c r="P70" s="10" t="str">
        <f t="shared" si="12"/>
        <v>83/0523/19</v>
      </c>
      <c r="Q70" s="10" t="str">
        <f t="shared" si="13"/>
        <v>Chợ Lách 83/07</v>
      </c>
      <c r="R70" s="10" t="str">
        <f t="shared" si="14"/>
        <v>Công ty CP Vĩnh Hoàn - Ấp Phú Bình, Xã Vĩnh Bình</v>
      </c>
      <c r="S70" s="10">
        <f t="shared" si="15"/>
        <v>1.5</v>
      </c>
      <c r="T70" s="10" t="str">
        <f>IFERROR(VLOOKUP(J70,'List+TK'!$D$3:$E$1000,2,0),"-")</f>
        <v>Trimethoprim</v>
      </c>
      <c r="U70" s="10" t="str">
        <f t="shared" si="16"/>
        <v>24/05/2023</v>
      </c>
      <c r="V70" s="10" t="str">
        <f>IFERROR(VLOOKUP(K70,'List+TK'!$G$3:$H$16,2,0),"-")</f>
        <v>Phạm Văn Lâm</v>
      </c>
      <c r="W70" s="10" t="str">
        <f t="shared" si="17"/>
        <v>Ao 19</v>
      </c>
      <c r="X70" s="4"/>
    </row>
    <row r="71" spans="1:24" ht="33" x14ac:dyDescent="0.25">
      <c r="A71" s="5">
        <f>_xlfn.AGGREGATE(3,3,$I$4:I71)</f>
        <v>68</v>
      </c>
      <c r="B71" s="72">
        <v>1</v>
      </c>
      <c r="C71" s="26" t="s">
        <v>442</v>
      </c>
      <c r="D71" s="10" t="s">
        <v>254</v>
      </c>
      <c r="E71" s="10" t="s">
        <v>21</v>
      </c>
      <c r="F71" s="10" t="s">
        <v>4</v>
      </c>
      <c r="G71" s="10">
        <v>6</v>
      </c>
      <c r="H71" s="10">
        <v>20</v>
      </c>
      <c r="I71" s="10" t="s">
        <v>238</v>
      </c>
      <c r="J71" s="10" t="s">
        <v>273</v>
      </c>
      <c r="K71" s="10" t="s">
        <v>245</v>
      </c>
      <c r="L71" s="10" t="str">
        <f t="shared" si="10"/>
        <v>Ba Tri</v>
      </c>
      <c r="M71" s="10" t="str">
        <f>IFERROR(VLOOKUP(L71,'List+TK'!$I$3:$J$9,2,0),"-")</f>
        <v>83/01</v>
      </c>
      <c r="N71" s="10">
        <v>1</v>
      </c>
      <c r="O71" s="10" t="str">
        <f t="shared" si="11"/>
        <v>Tôm sú thương phẩm</v>
      </c>
      <c r="P71" s="10" t="str">
        <f t="shared" si="12"/>
        <v>83/0623/01</v>
      </c>
      <c r="Q71" s="10" t="str">
        <f t="shared" si="13"/>
        <v>Ba Tri 83/01</v>
      </c>
      <c r="R71" s="10" t="str">
        <f t="shared" si="14"/>
        <v>Nguyễn Văn Phong - Ấp 7, Xã An Thủy</v>
      </c>
      <c r="S71" s="10">
        <f t="shared" si="15"/>
        <v>1</v>
      </c>
      <c r="T71" s="10" t="str">
        <f>IFERROR(VLOOKUP(J71,'List+TK'!$D$3:$E$1000,2,0),"-")</f>
        <v>Chloramphenicol</v>
      </c>
      <c r="U71" s="10" t="str">
        <f t="shared" si="16"/>
        <v>20/06/2023</v>
      </c>
      <c r="V71" s="10" t="str">
        <f>IFERROR(VLOOKUP(K71,'List+TK'!$G$3:$H$16,2,0),"-")</f>
        <v>Phạm Minh Thuận</v>
      </c>
      <c r="W71" s="10" t="str">
        <f t="shared" si="17"/>
        <v>Ao 1</v>
      </c>
      <c r="X71" s="4"/>
    </row>
    <row r="72" spans="1:24" ht="33" x14ac:dyDescent="0.25">
      <c r="A72" s="5">
        <f>_xlfn.AGGREGATE(3,3,$I$4:I72)</f>
        <v>69</v>
      </c>
      <c r="B72" s="72">
        <v>2</v>
      </c>
      <c r="C72" s="26" t="s">
        <v>442</v>
      </c>
      <c r="D72" s="10" t="s">
        <v>254</v>
      </c>
      <c r="E72" s="10" t="s">
        <v>21</v>
      </c>
      <c r="F72" s="10" t="s">
        <v>4</v>
      </c>
      <c r="G72" s="10">
        <v>6</v>
      </c>
      <c r="H72" s="10">
        <v>20</v>
      </c>
      <c r="I72" s="10" t="s">
        <v>241</v>
      </c>
      <c r="J72" s="10" t="s">
        <v>278</v>
      </c>
      <c r="K72" s="10" t="s">
        <v>245</v>
      </c>
      <c r="L72" s="10" t="str">
        <f t="shared" si="10"/>
        <v>Ba Tri</v>
      </c>
      <c r="M72" s="10" t="str">
        <f>IFERROR(VLOOKUP(L72,'List+TK'!$I$3:$J$9,2,0),"-")</f>
        <v>83/01</v>
      </c>
      <c r="N72" s="10">
        <v>2</v>
      </c>
      <c r="O72" s="10" t="str">
        <f t="shared" si="11"/>
        <v>Tôm chân trắng thương phẩm</v>
      </c>
      <c r="P72" s="10" t="str">
        <f t="shared" si="12"/>
        <v>83/0623/02</v>
      </c>
      <c r="Q72" s="10" t="str">
        <f t="shared" si="13"/>
        <v>Ba Tri 83/01</v>
      </c>
      <c r="R72" s="10" t="str">
        <f t="shared" si="14"/>
        <v>Nguyễn Văn Phong - Ấp 7, Xã An Thủy</v>
      </c>
      <c r="S72" s="10">
        <f t="shared" si="15"/>
        <v>1</v>
      </c>
      <c r="T72" s="10" t="str">
        <f>IFERROR(VLOOKUP(J72,'List+TK'!$D$3:$E$1000,2,0),"-")</f>
        <v>Nhóm Quinolones</v>
      </c>
      <c r="U72" s="10" t="str">
        <f t="shared" si="16"/>
        <v>20/06/2023</v>
      </c>
      <c r="V72" s="10" t="str">
        <f>IFERROR(VLOOKUP(K72,'List+TK'!$G$3:$H$16,2,0),"-")</f>
        <v>Phạm Minh Thuận</v>
      </c>
      <c r="W72" s="10" t="str">
        <f t="shared" si="17"/>
        <v>Ao 2</v>
      </c>
      <c r="X72" s="4"/>
    </row>
    <row r="73" spans="1:24" ht="49.5" x14ac:dyDescent="0.25">
      <c r="A73" s="5">
        <f>_xlfn.AGGREGATE(3,3,$I$4:I73)</f>
        <v>70</v>
      </c>
      <c r="B73" s="72">
        <v>3</v>
      </c>
      <c r="C73" s="26" t="s">
        <v>270</v>
      </c>
      <c r="D73" s="10" t="s">
        <v>506</v>
      </c>
      <c r="E73" s="10" t="s">
        <v>50</v>
      </c>
      <c r="F73" s="10" t="s">
        <v>5</v>
      </c>
      <c r="G73" s="10">
        <v>6</v>
      </c>
      <c r="H73" s="10">
        <v>20</v>
      </c>
      <c r="I73" s="10" t="s">
        <v>238</v>
      </c>
      <c r="J73" s="10" t="s">
        <v>282</v>
      </c>
      <c r="K73" s="10" t="s">
        <v>244</v>
      </c>
      <c r="L73" s="10" t="str">
        <f t="shared" si="10"/>
        <v>Bình Đại</v>
      </c>
      <c r="M73" s="10" t="str">
        <f>IFERROR(VLOOKUP(L73,'List+TK'!$I$3:$J$9,2,0),"-")</f>
        <v>83/02</v>
      </c>
      <c r="N73" s="10">
        <v>1</v>
      </c>
      <c r="O73" s="10" t="str">
        <f t="shared" si="11"/>
        <v>Tôm sú thương phẩm</v>
      </c>
      <c r="P73" s="10" t="str">
        <f t="shared" si="12"/>
        <v>83/0623/03</v>
      </c>
      <c r="Q73" s="10" t="str">
        <f t="shared" si="13"/>
        <v>Bình Đại 83/02</v>
      </c>
      <c r="R73" s="10" t="str">
        <f t="shared" si="14"/>
        <v>Lê Minh Khách - Ấp Phước Hòa, Xã Thạnh Phước</v>
      </c>
      <c r="S73" s="10">
        <f t="shared" si="15"/>
        <v>1</v>
      </c>
      <c r="T73" s="10" t="str">
        <f>IFERROR(VLOOKUP(J73,'List+TK'!$D$3:$E$1000,2,0),"-")</f>
        <v>Fosfomycin</v>
      </c>
      <c r="U73" s="10" t="str">
        <f t="shared" si="16"/>
        <v>20/06/2023</v>
      </c>
      <c r="V73" s="10" t="str">
        <f>IFERROR(VLOOKUP(K73,'List+TK'!$G$3:$H$16,2,0),"-")</f>
        <v>Cao Quang Nguyên</v>
      </c>
      <c r="W73" s="10" t="str">
        <f t="shared" si="17"/>
        <v>Ao 1</v>
      </c>
      <c r="X73" s="4"/>
    </row>
    <row r="74" spans="1:24" ht="49.5" x14ac:dyDescent="0.25">
      <c r="A74" s="5">
        <f>_xlfn.AGGREGATE(3,3,$I$4:I74)</f>
        <v>71</v>
      </c>
      <c r="B74" s="72">
        <v>4</v>
      </c>
      <c r="C74" s="26" t="s">
        <v>270</v>
      </c>
      <c r="D74" s="10" t="s">
        <v>506</v>
      </c>
      <c r="E74" s="10" t="s">
        <v>50</v>
      </c>
      <c r="F74" s="10" t="s">
        <v>5</v>
      </c>
      <c r="G74" s="10">
        <v>6</v>
      </c>
      <c r="H74" s="10">
        <v>20</v>
      </c>
      <c r="I74" s="10" t="s">
        <v>241</v>
      </c>
      <c r="J74" s="10" t="s">
        <v>276</v>
      </c>
      <c r="K74" s="10" t="s">
        <v>244</v>
      </c>
      <c r="L74" s="10" t="str">
        <f t="shared" si="10"/>
        <v>Bình Đại</v>
      </c>
      <c r="M74" s="10" t="str">
        <f>IFERROR(VLOOKUP(L74,'List+TK'!$I$3:$J$9,2,0),"-")</f>
        <v>83/02</v>
      </c>
      <c r="N74" s="10">
        <v>2</v>
      </c>
      <c r="O74" s="10" t="str">
        <f t="shared" si="11"/>
        <v>Tôm chân trắng thương phẩm</v>
      </c>
      <c r="P74" s="10" t="str">
        <f t="shared" si="12"/>
        <v>83/0623/04</v>
      </c>
      <c r="Q74" s="10" t="str">
        <f t="shared" si="13"/>
        <v>Bình Đại 83/02</v>
      </c>
      <c r="R74" s="10" t="str">
        <f t="shared" si="14"/>
        <v>Lê Minh Khách - Ấp Phước Hòa, Xã Thạnh Phước</v>
      </c>
      <c r="S74" s="10">
        <f t="shared" si="15"/>
        <v>1</v>
      </c>
      <c r="T74" s="10" t="str">
        <f>IFERROR(VLOOKUP(J74,'List+TK'!$D$3:$E$1000,2,0),"-")</f>
        <v>Nhóm Tetracyclines</v>
      </c>
      <c r="U74" s="10" t="str">
        <f t="shared" si="16"/>
        <v>20/06/2023</v>
      </c>
      <c r="V74" s="10" t="str">
        <f>IFERROR(VLOOKUP(K74,'List+TK'!$G$3:$H$16,2,0),"-")</f>
        <v>Cao Quang Nguyên</v>
      </c>
      <c r="W74" s="10" t="str">
        <f t="shared" si="17"/>
        <v>Ao 2</v>
      </c>
      <c r="X74" s="4"/>
    </row>
    <row r="75" spans="1:24" ht="33" x14ac:dyDescent="0.25">
      <c r="A75" s="5">
        <f>_xlfn.AGGREGATE(3,3,$I$4:I75)</f>
        <v>72</v>
      </c>
      <c r="B75" s="72">
        <v>5</v>
      </c>
      <c r="C75" s="26" t="s">
        <v>211</v>
      </c>
      <c r="D75" s="10" t="s">
        <v>260</v>
      </c>
      <c r="E75" s="10" t="s">
        <v>49</v>
      </c>
      <c r="F75" s="10" t="s">
        <v>5</v>
      </c>
      <c r="G75" s="10">
        <v>6</v>
      </c>
      <c r="H75" s="10">
        <v>20</v>
      </c>
      <c r="I75" s="10" t="s">
        <v>208</v>
      </c>
      <c r="J75" s="10" t="s">
        <v>275</v>
      </c>
      <c r="K75" s="10" t="s">
        <v>244</v>
      </c>
      <c r="L75" s="10" t="str">
        <f t="shared" si="10"/>
        <v>Bình Đại</v>
      </c>
      <c r="M75" s="10" t="str">
        <f>IFERROR(VLOOKUP(L75,'List+TK'!$I$3:$J$9,2,0),"-")</f>
        <v>83/02</v>
      </c>
      <c r="N75" s="10">
        <v>3</v>
      </c>
      <c r="O75" s="10" t="str">
        <f t="shared" si="11"/>
        <v>Cá tra thương phẩm</v>
      </c>
      <c r="P75" s="10" t="str">
        <f t="shared" si="12"/>
        <v>83/0623/05</v>
      </c>
      <c r="Q75" s="10" t="str">
        <f t="shared" si="13"/>
        <v>Bình Đại 83/02</v>
      </c>
      <c r="R75" s="10" t="str">
        <f t="shared" si="14"/>
        <v>Công ty CP Gò Đàng - Ấp 4, Xã Tam Hiệp</v>
      </c>
      <c r="S75" s="10">
        <f t="shared" si="15"/>
        <v>1.5</v>
      </c>
      <c r="T75" s="10" t="str">
        <f>IFERROR(VLOOKUP(J75,'List+TK'!$D$3:$E$1000,2,0),"-")</f>
        <v>-</v>
      </c>
      <c r="U75" s="10" t="str">
        <f t="shared" si="16"/>
        <v>20/06/2023</v>
      </c>
      <c r="V75" s="10" t="str">
        <f>IFERROR(VLOOKUP(K75,'List+TK'!$G$3:$H$16,2,0),"-")</f>
        <v>Cao Quang Nguyên</v>
      </c>
      <c r="W75" s="10" t="str">
        <f t="shared" si="17"/>
        <v>Ao 3</v>
      </c>
      <c r="X75" s="4"/>
    </row>
    <row r="76" spans="1:24" ht="33" x14ac:dyDescent="0.25">
      <c r="A76" s="5">
        <f>_xlfn.AGGREGATE(3,3,$I$4:I76)</f>
        <v>73</v>
      </c>
      <c r="B76" s="72">
        <v>6</v>
      </c>
      <c r="C76" s="26" t="s">
        <v>211</v>
      </c>
      <c r="D76" s="10" t="s">
        <v>260</v>
      </c>
      <c r="E76" s="10" t="s">
        <v>49</v>
      </c>
      <c r="F76" s="10" t="s">
        <v>5</v>
      </c>
      <c r="G76" s="10">
        <v>6</v>
      </c>
      <c r="H76" s="10">
        <v>20</v>
      </c>
      <c r="I76" s="10" t="s">
        <v>208</v>
      </c>
      <c r="J76" s="10" t="s">
        <v>279</v>
      </c>
      <c r="K76" s="10" t="s">
        <v>244</v>
      </c>
      <c r="L76" s="10" t="str">
        <f t="shared" si="10"/>
        <v>Bình Đại</v>
      </c>
      <c r="M76" s="10" t="str">
        <f>IFERROR(VLOOKUP(L76,'List+TK'!$I$3:$J$9,2,0),"-")</f>
        <v>83/02</v>
      </c>
      <c r="N76" s="10">
        <v>6</v>
      </c>
      <c r="O76" s="10" t="str">
        <f t="shared" si="11"/>
        <v>Cá tra thương phẩm</v>
      </c>
      <c r="P76" s="10" t="str">
        <f t="shared" si="12"/>
        <v>83/0623/06</v>
      </c>
      <c r="Q76" s="10" t="str">
        <f t="shared" si="13"/>
        <v>Bình Đại 83/02</v>
      </c>
      <c r="R76" s="10" t="str">
        <f t="shared" si="14"/>
        <v>Công ty CP Gò Đàng - Ấp 4, Xã Tam Hiệp</v>
      </c>
      <c r="S76" s="10">
        <f t="shared" si="15"/>
        <v>1.5</v>
      </c>
      <c r="T76" s="10" t="str">
        <f>IFERROR(VLOOKUP(J76,'List+TK'!$D$3:$E$1000,2,0),"-")</f>
        <v>Florfenicol</v>
      </c>
      <c r="U76" s="10" t="str">
        <f t="shared" si="16"/>
        <v>20/06/2023</v>
      </c>
      <c r="V76" s="10" t="str">
        <f>IFERROR(VLOOKUP(K76,'List+TK'!$G$3:$H$16,2,0),"-")</f>
        <v>Cao Quang Nguyên</v>
      </c>
      <c r="W76" s="10" t="str">
        <f t="shared" si="17"/>
        <v>Ao 6</v>
      </c>
      <c r="X76" s="4"/>
    </row>
    <row r="77" spans="1:24" ht="33" x14ac:dyDescent="0.25">
      <c r="A77" s="5">
        <f>_xlfn.AGGREGATE(3,3,$I$4:I77)</f>
        <v>74</v>
      </c>
      <c r="B77" s="72">
        <v>7</v>
      </c>
      <c r="C77" s="26" t="s">
        <v>264</v>
      </c>
      <c r="D77" s="10" t="s">
        <v>404</v>
      </c>
      <c r="E77" s="10" t="s">
        <v>142</v>
      </c>
      <c r="F77" s="10" t="s">
        <v>11</v>
      </c>
      <c r="G77" s="10">
        <v>6</v>
      </c>
      <c r="H77" s="10">
        <v>21</v>
      </c>
      <c r="I77" s="10" t="s">
        <v>238</v>
      </c>
      <c r="J77" s="10" t="s">
        <v>285</v>
      </c>
      <c r="K77" s="10" t="s">
        <v>244</v>
      </c>
      <c r="L77" s="10" t="str">
        <f t="shared" si="10"/>
        <v>Thạnh Phú</v>
      </c>
      <c r="M77" s="10" t="str">
        <f>IFERROR(VLOOKUP(L77,'List+TK'!$I$3:$J$9,2,0),"-")</f>
        <v>83/03</v>
      </c>
      <c r="N77" s="10">
        <v>1</v>
      </c>
      <c r="O77" s="10" t="str">
        <f t="shared" si="11"/>
        <v>Tôm sú thương phẩm</v>
      </c>
      <c r="P77" s="10" t="str">
        <f t="shared" si="12"/>
        <v>83/0623/07</v>
      </c>
      <c r="Q77" s="10" t="str">
        <f t="shared" si="13"/>
        <v>Thạnh Phú 83/03</v>
      </c>
      <c r="R77" s="10" t="str">
        <f t="shared" si="14"/>
        <v>Cao Văn Tùng - Ấp An Hòa, Xã An Nhơn</v>
      </c>
      <c r="S77" s="10">
        <f t="shared" si="15"/>
        <v>1</v>
      </c>
      <c r="T77" s="10" t="str">
        <f>IFERROR(VLOOKUP(J77,'List+TK'!$D$3:$E$1000,2,0),"-")</f>
        <v>Amoxicillin</v>
      </c>
      <c r="U77" s="10" t="str">
        <f t="shared" si="16"/>
        <v>21/06/2023</v>
      </c>
      <c r="V77" s="10" t="str">
        <f>IFERROR(VLOOKUP(K77,'List+TK'!$G$3:$H$16,2,0),"-")</f>
        <v>Cao Quang Nguyên</v>
      </c>
      <c r="W77" s="10" t="str">
        <f t="shared" si="17"/>
        <v>Ao 1</v>
      </c>
      <c r="X77" s="4"/>
    </row>
    <row r="78" spans="1:24" ht="33" x14ac:dyDescent="0.25">
      <c r="A78" s="5">
        <f>_xlfn.AGGREGATE(3,3,$I$4:I78)</f>
        <v>75</v>
      </c>
      <c r="B78" s="72">
        <v>8</v>
      </c>
      <c r="C78" s="26" t="s">
        <v>264</v>
      </c>
      <c r="D78" s="10" t="s">
        <v>404</v>
      </c>
      <c r="E78" s="10" t="s">
        <v>142</v>
      </c>
      <c r="F78" s="10" t="s">
        <v>11</v>
      </c>
      <c r="G78" s="10">
        <v>6</v>
      </c>
      <c r="H78" s="10">
        <v>21</v>
      </c>
      <c r="I78" s="10" t="s">
        <v>238</v>
      </c>
      <c r="J78" s="10" t="s">
        <v>287</v>
      </c>
      <c r="K78" s="10" t="s">
        <v>244</v>
      </c>
      <c r="L78" s="10" t="str">
        <f t="shared" si="10"/>
        <v>Thạnh Phú</v>
      </c>
      <c r="M78" s="10" t="str">
        <f>IFERROR(VLOOKUP(L78,'List+TK'!$I$3:$J$9,2,0),"-")</f>
        <v>83/03</v>
      </c>
      <c r="N78" s="10">
        <v>2</v>
      </c>
      <c r="O78" s="10" t="str">
        <f t="shared" si="11"/>
        <v>Tôm sú thương phẩm</v>
      </c>
      <c r="P78" s="10" t="str">
        <f t="shared" si="12"/>
        <v>83/0623/08</v>
      </c>
      <c r="Q78" s="10" t="str">
        <f t="shared" si="13"/>
        <v>Thạnh Phú 83/03</v>
      </c>
      <c r="R78" s="10" t="str">
        <f t="shared" si="14"/>
        <v>Cao Văn Tùng - Ấp An Hòa, Xã An Nhơn</v>
      </c>
      <c r="S78" s="10">
        <f t="shared" si="15"/>
        <v>1</v>
      </c>
      <c r="T78" s="10" t="str">
        <f>IFERROR(VLOOKUP(J78,'List+TK'!$D$3:$E$1000,2,0),"-")</f>
        <v>Trifluralin</v>
      </c>
      <c r="U78" s="10" t="str">
        <f t="shared" si="16"/>
        <v>21/06/2023</v>
      </c>
      <c r="V78" s="10" t="str">
        <f>IFERROR(VLOOKUP(K78,'List+TK'!$G$3:$H$16,2,0),"-")</f>
        <v>Cao Quang Nguyên</v>
      </c>
      <c r="W78" s="10" t="str">
        <f t="shared" si="17"/>
        <v>Ao 2</v>
      </c>
      <c r="X78" s="4"/>
    </row>
    <row r="79" spans="1:24" ht="49.5" x14ac:dyDescent="0.25">
      <c r="A79" s="5">
        <f>_xlfn.AGGREGATE(3,3,$I$4:I79)</f>
        <v>76</v>
      </c>
      <c r="B79" s="72">
        <v>9</v>
      </c>
      <c r="C79" s="26" t="s">
        <v>507</v>
      </c>
      <c r="D79" s="10" t="s">
        <v>509</v>
      </c>
      <c r="E79" s="10" t="s">
        <v>147</v>
      </c>
      <c r="F79" s="10" t="s">
        <v>11</v>
      </c>
      <c r="G79" s="10">
        <v>6</v>
      </c>
      <c r="H79" s="10">
        <v>21</v>
      </c>
      <c r="I79" s="10" t="s">
        <v>239</v>
      </c>
      <c r="J79" s="10" t="s">
        <v>294</v>
      </c>
      <c r="K79" s="10" t="s">
        <v>244</v>
      </c>
      <c r="L79" s="10" t="str">
        <f t="shared" si="10"/>
        <v>Thạnh Phú</v>
      </c>
      <c r="M79" s="10" t="str">
        <f>IFERROR(VLOOKUP(L79,'List+TK'!$I$3:$J$9,2,0),"-")</f>
        <v>83/03</v>
      </c>
      <c r="N79" s="10"/>
      <c r="O79" s="10" t="str">
        <f t="shared" si="11"/>
        <v>Tôm sú quảng canh</v>
      </c>
      <c r="P79" s="10" t="str">
        <f t="shared" si="12"/>
        <v>83/0623/09</v>
      </c>
      <c r="Q79" s="10" t="str">
        <f t="shared" si="13"/>
        <v>Thạnh Phú 83/03</v>
      </c>
      <c r="R79" s="10" t="str">
        <f t="shared" si="14"/>
        <v>Lê Thị Kiều Oanh - Ấp Giao Hòa B, Xã Giao Thạnh</v>
      </c>
      <c r="S79" s="10">
        <f t="shared" si="15"/>
        <v>1</v>
      </c>
      <c r="T79" s="10" t="str">
        <f>IFERROR(VLOOKUP(J79,'List+TK'!$D$3:$E$1000,2,0),"-")</f>
        <v>-</v>
      </c>
      <c r="U79" s="10" t="str">
        <f t="shared" si="16"/>
        <v>21/06/2023</v>
      </c>
      <c r="V79" s="10" t="str">
        <f>IFERROR(VLOOKUP(K79,'List+TK'!$G$3:$H$16,2,0),"-")</f>
        <v>Cao Quang Nguyên</v>
      </c>
      <c r="W79" s="10" t="str">
        <f t="shared" si="17"/>
        <v/>
      </c>
      <c r="X79" s="4"/>
    </row>
    <row r="80" spans="1:24" ht="33" x14ac:dyDescent="0.25">
      <c r="A80" s="5">
        <f>_xlfn.AGGREGATE(3,3,$I$4:I80)</f>
        <v>77</v>
      </c>
      <c r="B80" s="72">
        <v>10</v>
      </c>
      <c r="C80" s="26" t="s">
        <v>264</v>
      </c>
      <c r="D80" s="10" t="s">
        <v>404</v>
      </c>
      <c r="E80" s="10" t="s">
        <v>142</v>
      </c>
      <c r="F80" s="10" t="s">
        <v>11</v>
      </c>
      <c r="G80" s="10">
        <v>6</v>
      </c>
      <c r="H80" s="10">
        <v>21</v>
      </c>
      <c r="I80" s="10" t="s">
        <v>241</v>
      </c>
      <c r="J80" s="10" t="s">
        <v>278</v>
      </c>
      <c r="K80" s="10" t="s">
        <v>244</v>
      </c>
      <c r="L80" s="10" t="str">
        <f t="shared" si="10"/>
        <v>Thạnh Phú</v>
      </c>
      <c r="M80" s="10" t="str">
        <f>IFERROR(VLOOKUP(L80,'List+TK'!$I$3:$J$9,2,0),"-")</f>
        <v>83/03</v>
      </c>
      <c r="N80" s="10">
        <v>3</v>
      </c>
      <c r="O80" s="10" t="str">
        <f t="shared" si="11"/>
        <v>Tôm chân trắng thương phẩm</v>
      </c>
      <c r="P80" s="10" t="str">
        <f t="shared" si="12"/>
        <v>83/0623/10</v>
      </c>
      <c r="Q80" s="10" t="str">
        <f t="shared" si="13"/>
        <v>Thạnh Phú 83/03</v>
      </c>
      <c r="R80" s="10" t="str">
        <f t="shared" si="14"/>
        <v>Cao Văn Tùng - Ấp An Hòa, Xã An Nhơn</v>
      </c>
      <c r="S80" s="10">
        <f t="shared" si="15"/>
        <v>1</v>
      </c>
      <c r="T80" s="10" t="str">
        <f>IFERROR(VLOOKUP(J80,'List+TK'!$D$3:$E$1000,2,0),"-")</f>
        <v>Nhóm Quinolones</v>
      </c>
      <c r="U80" s="10" t="str">
        <f t="shared" si="16"/>
        <v>21/06/2023</v>
      </c>
      <c r="V80" s="10" t="str">
        <f>IFERROR(VLOOKUP(K80,'List+TK'!$G$3:$H$16,2,0),"-")</f>
        <v>Cao Quang Nguyên</v>
      </c>
      <c r="W80" s="10" t="str">
        <f t="shared" si="17"/>
        <v>Ao 3</v>
      </c>
      <c r="X80" s="4"/>
    </row>
    <row r="81" spans="1:24" ht="49.5" x14ac:dyDescent="0.25">
      <c r="A81" s="5">
        <f>_xlfn.AGGREGATE(3,3,$I$4:I81)</f>
        <v>78</v>
      </c>
      <c r="B81" s="72">
        <v>11</v>
      </c>
      <c r="C81" s="26" t="s">
        <v>211</v>
      </c>
      <c r="D81" s="10" t="s">
        <v>338</v>
      </c>
      <c r="E81" s="10" t="s">
        <v>138</v>
      </c>
      <c r="F81" s="10" t="s">
        <v>10</v>
      </c>
      <c r="G81" s="10">
        <v>6</v>
      </c>
      <c r="H81" s="10">
        <v>21</v>
      </c>
      <c r="I81" s="10" t="s">
        <v>208</v>
      </c>
      <c r="J81" s="10" t="s">
        <v>276</v>
      </c>
      <c r="K81" s="10" t="s">
        <v>245</v>
      </c>
      <c r="L81" s="10" t="str">
        <f t="shared" si="10"/>
        <v>Mỏ Cày</v>
      </c>
      <c r="M81" s="10" t="str">
        <f>IFERROR(VLOOKUP(L81,'List+TK'!$I$3:$J$9,2,0),"-")</f>
        <v>83/04</v>
      </c>
      <c r="N81" s="10">
        <v>13</v>
      </c>
      <c r="O81" s="10" t="str">
        <f t="shared" si="11"/>
        <v>Cá tra thương phẩm</v>
      </c>
      <c r="P81" s="10" t="str">
        <f t="shared" si="12"/>
        <v>83/0623/11</v>
      </c>
      <c r="Q81" s="10" t="str">
        <f t="shared" si="13"/>
        <v>Mỏ Cày 83/04</v>
      </c>
      <c r="R81" s="10" t="str">
        <f t="shared" si="14"/>
        <v>Công ty CP Gò Đàng - Ấp Tân Phong, Xã Thành Thới A</v>
      </c>
      <c r="S81" s="10">
        <f t="shared" si="15"/>
        <v>1.5</v>
      </c>
      <c r="T81" s="10" t="str">
        <f>IFERROR(VLOOKUP(J81,'List+TK'!$D$3:$E$1000,2,0),"-")</f>
        <v>Nhóm Tetracyclines</v>
      </c>
      <c r="U81" s="10" t="str">
        <f t="shared" si="16"/>
        <v>21/06/2023</v>
      </c>
      <c r="V81" s="10" t="str">
        <f>IFERROR(VLOOKUP(K81,'List+TK'!$G$3:$H$16,2,0),"-")</f>
        <v>Phạm Minh Thuận</v>
      </c>
      <c r="W81" s="10" t="str">
        <f t="shared" si="17"/>
        <v>Ao 13</v>
      </c>
      <c r="X81" s="4"/>
    </row>
    <row r="82" spans="1:24" ht="49.5" x14ac:dyDescent="0.25">
      <c r="A82" s="5">
        <f>_xlfn.AGGREGATE(3,3,$I$4:I82)</f>
        <v>79</v>
      </c>
      <c r="B82" s="72">
        <v>12</v>
      </c>
      <c r="C82" s="26" t="s">
        <v>211</v>
      </c>
      <c r="D82" s="10" t="s">
        <v>338</v>
      </c>
      <c r="E82" s="10" t="s">
        <v>138</v>
      </c>
      <c r="F82" s="10" t="s">
        <v>10</v>
      </c>
      <c r="G82" s="10">
        <v>6</v>
      </c>
      <c r="H82" s="10">
        <v>21</v>
      </c>
      <c r="I82" s="10" t="s">
        <v>208</v>
      </c>
      <c r="J82" s="10" t="s">
        <v>277</v>
      </c>
      <c r="K82" s="10" t="s">
        <v>245</v>
      </c>
      <c r="L82" s="10" t="str">
        <f t="shared" si="10"/>
        <v>Mỏ Cày</v>
      </c>
      <c r="M82" s="10" t="str">
        <f>IFERROR(VLOOKUP(L82,'List+TK'!$I$3:$J$9,2,0),"-")</f>
        <v>83/04</v>
      </c>
      <c r="N82" s="10">
        <v>6</v>
      </c>
      <c r="O82" s="10" t="str">
        <f t="shared" si="11"/>
        <v>Cá tra thương phẩm</v>
      </c>
      <c r="P82" s="10" t="str">
        <f t="shared" si="12"/>
        <v>83/0623/12</v>
      </c>
      <c r="Q82" s="10" t="str">
        <f t="shared" si="13"/>
        <v>Mỏ Cày 83/04</v>
      </c>
      <c r="R82" s="10" t="str">
        <f t="shared" si="14"/>
        <v>Công ty CP Gò Đàng - Ấp Tân Phong, Xã Thành Thới A</v>
      </c>
      <c r="S82" s="10">
        <f t="shared" si="15"/>
        <v>1.5</v>
      </c>
      <c r="T82" s="10" t="str">
        <f>IFERROR(VLOOKUP(J82,'List+TK'!$D$3:$E$1000,2,0),"-")</f>
        <v>Nhóm Sulfonamides</v>
      </c>
      <c r="U82" s="10" t="str">
        <f t="shared" si="16"/>
        <v>21/06/2023</v>
      </c>
      <c r="V82" s="10" t="str">
        <f>IFERROR(VLOOKUP(K82,'List+TK'!$G$3:$H$16,2,0),"-")</f>
        <v>Phạm Minh Thuận</v>
      </c>
      <c r="W82" s="10" t="str">
        <f t="shared" si="17"/>
        <v>Ao 6</v>
      </c>
      <c r="X82" s="4"/>
    </row>
    <row r="83" spans="1:24" ht="66" x14ac:dyDescent="0.25">
      <c r="A83" s="5">
        <f>_xlfn.AGGREGATE(3,3,$I$4:I83)</f>
        <v>80</v>
      </c>
      <c r="B83" s="72">
        <v>13</v>
      </c>
      <c r="C83" s="26" t="s">
        <v>232</v>
      </c>
      <c r="D83" s="10" t="s">
        <v>331</v>
      </c>
      <c r="E83" s="10" t="s">
        <v>76</v>
      </c>
      <c r="F83" s="10" t="s">
        <v>6</v>
      </c>
      <c r="G83" s="10">
        <v>6</v>
      </c>
      <c r="H83" s="10">
        <v>20</v>
      </c>
      <c r="I83" s="10" t="s">
        <v>208</v>
      </c>
      <c r="J83" s="10" t="s">
        <v>277</v>
      </c>
      <c r="K83" s="10" t="s">
        <v>249</v>
      </c>
      <c r="L83" s="10" t="str">
        <f t="shared" si="10"/>
        <v>Châu Thành</v>
      </c>
      <c r="M83" s="10" t="str">
        <f>IFERROR(VLOOKUP(L83,'List+TK'!$I$3:$J$9,2,0),"-")</f>
        <v>83/05</v>
      </c>
      <c r="N83" s="10">
        <v>2</v>
      </c>
      <c r="O83" s="10" t="str">
        <f t="shared" si="11"/>
        <v>Cá tra thương phẩm</v>
      </c>
      <c r="P83" s="10" t="str">
        <f t="shared" si="12"/>
        <v>83/0623/13</v>
      </c>
      <c r="Q83" s="10" t="str">
        <f t="shared" si="13"/>
        <v>Châu Thành 83/05</v>
      </c>
      <c r="R83" s="10" t="str">
        <f t="shared" si="14"/>
        <v>Công ty TNHH CBTPXK Vạn Đức Tiền Giang - Ấp Tiên Lợi, Xã Tiên Long</v>
      </c>
      <c r="S83" s="10">
        <f t="shared" si="15"/>
        <v>1.5</v>
      </c>
      <c r="T83" s="10" t="str">
        <f>IFERROR(VLOOKUP(J83,'List+TK'!$D$3:$E$1000,2,0),"-")</f>
        <v>Nhóm Sulfonamides</v>
      </c>
      <c r="U83" s="10" t="str">
        <f t="shared" si="16"/>
        <v>20/06/2023</v>
      </c>
      <c r="V83" s="10" t="str">
        <f>IFERROR(VLOOKUP(K83,'List+TK'!$G$3:$H$16,2,0),"-")</f>
        <v>Phạm Văn Lâm</v>
      </c>
      <c r="W83" s="10" t="str">
        <f t="shared" si="17"/>
        <v>Ao 2</v>
      </c>
      <c r="X83" s="4"/>
    </row>
    <row r="84" spans="1:24" ht="66" x14ac:dyDescent="0.25">
      <c r="A84" s="5">
        <f>_xlfn.AGGREGATE(3,3,$I$4:I84)</f>
        <v>81</v>
      </c>
      <c r="B84" s="72">
        <v>14</v>
      </c>
      <c r="C84" s="26" t="s">
        <v>232</v>
      </c>
      <c r="D84" s="10" t="s">
        <v>331</v>
      </c>
      <c r="E84" s="10" t="s">
        <v>76</v>
      </c>
      <c r="F84" s="10" t="s">
        <v>6</v>
      </c>
      <c r="G84" s="10">
        <v>6</v>
      </c>
      <c r="H84" s="10">
        <v>20</v>
      </c>
      <c r="I84" s="10" t="s">
        <v>208</v>
      </c>
      <c r="J84" s="10" t="s">
        <v>278</v>
      </c>
      <c r="K84" s="10" t="s">
        <v>249</v>
      </c>
      <c r="L84" s="10" t="str">
        <f t="shared" si="10"/>
        <v>Châu Thành</v>
      </c>
      <c r="M84" s="10" t="str">
        <f>IFERROR(VLOOKUP(L84,'List+TK'!$I$3:$J$9,2,0),"-")</f>
        <v>83/05</v>
      </c>
      <c r="N84" s="10">
        <v>5</v>
      </c>
      <c r="O84" s="10" t="str">
        <f t="shared" si="11"/>
        <v>Cá tra thương phẩm</v>
      </c>
      <c r="P84" s="10" t="str">
        <f t="shared" si="12"/>
        <v>83/0623/14</v>
      </c>
      <c r="Q84" s="10" t="str">
        <f t="shared" si="13"/>
        <v>Châu Thành 83/05</v>
      </c>
      <c r="R84" s="10" t="str">
        <f t="shared" si="14"/>
        <v>Công ty TNHH CBTPXK Vạn Đức Tiền Giang - Ấp Tiên Lợi, Xã Tiên Long</v>
      </c>
      <c r="S84" s="10">
        <f t="shared" si="15"/>
        <v>1.5</v>
      </c>
      <c r="T84" s="10" t="str">
        <f>IFERROR(VLOOKUP(J84,'List+TK'!$D$3:$E$1000,2,0),"-")</f>
        <v>Nhóm Quinolones</v>
      </c>
      <c r="U84" s="10" t="str">
        <f t="shared" si="16"/>
        <v>20/06/2023</v>
      </c>
      <c r="V84" s="10" t="str">
        <f>IFERROR(VLOOKUP(K84,'List+TK'!$G$3:$H$16,2,0),"-")</f>
        <v>Phạm Văn Lâm</v>
      </c>
      <c r="W84" s="10" t="str">
        <f t="shared" si="17"/>
        <v>Ao 5</v>
      </c>
      <c r="X84" s="4"/>
    </row>
    <row r="85" spans="1:24" ht="49.5" x14ac:dyDescent="0.25">
      <c r="A85" s="5">
        <f>_xlfn.AGGREGATE(3,3,$I$4:I85)</f>
        <v>82</v>
      </c>
      <c r="B85" s="72">
        <v>15</v>
      </c>
      <c r="C85" s="26" t="s">
        <v>211</v>
      </c>
      <c r="D85" s="10" t="s">
        <v>302</v>
      </c>
      <c r="E85" s="10" t="s">
        <v>96</v>
      </c>
      <c r="F85" s="10" t="s">
        <v>8</v>
      </c>
      <c r="G85" s="10">
        <v>6</v>
      </c>
      <c r="H85" s="10">
        <v>22</v>
      </c>
      <c r="I85" s="10" t="s">
        <v>208</v>
      </c>
      <c r="J85" s="10" t="s">
        <v>280</v>
      </c>
      <c r="K85" s="10" t="s">
        <v>245</v>
      </c>
      <c r="L85" s="10" t="str">
        <f t="shared" si="10"/>
        <v>Giồng Trôm</v>
      </c>
      <c r="M85" s="10" t="str">
        <f>IFERROR(VLOOKUP(L85,'List+TK'!$I$3:$J$9,2,0),"-")</f>
        <v>83/06</v>
      </c>
      <c r="N85" s="10" t="s">
        <v>520</v>
      </c>
      <c r="O85" s="10" t="str">
        <f t="shared" si="11"/>
        <v>Cá tra thương phẩm</v>
      </c>
      <c r="P85" s="10" t="str">
        <f t="shared" si="12"/>
        <v>83/0623/15</v>
      </c>
      <c r="Q85" s="10" t="str">
        <f t="shared" si="13"/>
        <v>Giồng Trôm 83/06</v>
      </c>
      <c r="R85" s="10" t="str">
        <f t="shared" si="14"/>
        <v>Công ty CP Gò Đàng - Ấp 1, Xã Hưng Phong</v>
      </c>
      <c r="S85" s="10">
        <f t="shared" si="15"/>
        <v>1.5</v>
      </c>
      <c r="T85" s="10" t="str">
        <f>IFERROR(VLOOKUP(J85,'List+TK'!$D$3:$E$1000,2,0),"-")</f>
        <v>Trimethoprim</v>
      </c>
      <c r="U85" s="10" t="str">
        <f t="shared" si="16"/>
        <v>22/06/2023</v>
      </c>
      <c r="V85" s="10" t="str">
        <f>IFERROR(VLOOKUP(K85,'List+TK'!$G$3:$H$16,2,0),"-")</f>
        <v>Phạm Minh Thuận</v>
      </c>
      <c r="W85" s="10" t="str">
        <f t="shared" si="17"/>
        <v>Ao B3</v>
      </c>
      <c r="X85" s="4"/>
    </row>
    <row r="86" spans="1:24" ht="49.5" x14ac:dyDescent="0.25">
      <c r="A86" s="5">
        <f>_xlfn.AGGREGATE(3,3,$I$4:I86)</f>
        <v>83</v>
      </c>
      <c r="B86" s="72">
        <v>16</v>
      </c>
      <c r="C86" s="26" t="s">
        <v>211</v>
      </c>
      <c r="D86" s="10" t="s">
        <v>302</v>
      </c>
      <c r="E86" s="10" t="s">
        <v>96</v>
      </c>
      <c r="F86" s="10" t="s">
        <v>8</v>
      </c>
      <c r="G86" s="10">
        <v>6</v>
      </c>
      <c r="H86" s="10">
        <v>22</v>
      </c>
      <c r="I86" s="10" t="s">
        <v>208</v>
      </c>
      <c r="J86" s="10" t="s">
        <v>281</v>
      </c>
      <c r="K86" s="10" t="s">
        <v>245</v>
      </c>
      <c r="L86" s="10" t="str">
        <f t="shared" si="10"/>
        <v>Giồng Trôm</v>
      </c>
      <c r="M86" s="10" t="str">
        <f>IFERROR(VLOOKUP(L86,'List+TK'!$I$3:$J$9,2,0),"-")</f>
        <v>83/06</v>
      </c>
      <c r="N86" s="10" t="s">
        <v>521</v>
      </c>
      <c r="O86" s="10" t="str">
        <f t="shared" si="11"/>
        <v>Cá tra thương phẩm</v>
      </c>
      <c r="P86" s="10" t="str">
        <f t="shared" si="12"/>
        <v>83/0623/16</v>
      </c>
      <c r="Q86" s="10" t="str">
        <f t="shared" si="13"/>
        <v>Giồng Trôm 83/06</v>
      </c>
      <c r="R86" s="10" t="str">
        <f t="shared" si="14"/>
        <v>Công ty CP Gò Đàng - Ấp 1, Xã Hưng Phong</v>
      </c>
      <c r="S86" s="10">
        <f t="shared" si="15"/>
        <v>1.5</v>
      </c>
      <c r="T86" s="10" t="str">
        <f>IFERROR(VLOOKUP(J86,'List+TK'!$D$3:$E$1000,2,0),"-")</f>
        <v>Ormetoprim</v>
      </c>
      <c r="U86" s="10" t="str">
        <f t="shared" si="16"/>
        <v>22/06/2023</v>
      </c>
      <c r="V86" s="10" t="str">
        <f>IFERROR(VLOOKUP(K86,'List+TK'!$G$3:$H$16,2,0),"-")</f>
        <v>Phạm Minh Thuận</v>
      </c>
      <c r="W86" s="10" t="str">
        <f t="shared" si="17"/>
        <v>Ao B5</v>
      </c>
      <c r="X86" s="4"/>
    </row>
    <row r="87" spans="1:24" ht="49.5" x14ac:dyDescent="0.25">
      <c r="A87" s="5">
        <f>_xlfn.AGGREGATE(3,3,$I$4:I87)</f>
        <v>84</v>
      </c>
      <c r="B87" s="72">
        <v>17</v>
      </c>
      <c r="C87" s="26" t="s">
        <v>231</v>
      </c>
      <c r="D87" s="10" t="s">
        <v>511</v>
      </c>
      <c r="E87" s="10" t="s">
        <v>86</v>
      </c>
      <c r="F87" s="10" t="s">
        <v>7</v>
      </c>
      <c r="G87" s="10">
        <v>6</v>
      </c>
      <c r="H87" s="10">
        <v>21</v>
      </c>
      <c r="I87" s="10" t="s">
        <v>208</v>
      </c>
      <c r="J87" s="10" t="s">
        <v>276</v>
      </c>
      <c r="K87" s="10" t="s">
        <v>249</v>
      </c>
      <c r="L87" s="10" t="str">
        <f t="shared" si="10"/>
        <v>Chợ Lách</v>
      </c>
      <c r="M87" s="10" t="str">
        <f>IFERROR(VLOOKUP(L87,'List+TK'!$I$3:$J$9,2,0),"-")</f>
        <v>83/07</v>
      </c>
      <c r="N87" s="10" t="s">
        <v>522</v>
      </c>
      <c r="O87" s="10" t="str">
        <f t="shared" si="11"/>
        <v>Cá tra thương phẩm</v>
      </c>
      <c r="P87" s="10" t="str">
        <f t="shared" si="12"/>
        <v>83/0623/17</v>
      </c>
      <c r="Q87" s="10" t="str">
        <f t="shared" si="13"/>
        <v>Chợ Lách 83/07</v>
      </c>
      <c r="R87" s="10" t="str">
        <f t="shared" si="14"/>
        <v>Công ty CP Thủy sản Vinh Quang - Ấp Quân Bình, Xã Tân Thiềng</v>
      </c>
      <c r="S87" s="10">
        <f t="shared" si="15"/>
        <v>1.5</v>
      </c>
      <c r="T87" s="10" t="str">
        <f>IFERROR(VLOOKUP(J87,'List+TK'!$D$3:$E$1000,2,0),"-")</f>
        <v>Nhóm Tetracyclines</v>
      </c>
      <c r="U87" s="10" t="str">
        <f t="shared" si="16"/>
        <v>21/06/2023</v>
      </c>
      <c r="V87" s="10" t="str">
        <f>IFERROR(VLOOKUP(K87,'List+TK'!$G$3:$H$16,2,0),"-")</f>
        <v>Phạm Văn Lâm</v>
      </c>
      <c r="W87" s="10" t="str">
        <f t="shared" si="17"/>
        <v>Ao 2B</v>
      </c>
      <c r="X87" s="4"/>
    </row>
    <row r="88" spans="1:24" ht="49.5" x14ac:dyDescent="0.25">
      <c r="A88" s="5">
        <f>_xlfn.AGGREGATE(3,3,$I$4:I88)</f>
        <v>85</v>
      </c>
      <c r="B88" s="72">
        <v>18</v>
      </c>
      <c r="C88" s="26" t="s">
        <v>231</v>
      </c>
      <c r="D88" s="10" t="s">
        <v>511</v>
      </c>
      <c r="E88" s="10" t="s">
        <v>86</v>
      </c>
      <c r="F88" s="10" t="s">
        <v>7</v>
      </c>
      <c r="G88" s="10">
        <v>6</v>
      </c>
      <c r="H88" s="10">
        <v>21</v>
      </c>
      <c r="I88" s="10" t="s">
        <v>208</v>
      </c>
      <c r="J88" s="10" t="s">
        <v>277</v>
      </c>
      <c r="K88" s="10" t="s">
        <v>249</v>
      </c>
      <c r="L88" s="10" t="str">
        <f t="shared" si="10"/>
        <v>Chợ Lách</v>
      </c>
      <c r="M88" s="10" t="str">
        <f>IFERROR(VLOOKUP(L88,'List+TK'!$I$3:$J$9,2,0),"-")</f>
        <v>83/07</v>
      </c>
      <c r="N88" s="10">
        <v>2</v>
      </c>
      <c r="O88" s="10" t="str">
        <f t="shared" si="11"/>
        <v>Cá tra thương phẩm</v>
      </c>
      <c r="P88" s="10" t="str">
        <f t="shared" si="12"/>
        <v>83/0623/18</v>
      </c>
      <c r="Q88" s="10" t="str">
        <f t="shared" si="13"/>
        <v>Chợ Lách 83/07</v>
      </c>
      <c r="R88" s="10" t="str">
        <f t="shared" si="14"/>
        <v>Công ty CP Thủy sản Vinh Quang - Ấp Quân Bình, Xã Tân Thiềng</v>
      </c>
      <c r="S88" s="10">
        <f t="shared" si="15"/>
        <v>1.5</v>
      </c>
      <c r="T88" s="10" t="str">
        <f>IFERROR(VLOOKUP(J88,'List+TK'!$D$3:$E$1000,2,0),"-")</f>
        <v>Nhóm Sulfonamides</v>
      </c>
      <c r="U88" s="10" t="str">
        <f t="shared" si="16"/>
        <v>21/06/2023</v>
      </c>
      <c r="V88" s="10" t="str">
        <f>IFERROR(VLOOKUP(K88,'List+TK'!$G$3:$H$16,2,0),"-")</f>
        <v>Phạm Văn Lâm</v>
      </c>
      <c r="W88" s="10" t="str">
        <f t="shared" si="17"/>
        <v>Ao 2</v>
      </c>
      <c r="X88" s="4"/>
    </row>
    <row r="89" spans="1:24" ht="49.5" x14ac:dyDescent="0.25">
      <c r="A89" s="5">
        <f>_xlfn.AGGREGATE(3,3,$I$4:I89)</f>
        <v>86</v>
      </c>
      <c r="B89" s="72">
        <v>19</v>
      </c>
      <c r="C89" s="26" t="s">
        <v>231</v>
      </c>
      <c r="D89" s="10" t="s">
        <v>511</v>
      </c>
      <c r="E89" s="10" t="s">
        <v>86</v>
      </c>
      <c r="F89" s="10" t="s">
        <v>7</v>
      </c>
      <c r="G89" s="10">
        <v>6</v>
      </c>
      <c r="H89" s="10">
        <v>21</v>
      </c>
      <c r="I89" s="10" t="s">
        <v>208</v>
      </c>
      <c r="J89" s="10" t="s">
        <v>281</v>
      </c>
      <c r="K89" s="10" t="s">
        <v>249</v>
      </c>
      <c r="L89" s="10" t="str">
        <f t="shared" si="10"/>
        <v>Chợ Lách</v>
      </c>
      <c r="M89" s="10" t="str">
        <f>IFERROR(VLOOKUP(L89,'List+TK'!$I$3:$J$9,2,0),"-")</f>
        <v>83/07</v>
      </c>
      <c r="N89" s="10">
        <v>5</v>
      </c>
      <c r="O89" s="10" t="str">
        <f t="shared" si="11"/>
        <v>Cá tra thương phẩm</v>
      </c>
      <c r="P89" s="10" t="str">
        <f t="shared" si="12"/>
        <v>83/0623/19</v>
      </c>
      <c r="Q89" s="10" t="str">
        <f t="shared" si="13"/>
        <v>Chợ Lách 83/07</v>
      </c>
      <c r="R89" s="10" t="str">
        <f t="shared" si="14"/>
        <v>Công ty CP Thủy sản Vinh Quang - Ấp Quân Bình, Xã Tân Thiềng</v>
      </c>
      <c r="S89" s="10">
        <f t="shared" si="15"/>
        <v>1.5</v>
      </c>
      <c r="T89" s="10" t="str">
        <f>IFERROR(VLOOKUP(J89,'List+TK'!$D$3:$E$1000,2,0),"-")</f>
        <v>Ormetoprim</v>
      </c>
      <c r="U89" s="10" t="str">
        <f t="shared" si="16"/>
        <v>21/06/2023</v>
      </c>
      <c r="V89" s="10" t="str">
        <f>IFERROR(VLOOKUP(K89,'List+TK'!$G$3:$H$16,2,0),"-")</f>
        <v>Phạm Văn Lâm</v>
      </c>
      <c r="W89" s="10" t="str">
        <f t="shared" si="17"/>
        <v>Ao 5</v>
      </c>
      <c r="X89" s="4"/>
    </row>
    <row r="90" spans="1:24" ht="66" x14ac:dyDescent="0.25">
      <c r="A90" s="5">
        <f>_xlfn.AGGREGATE(3,3,$I$4:I90)</f>
        <v>87</v>
      </c>
      <c r="B90" s="72">
        <v>20</v>
      </c>
      <c r="C90" s="26" t="s">
        <v>232</v>
      </c>
      <c r="D90" s="10" t="s">
        <v>510</v>
      </c>
      <c r="E90" s="10" t="s">
        <v>86</v>
      </c>
      <c r="F90" s="10" t="s">
        <v>7</v>
      </c>
      <c r="G90" s="10">
        <v>6</v>
      </c>
      <c r="H90" s="10">
        <v>21</v>
      </c>
      <c r="I90" s="10" t="s">
        <v>208</v>
      </c>
      <c r="J90" s="10" t="s">
        <v>282</v>
      </c>
      <c r="K90" s="10" t="s">
        <v>249</v>
      </c>
      <c r="L90" s="10" t="str">
        <f t="shared" si="10"/>
        <v>Chợ Lách</v>
      </c>
      <c r="M90" s="10" t="str">
        <f>IFERROR(VLOOKUP(L90,'List+TK'!$I$3:$J$9,2,0),"-")</f>
        <v>83/07</v>
      </c>
      <c r="N90" s="10">
        <v>11</v>
      </c>
      <c r="O90" s="10" t="str">
        <f t="shared" si="11"/>
        <v>Cá tra thương phẩm</v>
      </c>
      <c r="P90" s="10" t="str">
        <f t="shared" si="12"/>
        <v>83/0623/20</v>
      </c>
      <c r="Q90" s="10" t="str">
        <f t="shared" si="13"/>
        <v>Chợ Lách 83/07</v>
      </c>
      <c r="R90" s="10" t="str">
        <f t="shared" si="14"/>
        <v>Công ty TNHH CBTPXK Vạn Đức Tiền Giang - Ấp Thiện Lương, Xã Tân Thiềng</v>
      </c>
      <c r="S90" s="10">
        <f t="shared" si="15"/>
        <v>1.5</v>
      </c>
      <c r="T90" s="10" t="str">
        <f>IFERROR(VLOOKUP(J90,'List+TK'!$D$3:$E$1000,2,0),"-")</f>
        <v>Fosfomycin</v>
      </c>
      <c r="U90" s="10" t="str">
        <f t="shared" si="16"/>
        <v>21/06/2023</v>
      </c>
      <c r="V90" s="10" t="str">
        <f>IFERROR(VLOOKUP(K90,'List+TK'!$G$3:$H$16,2,0),"-")</f>
        <v>Phạm Văn Lâm</v>
      </c>
      <c r="W90" s="10" t="str">
        <f t="shared" si="17"/>
        <v>Ao 11</v>
      </c>
      <c r="X90" s="4"/>
    </row>
    <row r="91" spans="1:24" ht="33" x14ac:dyDescent="0.25">
      <c r="A91" s="5">
        <f>_xlfn.AGGREGATE(3,3,$I$4:I91)</f>
        <v>88</v>
      </c>
      <c r="B91" s="5">
        <v>1</v>
      </c>
      <c r="C91" s="26" t="s">
        <v>524</v>
      </c>
      <c r="D91" s="10" t="s">
        <v>254</v>
      </c>
      <c r="E91" s="10" t="s">
        <v>21</v>
      </c>
      <c r="F91" s="10" t="s">
        <v>4</v>
      </c>
      <c r="G91" s="45">
        <v>7</v>
      </c>
      <c r="H91" s="10">
        <v>11</v>
      </c>
      <c r="I91" s="10" t="s">
        <v>238</v>
      </c>
      <c r="J91" s="10" t="s">
        <v>283</v>
      </c>
      <c r="K91" s="10" t="s">
        <v>245</v>
      </c>
      <c r="L91" s="10" t="str">
        <f t="shared" si="10"/>
        <v>Ba Tri</v>
      </c>
      <c r="M91" s="10" t="str">
        <f>IFERROR(VLOOKUP(L91,'List+TK'!$I$3:$J$9,2,0),"-")</f>
        <v>83/01</v>
      </c>
      <c r="N91" s="10">
        <v>1</v>
      </c>
      <c r="O91" s="10" t="str">
        <f t="shared" si="11"/>
        <v>Tôm sú thương phẩm</v>
      </c>
      <c r="P91" s="10" t="str">
        <f t="shared" si="12"/>
        <v>83/0723/01</v>
      </c>
      <c r="Q91" s="10" t="str">
        <f t="shared" si="13"/>
        <v>Ba Tri 83/01</v>
      </c>
      <c r="R91" s="10" t="str">
        <f t="shared" si="14"/>
        <v>Nguyễn Văn Đấu - Ấp 7, Xã An Thủy</v>
      </c>
      <c r="S91" s="10">
        <f t="shared" si="15"/>
        <v>1</v>
      </c>
      <c r="T91" s="10" t="str">
        <f>IFERROR(VLOOKUP(J91,'List+TK'!$D$3:$E$1000,2,0),"-")</f>
        <v>Erythromycin</v>
      </c>
      <c r="U91" s="10" t="str">
        <f t="shared" si="16"/>
        <v>11/07/2023</v>
      </c>
      <c r="V91" s="10" t="str">
        <f>IFERROR(VLOOKUP(K91,'List+TK'!$G$3:$H$16,2,0),"-")</f>
        <v>Phạm Minh Thuận</v>
      </c>
      <c r="W91" s="10" t="str">
        <f t="shared" si="17"/>
        <v>Ao 1</v>
      </c>
      <c r="X91" s="4"/>
    </row>
    <row r="92" spans="1:24" ht="33" x14ac:dyDescent="0.25">
      <c r="A92" s="5">
        <f>_xlfn.AGGREGATE(3,3,$I$4:I92)</f>
        <v>89</v>
      </c>
      <c r="B92" s="5">
        <v>2</v>
      </c>
      <c r="C92" s="26" t="s">
        <v>524</v>
      </c>
      <c r="D92" s="10" t="s">
        <v>254</v>
      </c>
      <c r="E92" s="10" t="s">
        <v>21</v>
      </c>
      <c r="F92" s="10" t="s">
        <v>4</v>
      </c>
      <c r="G92" s="45">
        <v>7</v>
      </c>
      <c r="H92" s="10">
        <v>11</v>
      </c>
      <c r="I92" s="10" t="s">
        <v>241</v>
      </c>
      <c r="J92" s="10" t="s">
        <v>273</v>
      </c>
      <c r="K92" s="10" t="s">
        <v>245</v>
      </c>
      <c r="L92" s="10" t="str">
        <f t="shared" si="10"/>
        <v>Ba Tri</v>
      </c>
      <c r="M92" s="10" t="str">
        <f>IFERROR(VLOOKUP(L92,'List+TK'!$I$3:$J$9,2,0),"-")</f>
        <v>83/01</v>
      </c>
      <c r="N92" s="10">
        <v>2</v>
      </c>
      <c r="O92" s="10" t="str">
        <f t="shared" si="11"/>
        <v>Tôm chân trắng thương phẩm</v>
      </c>
      <c r="P92" s="10" t="str">
        <f t="shared" si="12"/>
        <v>83/0723/02</v>
      </c>
      <c r="Q92" s="10" t="str">
        <f t="shared" si="13"/>
        <v>Ba Tri 83/01</v>
      </c>
      <c r="R92" s="10" t="str">
        <f t="shared" si="14"/>
        <v>Nguyễn Văn Đấu - Ấp 7, Xã An Thủy</v>
      </c>
      <c r="S92" s="10">
        <f t="shared" si="15"/>
        <v>1</v>
      </c>
      <c r="T92" s="10" t="str">
        <f>IFERROR(VLOOKUP(J92,'List+TK'!$D$3:$E$1000,2,0),"-")</f>
        <v>Chloramphenicol</v>
      </c>
      <c r="U92" s="10" t="str">
        <f t="shared" si="16"/>
        <v>11/07/2023</v>
      </c>
      <c r="V92" s="10" t="str">
        <f>IFERROR(VLOOKUP(K92,'List+TK'!$G$3:$H$16,2,0),"-")</f>
        <v>Phạm Minh Thuận</v>
      </c>
      <c r="W92" s="10" t="str">
        <f t="shared" si="17"/>
        <v>Ao 2</v>
      </c>
      <c r="X92" s="4"/>
    </row>
    <row r="93" spans="1:24" ht="33" x14ac:dyDescent="0.25">
      <c r="A93" s="5">
        <f>_xlfn.AGGREGATE(3,3,$I$4:I93)</f>
        <v>90</v>
      </c>
      <c r="B93" s="5">
        <v>3</v>
      </c>
      <c r="C93" s="26" t="s">
        <v>211</v>
      </c>
      <c r="D93" s="10" t="s">
        <v>260</v>
      </c>
      <c r="E93" s="10" t="s">
        <v>34</v>
      </c>
      <c r="F93" s="10" t="s">
        <v>4</v>
      </c>
      <c r="G93" s="45">
        <v>7</v>
      </c>
      <c r="H93" s="10">
        <v>11</v>
      </c>
      <c r="I93" s="10" t="s">
        <v>208</v>
      </c>
      <c r="J93" s="10" t="s">
        <v>282</v>
      </c>
      <c r="K93" s="10" t="s">
        <v>245</v>
      </c>
      <c r="L93" s="10" t="str">
        <f t="shared" si="10"/>
        <v>Ba Tri</v>
      </c>
      <c r="M93" s="10" t="str">
        <f>IFERROR(VLOOKUP(L93,'List+TK'!$I$3:$J$9,2,0),"-")</f>
        <v>83/01</v>
      </c>
      <c r="N93" s="10" t="s">
        <v>272</v>
      </c>
      <c r="O93" s="10" t="str">
        <f t="shared" si="11"/>
        <v>Cá tra thương phẩm</v>
      </c>
      <c r="P93" s="10" t="str">
        <f t="shared" si="12"/>
        <v>83/0723/03</v>
      </c>
      <c r="Q93" s="10" t="str">
        <f t="shared" si="13"/>
        <v>Ba Tri 83/01</v>
      </c>
      <c r="R93" s="10" t="str">
        <f t="shared" si="14"/>
        <v>Công ty CP Gò Đàng - Ấp 4, Xã Tân Xuân</v>
      </c>
      <c r="S93" s="10">
        <f t="shared" si="15"/>
        <v>1.5</v>
      </c>
      <c r="T93" s="10" t="str">
        <f>IFERROR(VLOOKUP(J93,'List+TK'!$D$3:$E$1000,2,0),"-")</f>
        <v>Fosfomycin</v>
      </c>
      <c r="U93" s="10" t="str">
        <f t="shared" si="16"/>
        <v>11/07/2023</v>
      </c>
      <c r="V93" s="10" t="str">
        <f>IFERROR(VLOOKUP(K93,'List+TK'!$G$3:$H$16,2,0),"-")</f>
        <v>Phạm Minh Thuận</v>
      </c>
      <c r="W93" s="10" t="str">
        <f t="shared" si="17"/>
        <v>Ao A3</v>
      </c>
      <c r="X93" s="4"/>
    </row>
    <row r="94" spans="1:24" ht="49.5" x14ac:dyDescent="0.25">
      <c r="A94" s="5">
        <f>_xlfn.AGGREGATE(3,3,$I$4:I94)</f>
        <v>91</v>
      </c>
      <c r="B94" s="5">
        <v>4</v>
      </c>
      <c r="C94" s="26" t="s">
        <v>329</v>
      </c>
      <c r="D94" s="10" t="s">
        <v>525</v>
      </c>
      <c r="E94" s="10" t="s">
        <v>51</v>
      </c>
      <c r="F94" s="10" t="s">
        <v>5</v>
      </c>
      <c r="G94" s="45">
        <v>7</v>
      </c>
      <c r="H94" s="10">
        <v>12</v>
      </c>
      <c r="I94" s="10" t="s">
        <v>238</v>
      </c>
      <c r="J94" s="10" t="s">
        <v>294</v>
      </c>
      <c r="K94" s="10" t="s">
        <v>244</v>
      </c>
      <c r="L94" s="10" t="str">
        <f t="shared" si="10"/>
        <v>Bình Đại</v>
      </c>
      <c r="M94" s="10" t="str">
        <f>IFERROR(VLOOKUP(L94,'List+TK'!$I$3:$J$9,2,0),"-")</f>
        <v>83/02</v>
      </c>
      <c r="N94" s="10">
        <v>1</v>
      </c>
      <c r="O94" s="10" t="str">
        <f t="shared" si="11"/>
        <v>Tôm sú thương phẩm</v>
      </c>
      <c r="P94" s="10" t="str">
        <f t="shared" si="12"/>
        <v>83/0723/04</v>
      </c>
      <c r="Q94" s="10" t="str">
        <f t="shared" si="13"/>
        <v>Bình Đại 83/02</v>
      </c>
      <c r="R94" s="10" t="str">
        <f t="shared" si="14"/>
        <v>Nguyễn Văn Mười - Ấp Bình Thạnh 3, Xã Thạnh Trị</v>
      </c>
      <c r="S94" s="10">
        <f t="shared" si="15"/>
        <v>1</v>
      </c>
      <c r="T94" s="10" t="str">
        <f>IFERROR(VLOOKUP(J94,'List+TK'!$D$3:$E$1000,2,0),"-")</f>
        <v>-</v>
      </c>
      <c r="U94" s="10" t="str">
        <f t="shared" si="16"/>
        <v>12/07/2023</v>
      </c>
      <c r="V94" s="10" t="str">
        <f>IFERROR(VLOOKUP(K94,'List+TK'!$G$3:$H$16,2,0),"-")</f>
        <v>Cao Quang Nguyên</v>
      </c>
      <c r="W94" s="10" t="str">
        <f t="shared" si="17"/>
        <v>Ao 1</v>
      </c>
      <c r="X94" s="4"/>
    </row>
    <row r="95" spans="1:24" ht="49.5" x14ac:dyDescent="0.25">
      <c r="A95" s="5">
        <f>_xlfn.AGGREGATE(3,3,$I$4:I95)</f>
        <v>92</v>
      </c>
      <c r="B95" s="5">
        <v>5</v>
      </c>
      <c r="C95" s="26" t="s">
        <v>329</v>
      </c>
      <c r="D95" s="10" t="s">
        <v>525</v>
      </c>
      <c r="E95" s="10" t="s">
        <v>51</v>
      </c>
      <c r="F95" s="10" t="s">
        <v>5</v>
      </c>
      <c r="G95" s="45">
        <v>7</v>
      </c>
      <c r="H95" s="10">
        <v>12</v>
      </c>
      <c r="I95" s="10" t="s">
        <v>241</v>
      </c>
      <c r="J95" s="10" t="s">
        <v>277</v>
      </c>
      <c r="K95" s="10" t="s">
        <v>244</v>
      </c>
      <c r="L95" s="10" t="str">
        <f t="shared" si="10"/>
        <v>Bình Đại</v>
      </c>
      <c r="M95" s="10" t="str">
        <f>IFERROR(VLOOKUP(L95,'List+TK'!$I$3:$J$9,2,0),"-")</f>
        <v>83/02</v>
      </c>
      <c r="N95" s="10">
        <v>2</v>
      </c>
      <c r="O95" s="10" t="str">
        <f t="shared" si="11"/>
        <v>Tôm chân trắng thương phẩm</v>
      </c>
      <c r="P95" s="10" t="str">
        <f t="shared" si="12"/>
        <v>83/0723/05</v>
      </c>
      <c r="Q95" s="10" t="str">
        <f t="shared" si="13"/>
        <v>Bình Đại 83/02</v>
      </c>
      <c r="R95" s="10" t="str">
        <f t="shared" si="14"/>
        <v>Nguyễn Văn Mười - Ấp Bình Thạnh 3, Xã Thạnh Trị</v>
      </c>
      <c r="S95" s="10">
        <f t="shared" si="15"/>
        <v>1</v>
      </c>
      <c r="T95" s="10" t="str">
        <f>IFERROR(VLOOKUP(J95,'List+TK'!$D$3:$E$1000,2,0),"-")</f>
        <v>Nhóm Sulfonamides</v>
      </c>
      <c r="U95" s="10" t="str">
        <f t="shared" si="16"/>
        <v>12/07/2023</v>
      </c>
      <c r="V95" s="10" t="str">
        <f>IFERROR(VLOOKUP(K95,'List+TK'!$G$3:$H$16,2,0),"-")</f>
        <v>Cao Quang Nguyên</v>
      </c>
      <c r="W95" s="10" t="str">
        <f t="shared" si="17"/>
        <v>Ao 2</v>
      </c>
      <c r="X95" s="4"/>
    </row>
    <row r="96" spans="1:24" ht="66" x14ac:dyDescent="0.25">
      <c r="A96" s="5">
        <f>_xlfn.AGGREGATE(3,3,$I$4:I96)</f>
        <v>93</v>
      </c>
      <c r="B96" s="5">
        <v>6</v>
      </c>
      <c r="C96" s="26" t="s">
        <v>211</v>
      </c>
      <c r="D96" s="10" t="s">
        <v>416</v>
      </c>
      <c r="E96" s="10" t="s">
        <v>55</v>
      </c>
      <c r="F96" s="10" t="s">
        <v>5</v>
      </c>
      <c r="G96" s="45">
        <v>7</v>
      </c>
      <c r="H96" s="10">
        <v>12</v>
      </c>
      <c r="I96" s="10" t="s">
        <v>208</v>
      </c>
      <c r="J96" s="10" t="s">
        <v>276</v>
      </c>
      <c r="K96" s="10" t="s">
        <v>244</v>
      </c>
      <c r="L96" s="10" t="str">
        <f t="shared" si="10"/>
        <v>Bình Đại</v>
      </c>
      <c r="M96" s="10" t="str">
        <f>IFERROR(VLOOKUP(L96,'List+TK'!$I$3:$J$9,2,0),"-")</f>
        <v>83/02</v>
      </c>
      <c r="N96" s="10" t="s">
        <v>421</v>
      </c>
      <c r="O96" s="10" t="str">
        <f t="shared" si="11"/>
        <v>Cá tra thương phẩm</v>
      </c>
      <c r="P96" s="10" t="str">
        <f t="shared" si="12"/>
        <v>83/0723/06</v>
      </c>
      <c r="Q96" s="10" t="str">
        <f t="shared" si="13"/>
        <v>Bình Đại 83/02</v>
      </c>
      <c r="R96" s="10" t="str">
        <f t="shared" si="14"/>
        <v>Công ty CP Gò Đàng - Ấp Vinh Xương, Xã Vang Quới Đông</v>
      </c>
      <c r="S96" s="10">
        <f t="shared" si="15"/>
        <v>1.5</v>
      </c>
      <c r="T96" s="10" t="str">
        <f>IFERROR(VLOOKUP(J96,'List+TK'!$D$3:$E$1000,2,0),"-")</f>
        <v>Nhóm Tetracyclines</v>
      </c>
      <c r="U96" s="10" t="str">
        <f t="shared" si="16"/>
        <v>12/07/2023</v>
      </c>
      <c r="V96" s="10" t="str">
        <f>IFERROR(VLOOKUP(K96,'List+TK'!$G$3:$H$16,2,0),"-")</f>
        <v>Cao Quang Nguyên</v>
      </c>
      <c r="W96" s="10" t="str">
        <f t="shared" si="17"/>
        <v>Ao D1</v>
      </c>
      <c r="X96" s="4"/>
    </row>
    <row r="97" spans="1:24" ht="66" x14ac:dyDescent="0.25">
      <c r="A97" s="5">
        <f>_xlfn.AGGREGATE(3,3,$I$4:I97)</f>
        <v>94</v>
      </c>
      <c r="B97" s="5">
        <v>7</v>
      </c>
      <c r="C97" s="26" t="s">
        <v>211</v>
      </c>
      <c r="D97" s="10" t="s">
        <v>416</v>
      </c>
      <c r="E97" s="10" t="s">
        <v>55</v>
      </c>
      <c r="F97" s="10" t="s">
        <v>5</v>
      </c>
      <c r="G97" s="45">
        <v>7</v>
      </c>
      <c r="H97" s="10">
        <v>12</v>
      </c>
      <c r="I97" s="10" t="s">
        <v>208</v>
      </c>
      <c r="J97" s="10" t="s">
        <v>280</v>
      </c>
      <c r="K97" s="10" t="s">
        <v>244</v>
      </c>
      <c r="L97" s="10" t="str">
        <f t="shared" si="10"/>
        <v>Bình Đại</v>
      </c>
      <c r="M97" s="10" t="str">
        <f>IFERROR(VLOOKUP(L97,'List+TK'!$I$3:$J$9,2,0),"-")</f>
        <v>83/02</v>
      </c>
      <c r="N97" s="10" t="s">
        <v>354</v>
      </c>
      <c r="O97" s="10" t="str">
        <f t="shared" si="11"/>
        <v>Cá tra thương phẩm</v>
      </c>
      <c r="P97" s="10" t="str">
        <f t="shared" si="12"/>
        <v>83/0723/07</v>
      </c>
      <c r="Q97" s="10" t="str">
        <f t="shared" si="13"/>
        <v>Bình Đại 83/02</v>
      </c>
      <c r="R97" s="10" t="str">
        <f t="shared" si="14"/>
        <v>Công ty CP Gò Đàng - Ấp Vinh Xương, Xã Vang Quới Đông</v>
      </c>
      <c r="S97" s="10">
        <f t="shared" si="15"/>
        <v>1.5</v>
      </c>
      <c r="T97" s="10" t="str">
        <f>IFERROR(VLOOKUP(J97,'List+TK'!$D$3:$E$1000,2,0),"-")</f>
        <v>Trimethoprim</v>
      </c>
      <c r="U97" s="10" t="str">
        <f t="shared" si="16"/>
        <v>12/07/2023</v>
      </c>
      <c r="V97" s="10" t="str">
        <f>IFERROR(VLOOKUP(K97,'List+TK'!$G$3:$H$16,2,0),"-")</f>
        <v>Cao Quang Nguyên</v>
      </c>
      <c r="W97" s="10" t="str">
        <f t="shared" si="17"/>
        <v>Ao D4</v>
      </c>
      <c r="X97" s="4"/>
    </row>
    <row r="98" spans="1:24" ht="33" x14ac:dyDescent="0.25">
      <c r="A98" s="5">
        <f>_xlfn.AGGREGATE(3,3,$I$4:I98)</f>
        <v>95</v>
      </c>
      <c r="B98" s="5">
        <v>8</v>
      </c>
      <c r="C98" s="26" t="s">
        <v>335</v>
      </c>
      <c r="D98" s="10" t="s">
        <v>526</v>
      </c>
      <c r="E98" s="10" t="s">
        <v>142</v>
      </c>
      <c r="F98" s="10" t="s">
        <v>11</v>
      </c>
      <c r="G98" s="45">
        <v>7</v>
      </c>
      <c r="H98" s="10">
        <v>13</v>
      </c>
      <c r="I98" s="10" t="s">
        <v>238</v>
      </c>
      <c r="J98" s="10" t="s">
        <v>279</v>
      </c>
      <c r="K98" s="10" t="s">
        <v>244</v>
      </c>
      <c r="L98" s="10" t="str">
        <f t="shared" si="10"/>
        <v>Thạnh Phú</v>
      </c>
      <c r="M98" s="10" t="str">
        <f>IFERROR(VLOOKUP(L98,'List+TK'!$I$3:$J$9,2,0),"-")</f>
        <v>83/03</v>
      </c>
      <c r="N98" s="10">
        <v>1</v>
      </c>
      <c r="O98" s="10" t="str">
        <f t="shared" si="11"/>
        <v>Tôm sú thương phẩm</v>
      </c>
      <c r="P98" s="10" t="str">
        <f t="shared" si="12"/>
        <v>83/0723/08</v>
      </c>
      <c r="Q98" s="10" t="str">
        <f t="shared" si="13"/>
        <v>Thạnh Phú 83/03</v>
      </c>
      <c r="R98" s="10" t="str">
        <f t="shared" si="14"/>
        <v>Đặng Thái Bình - Ấp An Định, Xã An Nhơn</v>
      </c>
      <c r="S98" s="10">
        <f t="shared" si="15"/>
        <v>1</v>
      </c>
      <c r="T98" s="10" t="str">
        <f>IFERROR(VLOOKUP(J98,'List+TK'!$D$3:$E$1000,2,0),"-")</f>
        <v>Florfenicol</v>
      </c>
      <c r="U98" s="10" t="str">
        <f t="shared" si="16"/>
        <v>13/07/2023</v>
      </c>
      <c r="V98" s="10" t="str">
        <f>IFERROR(VLOOKUP(K98,'List+TK'!$G$3:$H$16,2,0),"-")</f>
        <v>Cao Quang Nguyên</v>
      </c>
      <c r="W98" s="10" t="str">
        <f t="shared" si="17"/>
        <v>Ao 1</v>
      </c>
      <c r="X98" s="4"/>
    </row>
    <row r="99" spans="1:24" ht="33" x14ac:dyDescent="0.25">
      <c r="A99" s="5">
        <f>_xlfn.AGGREGATE(3,3,$I$4:I99)</f>
        <v>96</v>
      </c>
      <c r="B99" s="5">
        <v>9</v>
      </c>
      <c r="C99" s="26" t="s">
        <v>347</v>
      </c>
      <c r="D99" s="10"/>
      <c r="E99" s="10" t="s">
        <v>144</v>
      </c>
      <c r="F99" s="10" t="s">
        <v>11</v>
      </c>
      <c r="G99" s="45">
        <v>7</v>
      </c>
      <c r="H99" s="10">
        <v>13</v>
      </c>
      <c r="I99" s="10" t="s">
        <v>239</v>
      </c>
      <c r="J99" s="10" t="s">
        <v>273</v>
      </c>
      <c r="K99" s="10" t="s">
        <v>244</v>
      </c>
      <c r="L99" s="10" t="str">
        <f t="shared" si="10"/>
        <v>Thạnh Phú</v>
      </c>
      <c r="M99" s="10" t="str">
        <f>IFERROR(VLOOKUP(L99,'List+TK'!$I$3:$J$9,2,0),"-")</f>
        <v>83/03</v>
      </c>
      <c r="N99" s="10"/>
      <c r="O99" s="10" t="str">
        <f t="shared" si="11"/>
        <v>Tôm sú quảng canh</v>
      </c>
      <c r="P99" s="10" t="str">
        <f t="shared" si="12"/>
        <v>83/0723/09</v>
      </c>
      <c r="Q99" s="10" t="str">
        <f t="shared" si="13"/>
        <v>Thạnh Phú 83/03</v>
      </c>
      <c r="R99" s="10" t="str">
        <f t="shared" si="14"/>
        <v>Lê Văn Nói - , Xã An Thuận</v>
      </c>
      <c r="S99" s="10">
        <f t="shared" si="15"/>
        <v>1</v>
      </c>
      <c r="T99" s="10" t="str">
        <f>IFERROR(VLOOKUP(J99,'List+TK'!$D$3:$E$1000,2,0),"-")</f>
        <v>Chloramphenicol</v>
      </c>
      <c r="U99" s="10" t="str">
        <f t="shared" si="16"/>
        <v>13/07/2023</v>
      </c>
      <c r="V99" s="10" t="str">
        <f>IFERROR(VLOOKUP(K99,'List+TK'!$G$3:$H$16,2,0),"-")</f>
        <v>Cao Quang Nguyên</v>
      </c>
      <c r="W99" s="10" t="str">
        <f t="shared" si="17"/>
        <v/>
      </c>
      <c r="X99" s="4"/>
    </row>
    <row r="100" spans="1:24" ht="33" x14ac:dyDescent="0.25">
      <c r="A100" s="5">
        <f>_xlfn.AGGREGATE(3,3,$I$4:I100)</f>
        <v>97</v>
      </c>
      <c r="B100" s="5">
        <v>10</v>
      </c>
      <c r="C100" s="26" t="s">
        <v>335</v>
      </c>
      <c r="D100" s="10" t="s">
        <v>526</v>
      </c>
      <c r="E100" s="10" t="s">
        <v>142</v>
      </c>
      <c r="F100" s="10" t="s">
        <v>11</v>
      </c>
      <c r="G100" s="45">
        <v>7</v>
      </c>
      <c r="H100" s="10">
        <v>13</v>
      </c>
      <c r="I100" s="10" t="s">
        <v>241</v>
      </c>
      <c r="J100" s="10" t="s">
        <v>281</v>
      </c>
      <c r="K100" s="10" t="s">
        <v>244</v>
      </c>
      <c r="L100" s="10" t="str">
        <f t="shared" si="10"/>
        <v>Thạnh Phú</v>
      </c>
      <c r="M100" s="10" t="str">
        <f>IFERROR(VLOOKUP(L100,'List+TK'!$I$3:$J$9,2,0),"-")</f>
        <v>83/03</v>
      </c>
      <c r="N100" s="10">
        <v>2</v>
      </c>
      <c r="O100" s="10" t="str">
        <f t="shared" si="11"/>
        <v>Tôm chân trắng thương phẩm</v>
      </c>
      <c r="P100" s="10" t="str">
        <f t="shared" ref="P100:P131" si="18">"83/"&amp;IF(LEN(G100)=1,"0"&amp;G100,G100)&amp;"23/"&amp;IF(LEN(B100)=1,"0"&amp;B100,B100)</f>
        <v>83/0723/10</v>
      </c>
      <c r="Q100" s="10" t="str">
        <f t="shared" si="13"/>
        <v>Thạnh Phú 83/03</v>
      </c>
      <c r="R100" s="10" t="str">
        <f t="shared" si="14"/>
        <v>Đặng Thái Bình - Ấp An Định, Xã An Nhơn</v>
      </c>
      <c r="S100" s="10">
        <f t="shared" si="15"/>
        <v>1</v>
      </c>
      <c r="T100" s="10" t="str">
        <f>IFERROR(VLOOKUP(J100,'List+TK'!$D$3:$E$1000,2,0),"-")</f>
        <v>Ormetoprim</v>
      </c>
      <c r="U100" s="10" t="str">
        <f t="shared" ref="U100:U131" si="19">H100&amp;"/"&amp;IF(LEN(G100)=1,"0"&amp;G100,G100)&amp;"/2023"</f>
        <v>13/07/2023</v>
      </c>
      <c r="V100" s="10" t="str">
        <f>IFERROR(VLOOKUP(K100,'List+TK'!$G$3:$H$16,2,0),"-")</f>
        <v>Cao Quang Nguyên</v>
      </c>
      <c r="W100" s="10" t="str">
        <f t="shared" si="17"/>
        <v>Ao 2</v>
      </c>
      <c r="X100" s="4"/>
    </row>
    <row r="101" spans="1:24" ht="49.5" x14ac:dyDescent="0.25">
      <c r="A101" s="5">
        <f>_xlfn.AGGREGATE(3,3,$I$4:I101)</f>
        <v>98</v>
      </c>
      <c r="B101" s="5">
        <v>11</v>
      </c>
      <c r="C101" s="26" t="s">
        <v>233</v>
      </c>
      <c r="D101" s="10" t="s">
        <v>326</v>
      </c>
      <c r="E101" s="10" t="s">
        <v>129</v>
      </c>
      <c r="F101" s="10" t="s">
        <v>10</v>
      </c>
      <c r="G101" s="45">
        <v>7</v>
      </c>
      <c r="H101" s="10">
        <v>12</v>
      </c>
      <c r="I101" s="10" t="s">
        <v>208</v>
      </c>
      <c r="J101" s="10" t="s">
        <v>278</v>
      </c>
      <c r="K101" s="10" t="s">
        <v>245</v>
      </c>
      <c r="L101" s="10" t="str">
        <f t="shared" si="10"/>
        <v>Mỏ Cày</v>
      </c>
      <c r="M101" s="10" t="str">
        <f>IFERROR(VLOOKUP(L101,'List+TK'!$I$3:$J$9,2,0),"-")</f>
        <v>83/04</v>
      </c>
      <c r="N101" s="10">
        <v>1</v>
      </c>
      <c r="O101" s="10" t="str">
        <f t="shared" si="11"/>
        <v>Cá tra thương phẩm</v>
      </c>
      <c r="P101" s="10" t="str">
        <f t="shared" si="18"/>
        <v>83/0723/11</v>
      </c>
      <c r="Q101" s="10" t="str">
        <f t="shared" si="13"/>
        <v>Mỏ Cày 83/04</v>
      </c>
      <c r="R101" s="10" t="str">
        <f t="shared" si="14"/>
        <v>Công ty CPTS Hải Hương - Ấp Phú Hữu, Xã Cẩm Sơn</v>
      </c>
      <c r="S101" s="10">
        <f t="shared" si="15"/>
        <v>1.5</v>
      </c>
      <c r="T101" s="10" t="str">
        <f>IFERROR(VLOOKUP(J101,'List+TK'!$D$3:$E$1000,2,0),"-")</f>
        <v>Nhóm Quinolones</v>
      </c>
      <c r="U101" s="10" t="str">
        <f t="shared" si="19"/>
        <v>12/07/2023</v>
      </c>
      <c r="V101" s="10" t="str">
        <f>IFERROR(VLOOKUP(K101,'List+TK'!$G$3:$H$16,2,0),"-")</f>
        <v>Phạm Minh Thuận</v>
      </c>
      <c r="W101" s="10" t="str">
        <f t="shared" si="17"/>
        <v>Ao 1</v>
      </c>
      <c r="X101" s="4"/>
    </row>
    <row r="102" spans="1:24" ht="49.5" x14ac:dyDescent="0.25">
      <c r="A102" s="5">
        <f>_xlfn.AGGREGATE(3,3,$I$4:I102)</f>
        <v>99</v>
      </c>
      <c r="B102" s="5">
        <v>12</v>
      </c>
      <c r="C102" s="26" t="s">
        <v>211</v>
      </c>
      <c r="D102" s="10" t="s">
        <v>406</v>
      </c>
      <c r="E102" s="10" t="s">
        <v>76</v>
      </c>
      <c r="F102" s="10" t="s">
        <v>6</v>
      </c>
      <c r="G102" s="45">
        <v>7</v>
      </c>
      <c r="H102" s="10">
        <v>12</v>
      </c>
      <c r="I102" s="10" t="s">
        <v>208</v>
      </c>
      <c r="J102" s="10" t="s">
        <v>280</v>
      </c>
      <c r="K102" s="10" t="s">
        <v>246</v>
      </c>
      <c r="L102" s="10" t="str">
        <f t="shared" si="10"/>
        <v>Châu Thành</v>
      </c>
      <c r="M102" s="10" t="str">
        <f>IFERROR(VLOOKUP(L102,'List+TK'!$I$3:$J$9,2,0),"-")</f>
        <v>83/05</v>
      </c>
      <c r="N102" s="10" t="s">
        <v>408</v>
      </c>
      <c r="O102" s="10" t="str">
        <f t="shared" si="11"/>
        <v>Cá tra thương phẩm</v>
      </c>
      <c r="P102" s="10" t="str">
        <f t="shared" si="18"/>
        <v>83/0723/12</v>
      </c>
      <c r="Q102" s="10" t="str">
        <f t="shared" si="13"/>
        <v>Châu Thành 83/05</v>
      </c>
      <c r="R102" s="10" t="str">
        <f t="shared" si="14"/>
        <v>Công ty CP Gò Đàng - Ấp Tiên Thạnh, Xã Tiên Long</v>
      </c>
      <c r="S102" s="10">
        <f t="shared" si="15"/>
        <v>1.5</v>
      </c>
      <c r="T102" s="10" t="str">
        <f>IFERROR(VLOOKUP(J102,'List+TK'!$D$3:$E$1000,2,0),"-")</f>
        <v>Trimethoprim</v>
      </c>
      <c r="U102" s="10" t="str">
        <f t="shared" si="19"/>
        <v>12/07/2023</v>
      </c>
      <c r="V102" s="10" t="str">
        <f>IFERROR(VLOOKUP(K102,'List+TK'!$G$3:$H$16,2,0),"-")</f>
        <v>Nguyễn Duy Khanh</v>
      </c>
      <c r="W102" s="10" t="str">
        <f t="shared" si="17"/>
        <v>Ao C1</v>
      </c>
      <c r="X102" s="4"/>
    </row>
    <row r="103" spans="1:24" ht="49.5" x14ac:dyDescent="0.25">
      <c r="A103" s="5">
        <f>_xlfn.AGGREGATE(3,3,$I$4:I103)</f>
        <v>100</v>
      </c>
      <c r="B103" s="5">
        <v>13</v>
      </c>
      <c r="C103" s="26" t="s">
        <v>211</v>
      </c>
      <c r="D103" s="10" t="s">
        <v>406</v>
      </c>
      <c r="E103" s="10" t="s">
        <v>76</v>
      </c>
      <c r="F103" s="10" t="s">
        <v>6</v>
      </c>
      <c r="G103" s="45">
        <v>7</v>
      </c>
      <c r="H103" s="10">
        <v>12</v>
      </c>
      <c r="I103" s="10" t="s">
        <v>208</v>
      </c>
      <c r="J103" s="10" t="s">
        <v>281</v>
      </c>
      <c r="K103" s="10" t="s">
        <v>246</v>
      </c>
      <c r="L103" s="10" t="str">
        <f t="shared" si="10"/>
        <v>Châu Thành</v>
      </c>
      <c r="M103" s="10" t="str">
        <f>IFERROR(VLOOKUP(L103,'List+TK'!$I$3:$J$9,2,0),"-")</f>
        <v>83/05</v>
      </c>
      <c r="N103" s="10" t="s">
        <v>456</v>
      </c>
      <c r="O103" s="10" t="str">
        <f t="shared" si="11"/>
        <v>Cá tra thương phẩm</v>
      </c>
      <c r="P103" s="10" t="str">
        <f t="shared" si="18"/>
        <v>83/0723/13</v>
      </c>
      <c r="Q103" s="10" t="str">
        <f t="shared" si="13"/>
        <v>Châu Thành 83/05</v>
      </c>
      <c r="R103" s="10" t="str">
        <f t="shared" si="14"/>
        <v>Công ty CP Gò Đàng - Ấp Tiên Thạnh, Xã Tiên Long</v>
      </c>
      <c r="S103" s="10">
        <f t="shared" si="15"/>
        <v>1.5</v>
      </c>
      <c r="T103" s="10" t="str">
        <f>IFERROR(VLOOKUP(J103,'List+TK'!$D$3:$E$1000,2,0),"-")</f>
        <v>Ormetoprim</v>
      </c>
      <c r="U103" s="10" t="str">
        <f t="shared" si="19"/>
        <v>12/07/2023</v>
      </c>
      <c r="V103" s="10" t="str">
        <f>IFERROR(VLOOKUP(K103,'List+TK'!$G$3:$H$16,2,0),"-")</f>
        <v>Nguyễn Duy Khanh</v>
      </c>
      <c r="W103" s="10" t="str">
        <f t="shared" si="17"/>
        <v>Ao C4</v>
      </c>
      <c r="X103" s="4"/>
    </row>
    <row r="104" spans="1:24" ht="33" x14ac:dyDescent="0.25">
      <c r="A104" s="5">
        <f>_xlfn.AGGREGATE(3,3,$I$4:I104)</f>
        <v>101</v>
      </c>
      <c r="B104" s="5">
        <v>14</v>
      </c>
      <c r="C104" s="26" t="s">
        <v>211</v>
      </c>
      <c r="D104" s="10" t="s">
        <v>302</v>
      </c>
      <c r="E104" s="10" t="s">
        <v>104</v>
      </c>
      <c r="F104" s="10" t="s">
        <v>8</v>
      </c>
      <c r="G104" s="45">
        <v>7</v>
      </c>
      <c r="H104" s="10">
        <v>13</v>
      </c>
      <c r="I104" s="10" t="s">
        <v>208</v>
      </c>
      <c r="J104" s="10" t="s">
        <v>274</v>
      </c>
      <c r="K104" s="10" t="s">
        <v>245</v>
      </c>
      <c r="L104" s="10" t="str">
        <f t="shared" si="10"/>
        <v>Giồng Trôm</v>
      </c>
      <c r="M104" s="10" t="str">
        <f>IFERROR(VLOOKUP(L104,'List+TK'!$I$3:$J$9,2,0),"-")</f>
        <v>83/06</v>
      </c>
      <c r="N104" s="10">
        <v>6</v>
      </c>
      <c r="O104" s="10" t="str">
        <f t="shared" si="11"/>
        <v>Cá tra thương phẩm</v>
      </c>
      <c r="P104" s="10" t="str">
        <f t="shared" si="18"/>
        <v>83/0723/14</v>
      </c>
      <c r="Q104" s="10" t="str">
        <f t="shared" si="13"/>
        <v>Giồng Trôm 83/06</v>
      </c>
      <c r="R104" s="10" t="str">
        <f t="shared" si="14"/>
        <v>Công ty CP Gò Đàng - Ấp 1, Xã Sơn Phú</v>
      </c>
      <c r="S104" s="10">
        <f t="shared" si="15"/>
        <v>1.5</v>
      </c>
      <c r="T104" s="10" t="str">
        <f>IFERROR(VLOOKUP(J104,'List+TK'!$D$3:$E$1000,2,0),"-")</f>
        <v>Nitrofurans</v>
      </c>
      <c r="U104" s="10" t="str">
        <f t="shared" si="19"/>
        <v>13/07/2023</v>
      </c>
      <c r="V104" s="10" t="str">
        <f>IFERROR(VLOOKUP(K104,'List+TK'!$G$3:$H$16,2,0),"-")</f>
        <v>Phạm Minh Thuận</v>
      </c>
      <c r="W104" s="10" t="str">
        <f t="shared" si="17"/>
        <v>Ao 6</v>
      </c>
      <c r="X104" s="4"/>
    </row>
    <row r="105" spans="1:24" ht="33" x14ac:dyDescent="0.25">
      <c r="A105" s="5">
        <f>_xlfn.AGGREGATE(3,3,$I$4:I105)</f>
        <v>102</v>
      </c>
      <c r="B105" s="5">
        <v>15</v>
      </c>
      <c r="C105" s="26" t="s">
        <v>211</v>
      </c>
      <c r="D105" s="10" t="s">
        <v>302</v>
      </c>
      <c r="E105" s="10" t="s">
        <v>104</v>
      </c>
      <c r="F105" s="10" t="s">
        <v>8</v>
      </c>
      <c r="G105" s="45">
        <v>7</v>
      </c>
      <c r="H105" s="10">
        <v>13</v>
      </c>
      <c r="I105" s="10" t="s">
        <v>208</v>
      </c>
      <c r="J105" s="10" t="s">
        <v>275</v>
      </c>
      <c r="K105" s="10" t="s">
        <v>245</v>
      </c>
      <c r="L105" s="10" t="str">
        <f t="shared" si="10"/>
        <v>Giồng Trôm</v>
      </c>
      <c r="M105" s="10" t="str">
        <f>IFERROR(VLOOKUP(L105,'List+TK'!$I$3:$J$9,2,0),"-")</f>
        <v>83/06</v>
      </c>
      <c r="N105" s="10">
        <v>10</v>
      </c>
      <c r="O105" s="10" t="str">
        <f t="shared" si="11"/>
        <v>Cá tra thương phẩm</v>
      </c>
      <c r="P105" s="10" t="str">
        <f t="shared" si="18"/>
        <v>83/0723/15</v>
      </c>
      <c r="Q105" s="10" t="str">
        <f t="shared" si="13"/>
        <v>Giồng Trôm 83/06</v>
      </c>
      <c r="R105" s="10" t="str">
        <f t="shared" si="14"/>
        <v>Công ty CP Gò Đàng - Ấp 1, Xã Sơn Phú</v>
      </c>
      <c r="S105" s="10">
        <f t="shared" si="15"/>
        <v>1.5</v>
      </c>
      <c r="T105" s="10" t="str">
        <f>IFERROR(VLOOKUP(J105,'List+TK'!$D$3:$E$1000,2,0),"-")</f>
        <v>-</v>
      </c>
      <c r="U105" s="10" t="str">
        <f t="shared" si="19"/>
        <v>13/07/2023</v>
      </c>
      <c r="V105" s="10" t="str">
        <f>IFERROR(VLOOKUP(K105,'List+TK'!$G$3:$H$16,2,0),"-")</f>
        <v>Phạm Minh Thuận</v>
      </c>
      <c r="W105" s="10" t="str">
        <f t="shared" si="17"/>
        <v>Ao 10</v>
      </c>
      <c r="X105" s="4"/>
    </row>
    <row r="106" spans="1:24" ht="49.5" x14ac:dyDescent="0.25">
      <c r="A106" s="5">
        <f>_xlfn.AGGREGATE(3,3,$I$4:I106)</f>
        <v>103</v>
      </c>
      <c r="B106" s="5">
        <v>16</v>
      </c>
      <c r="C106" s="26" t="s">
        <v>222</v>
      </c>
      <c r="D106" s="10" t="s">
        <v>404</v>
      </c>
      <c r="E106" s="10" t="s">
        <v>82</v>
      </c>
      <c r="F106" s="10" t="s">
        <v>7</v>
      </c>
      <c r="G106" s="45">
        <v>7</v>
      </c>
      <c r="H106" s="10">
        <v>13</v>
      </c>
      <c r="I106" s="10" t="s">
        <v>208</v>
      </c>
      <c r="J106" s="10" t="s">
        <v>278</v>
      </c>
      <c r="K106" s="10" t="s">
        <v>246</v>
      </c>
      <c r="L106" s="10" t="str">
        <f t="shared" si="10"/>
        <v>Chợ Lách</v>
      </c>
      <c r="M106" s="10" t="str">
        <f>IFERROR(VLOOKUP(L106,'List+TK'!$I$3:$J$9,2,0),"-")</f>
        <v>83/07</v>
      </c>
      <c r="N106" s="10">
        <v>3</v>
      </c>
      <c r="O106" s="10" t="str">
        <f t="shared" si="11"/>
        <v>Cá tra thương phẩm</v>
      </c>
      <c r="P106" s="10" t="str">
        <f t="shared" si="18"/>
        <v>83/0723/16</v>
      </c>
      <c r="Q106" s="10" t="str">
        <f t="shared" si="13"/>
        <v>Chợ Lách 83/07</v>
      </c>
      <c r="R106" s="10" t="str">
        <f t="shared" si="14"/>
        <v>Công ty CP NTTS Hùng Vương - Miền Tây - Ấp An Hòa, Xã Long Thới</v>
      </c>
      <c r="S106" s="10">
        <f t="shared" si="15"/>
        <v>1.5</v>
      </c>
      <c r="T106" s="10" t="str">
        <f>IFERROR(VLOOKUP(J106,'List+TK'!$D$3:$E$1000,2,0),"-")</f>
        <v>Nhóm Quinolones</v>
      </c>
      <c r="U106" s="10" t="str">
        <f t="shared" si="19"/>
        <v>13/07/2023</v>
      </c>
      <c r="V106" s="10" t="str">
        <f>IFERROR(VLOOKUP(K106,'List+TK'!$G$3:$H$16,2,0),"-")</f>
        <v>Nguyễn Duy Khanh</v>
      </c>
      <c r="W106" s="10" t="str">
        <f t="shared" si="17"/>
        <v>Ao 3</v>
      </c>
      <c r="X106" s="4"/>
    </row>
    <row r="107" spans="1:24" ht="49.5" x14ac:dyDescent="0.25">
      <c r="A107" s="5">
        <f>_xlfn.AGGREGATE(3,3,$I$4:I107)</f>
        <v>104</v>
      </c>
      <c r="B107" s="5">
        <v>17</v>
      </c>
      <c r="C107" s="26" t="s">
        <v>222</v>
      </c>
      <c r="D107" s="10" t="s">
        <v>404</v>
      </c>
      <c r="E107" s="10" t="s">
        <v>82</v>
      </c>
      <c r="F107" s="10" t="s">
        <v>7</v>
      </c>
      <c r="G107" s="45">
        <v>7</v>
      </c>
      <c r="H107" s="10">
        <v>13</v>
      </c>
      <c r="I107" s="10" t="s">
        <v>208</v>
      </c>
      <c r="J107" s="10" t="s">
        <v>283</v>
      </c>
      <c r="K107" s="10" t="s">
        <v>246</v>
      </c>
      <c r="L107" s="10" t="str">
        <f t="shared" si="10"/>
        <v>Chợ Lách</v>
      </c>
      <c r="M107" s="10" t="str">
        <f>IFERROR(VLOOKUP(L107,'List+TK'!$I$3:$J$9,2,0),"-")</f>
        <v>83/07</v>
      </c>
      <c r="N107" s="10">
        <v>6</v>
      </c>
      <c r="O107" s="10" t="str">
        <f t="shared" si="11"/>
        <v>Cá tra thương phẩm</v>
      </c>
      <c r="P107" s="10" t="str">
        <f t="shared" si="18"/>
        <v>83/0723/17</v>
      </c>
      <c r="Q107" s="10" t="str">
        <f t="shared" si="13"/>
        <v>Chợ Lách 83/07</v>
      </c>
      <c r="R107" s="10" t="str">
        <f t="shared" si="14"/>
        <v>Công ty CP NTTS Hùng Vương - Miền Tây - Ấp An Hòa, Xã Long Thới</v>
      </c>
      <c r="S107" s="10">
        <f t="shared" si="15"/>
        <v>1.5</v>
      </c>
      <c r="T107" s="10" t="str">
        <f>IFERROR(VLOOKUP(J107,'List+TK'!$D$3:$E$1000,2,0),"-")</f>
        <v>Erythromycin</v>
      </c>
      <c r="U107" s="10" t="str">
        <f t="shared" si="19"/>
        <v>13/07/2023</v>
      </c>
      <c r="V107" s="10" t="str">
        <f>IFERROR(VLOOKUP(K107,'List+TK'!$G$3:$H$16,2,0),"-")</f>
        <v>Nguyễn Duy Khanh</v>
      </c>
      <c r="W107" s="10" t="str">
        <f t="shared" si="17"/>
        <v>Ao 6</v>
      </c>
      <c r="X107" s="4"/>
    </row>
    <row r="108" spans="1:24" ht="49.5" x14ac:dyDescent="0.25">
      <c r="A108" s="5">
        <f>_xlfn.AGGREGATE(3,3,$I$4:I108)</f>
        <v>105</v>
      </c>
      <c r="B108" s="5">
        <v>18</v>
      </c>
      <c r="C108" s="26" t="s">
        <v>222</v>
      </c>
      <c r="D108" s="10" t="s">
        <v>404</v>
      </c>
      <c r="E108" s="10" t="s">
        <v>82</v>
      </c>
      <c r="F108" s="10" t="s">
        <v>7</v>
      </c>
      <c r="G108" s="45">
        <v>7</v>
      </c>
      <c r="H108" s="10">
        <v>13</v>
      </c>
      <c r="I108" s="10" t="s">
        <v>208</v>
      </c>
      <c r="J108" s="10" t="s">
        <v>284</v>
      </c>
      <c r="K108" s="10" t="s">
        <v>246</v>
      </c>
      <c r="L108" s="10" t="str">
        <f t="shared" si="10"/>
        <v>Chợ Lách</v>
      </c>
      <c r="M108" s="10" t="str">
        <f>IFERROR(VLOOKUP(L108,'List+TK'!$I$3:$J$9,2,0),"-")</f>
        <v>83/07</v>
      </c>
      <c r="N108" s="10">
        <v>8</v>
      </c>
      <c r="O108" s="10" t="str">
        <f t="shared" si="11"/>
        <v>Cá tra thương phẩm</v>
      </c>
      <c r="P108" s="10" t="str">
        <f t="shared" si="18"/>
        <v>83/0723/18</v>
      </c>
      <c r="Q108" s="10" t="str">
        <f t="shared" si="13"/>
        <v>Chợ Lách 83/07</v>
      </c>
      <c r="R108" s="10" t="str">
        <f t="shared" si="14"/>
        <v>Công ty CP NTTS Hùng Vương - Miền Tây - Ấp An Hòa, Xã Long Thới</v>
      </c>
      <c r="S108" s="10">
        <f t="shared" si="15"/>
        <v>1.5</v>
      </c>
      <c r="T108" s="10" t="str">
        <f>IFERROR(VLOOKUP(J108,'List+TK'!$D$3:$E$1000,2,0),"-")</f>
        <v>Azadirachtin</v>
      </c>
      <c r="U108" s="10" t="str">
        <f t="shared" si="19"/>
        <v>13/07/2023</v>
      </c>
      <c r="V108" s="10" t="str">
        <f>IFERROR(VLOOKUP(K108,'List+TK'!$G$3:$H$16,2,0),"-")</f>
        <v>Nguyễn Duy Khanh</v>
      </c>
      <c r="W108" s="10" t="str">
        <f t="shared" si="17"/>
        <v>Ao 8</v>
      </c>
      <c r="X108" s="4"/>
    </row>
    <row r="109" spans="1:24" ht="49.5" x14ac:dyDescent="0.25">
      <c r="A109" s="5">
        <f>_xlfn.AGGREGATE(3,3,$I$4:I109)</f>
        <v>106</v>
      </c>
      <c r="B109" s="5">
        <v>19</v>
      </c>
      <c r="C109" s="26" t="s">
        <v>222</v>
      </c>
      <c r="D109" s="10" t="s">
        <v>404</v>
      </c>
      <c r="E109" s="10" t="s">
        <v>82</v>
      </c>
      <c r="F109" s="10" t="s">
        <v>7</v>
      </c>
      <c r="G109" s="45">
        <v>7</v>
      </c>
      <c r="H109" s="10">
        <v>13</v>
      </c>
      <c r="I109" s="10" t="s">
        <v>208</v>
      </c>
      <c r="J109" s="10" t="s">
        <v>293</v>
      </c>
      <c r="K109" s="10" t="s">
        <v>246</v>
      </c>
      <c r="L109" s="10" t="str">
        <f t="shared" si="10"/>
        <v>Chợ Lách</v>
      </c>
      <c r="M109" s="10" t="str">
        <f>IFERROR(VLOOKUP(L109,'List+TK'!$I$3:$J$9,2,0),"-")</f>
        <v>83/07</v>
      </c>
      <c r="N109" s="10">
        <v>10</v>
      </c>
      <c r="O109" s="10" t="str">
        <f t="shared" si="11"/>
        <v>Cá tra thương phẩm</v>
      </c>
      <c r="P109" s="10" t="str">
        <f t="shared" si="18"/>
        <v>83/0723/19</v>
      </c>
      <c r="Q109" s="10" t="str">
        <f t="shared" si="13"/>
        <v>Chợ Lách 83/07</v>
      </c>
      <c r="R109" s="10" t="str">
        <f t="shared" si="14"/>
        <v>Công ty CP NTTS Hùng Vương - Miền Tây - Ấp An Hòa, Xã Long Thới</v>
      </c>
      <c r="S109" s="10">
        <f t="shared" si="15"/>
        <v>1.5</v>
      </c>
      <c r="T109" s="10" t="str">
        <f>IFERROR(VLOOKUP(J109,'List+TK'!$D$3:$E$1000,2,0),"-")</f>
        <v>-</v>
      </c>
      <c r="U109" s="10" t="str">
        <f t="shared" si="19"/>
        <v>13/07/2023</v>
      </c>
      <c r="V109" s="10" t="str">
        <f>IFERROR(VLOOKUP(K109,'List+TK'!$G$3:$H$16,2,0),"-")</f>
        <v>Nguyễn Duy Khanh</v>
      </c>
      <c r="W109" s="10" t="str">
        <f t="shared" si="17"/>
        <v>Ao 10</v>
      </c>
      <c r="X109" s="4"/>
    </row>
    <row r="110" spans="1:24" ht="33" x14ac:dyDescent="0.25">
      <c r="A110" s="5">
        <f>_xlfn.AGGREGATE(3,3,$I$4:I110)</f>
        <v>107</v>
      </c>
      <c r="B110" s="72">
        <v>1</v>
      </c>
      <c r="C110" s="26" t="s">
        <v>537</v>
      </c>
      <c r="D110" s="10" t="s">
        <v>254</v>
      </c>
      <c r="E110" s="10" t="s">
        <v>21</v>
      </c>
      <c r="F110" s="10" t="s">
        <v>4</v>
      </c>
      <c r="G110" s="80">
        <v>8</v>
      </c>
      <c r="H110" s="10">
        <v>21</v>
      </c>
      <c r="I110" s="10" t="s">
        <v>238</v>
      </c>
      <c r="J110" s="10" t="s">
        <v>284</v>
      </c>
      <c r="K110" s="10" t="s">
        <v>245</v>
      </c>
      <c r="L110" s="10" t="str">
        <f t="shared" si="10"/>
        <v>Ba Tri</v>
      </c>
      <c r="M110" s="10" t="str">
        <f>IFERROR(VLOOKUP(L110,'List+TK'!$I$3:$J$9,2,0),"-")</f>
        <v>83/01</v>
      </c>
      <c r="N110" s="10">
        <v>1</v>
      </c>
      <c r="O110" s="10" t="str">
        <f t="shared" si="11"/>
        <v>Tôm sú thương phẩm</v>
      </c>
      <c r="P110" s="10" t="str">
        <f t="shared" si="18"/>
        <v>83/0823/01</v>
      </c>
      <c r="Q110" s="10" t="str">
        <f t="shared" si="13"/>
        <v>Ba Tri 83/01</v>
      </c>
      <c r="R110" s="10" t="str">
        <f t="shared" si="14"/>
        <v>Huỳnh Văn Lâm - Ấp 7, Xã An Thủy</v>
      </c>
      <c r="S110" s="10">
        <f t="shared" si="15"/>
        <v>1</v>
      </c>
      <c r="T110" s="10" t="str">
        <f>IFERROR(VLOOKUP(J110,'List+TK'!$D$3:$E$1000,2,0),"-")</f>
        <v>Azadirachtin</v>
      </c>
      <c r="U110" s="10" t="str">
        <f t="shared" si="19"/>
        <v>21/08/2023</v>
      </c>
      <c r="V110" s="10" t="str">
        <f>IFERROR(VLOOKUP(K110,'List+TK'!$G$3:$H$16,2,0),"-")</f>
        <v>Phạm Minh Thuận</v>
      </c>
      <c r="W110" s="10" t="str">
        <f t="shared" si="17"/>
        <v>Ao 1</v>
      </c>
      <c r="X110" s="4"/>
    </row>
    <row r="111" spans="1:24" ht="33" x14ac:dyDescent="0.25">
      <c r="A111" s="5">
        <f>_xlfn.AGGREGATE(3,3,$I$4:I111)</f>
        <v>108</v>
      </c>
      <c r="B111" s="72">
        <v>2</v>
      </c>
      <c r="C111" s="26" t="s">
        <v>537</v>
      </c>
      <c r="D111" s="10" t="s">
        <v>254</v>
      </c>
      <c r="E111" s="10" t="s">
        <v>21</v>
      </c>
      <c r="F111" s="10" t="s">
        <v>4</v>
      </c>
      <c r="G111" s="80">
        <v>8</v>
      </c>
      <c r="H111" s="10">
        <v>21</v>
      </c>
      <c r="I111" s="10" t="s">
        <v>241</v>
      </c>
      <c r="J111" s="10" t="s">
        <v>284</v>
      </c>
      <c r="K111" s="10" t="s">
        <v>245</v>
      </c>
      <c r="L111" s="10" t="str">
        <f t="shared" si="10"/>
        <v>Ba Tri</v>
      </c>
      <c r="M111" s="10" t="str">
        <f>IFERROR(VLOOKUP(L111,'List+TK'!$I$3:$J$9,2,0),"-")</f>
        <v>83/01</v>
      </c>
      <c r="N111" s="10">
        <v>2</v>
      </c>
      <c r="O111" s="10" t="str">
        <f t="shared" si="11"/>
        <v>Tôm chân trắng thương phẩm</v>
      </c>
      <c r="P111" s="10" t="str">
        <f t="shared" si="18"/>
        <v>83/0823/02</v>
      </c>
      <c r="Q111" s="10" t="str">
        <f t="shared" si="13"/>
        <v>Ba Tri 83/01</v>
      </c>
      <c r="R111" s="10" t="str">
        <f t="shared" si="14"/>
        <v>Huỳnh Văn Lâm - Ấp 7, Xã An Thủy</v>
      </c>
      <c r="S111" s="10">
        <f t="shared" si="15"/>
        <v>1</v>
      </c>
      <c r="T111" s="10" t="str">
        <f>IFERROR(VLOOKUP(J111,'List+TK'!$D$3:$E$1000,2,0),"-")</f>
        <v>Azadirachtin</v>
      </c>
      <c r="U111" s="10" t="str">
        <f t="shared" si="19"/>
        <v>21/08/2023</v>
      </c>
      <c r="V111" s="10" t="str">
        <f>IFERROR(VLOOKUP(K111,'List+TK'!$G$3:$H$16,2,0),"-")</f>
        <v>Phạm Minh Thuận</v>
      </c>
      <c r="W111" s="10" t="str">
        <f t="shared" si="17"/>
        <v>Ao 2</v>
      </c>
      <c r="X111" s="4"/>
    </row>
    <row r="112" spans="1:24" ht="49.5" x14ac:dyDescent="0.25">
      <c r="A112" s="5">
        <f>_xlfn.AGGREGATE(3,3,$I$4:I112)</f>
        <v>109</v>
      </c>
      <c r="B112" s="72">
        <v>3</v>
      </c>
      <c r="C112" s="26" t="s">
        <v>333</v>
      </c>
      <c r="D112" s="10" t="s">
        <v>259</v>
      </c>
      <c r="E112" s="10" t="s">
        <v>51</v>
      </c>
      <c r="F112" s="10" t="s">
        <v>5</v>
      </c>
      <c r="G112" s="80">
        <v>8</v>
      </c>
      <c r="H112" s="10">
        <v>21</v>
      </c>
      <c r="I112" s="10" t="s">
        <v>238</v>
      </c>
      <c r="J112" s="10" t="s">
        <v>278</v>
      </c>
      <c r="K112" s="10" t="s">
        <v>244</v>
      </c>
      <c r="L112" s="10" t="str">
        <f t="shared" si="10"/>
        <v>Bình Đại</v>
      </c>
      <c r="M112" s="10" t="str">
        <f>IFERROR(VLOOKUP(L112,'List+TK'!$I$3:$J$9,2,0),"-")</f>
        <v>83/02</v>
      </c>
      <c r="N112" s="10">
        <v>1</v>
      </c>
      <c r="O112" s="10" t="str">
        <f t="shared" si="11"/>
        <v>Tôm sú thương phẩm</v>
      </c>
      <c r="P112" s="10" t="str">
        <f t="shared" si="18"/>
        <v>83/0823/03</v>
      </c>
      <c r="Q112" s="10" t="str">
        <f t="shared" si="13"/>
        <v>Bình Đại 83/02</v>
      </c>
      <c r="R112" s="10" t="str">
        <f t="shared" si="14"/>
        <v>Lê Bá Tú - Ấp 3, Xã Thạnh Trị</v>
      </c>
      <c r="S112" s="10">
        <f t="shared" si="15"/>
        <v>1</v>
      </c>
      <c r="T112" s="10" t="str">
        <f>IFERROR(VLOOKUP(J112,'List+TK'!$D$3:$E$1000,2,0),"-")</f>
        <v>Nhóm Quinolones</v>
      </c>
      <c r="U112" s="10" t="str">
        <f t="shared" si="19"/>
        <v>21/08/2023</v>
      </c>
      <c r="V112" s="10" t="str">
        <f>IFERROR(VLOOKUP(K112,'List+TK'!$G$3:$H$16,2,0),"-")</f>
        <v>Cao Quang Nguyên</v>
      </c>
      <c r="W112" s="10" t="str">
        <f t="shared" si="17"/>
        <v>Ao 1</v>
      </c>
      <c r="X112" s="4"/>
    </row>
    <row r="113" spans="1:24" ht="49.5" x14ac:dyDescent="0.25">
      <c r="A113" s="5">
        <f>_xlfn.AGGREGATE(3,3,$I$4:I113)</f>
        <v>110</v>
      </c>
      <c r="B113" s="72">
        <v>4</v>
      </c>
      <c r="C113" s="26" t="s">
        <v>333</v>
      </c>
      <c r="D113" s="10" t="s">
        <v>259</v>
      </c>
      <c r="E113" s="10" t="s">
        <v>51</v>
      </c>
      <c r="F113" s="10" t="s">
        <v>5</v>
      </c>
      <c r="G113" s="80">
        <v>8</v>
      </c>
      <c r="H113" s="10">
        <v>21</v>
      </c>
      <c r="I113" s="10" t="s">
        <v>241</v>
      </c>
      <c r="J113" s="10" t="s">
        <v>278</v>
      </c>
      <c r="K113" s="10" t="s">
        <v>244</v>
      </c>
      <c r="L113" s="10" t="str">
        <f t="shared" si="10"/>
        <v>Bình Đại</v>
      </c>
      <c r="M113" s="10" t="str">
        <f>IFERROR(VLOOKUP(L113,'List+TK'!$I$3:$J$9,2,0),"-")</f>
        <v>83/02</v>
      </c>
      <c r="N113" s="10">
        <v>2</v>
      </c>
      <c r="O113" s="10" t="str">
        <f t="shared" si="11"/>
        <v>Tôm chân trắng thương phẩm</v>
      </c>
      <c r="P113" s="10" t="str">
        <f t="shared" si="18"/>
        <v>83/0823/04</v>
      </c>
      <c r="Q113" s="10" t="str">
        <f t="shared" si="13"/>
        <v>Bình Đại 83/02</v>
      </c>
      <c r="R113" s="10" t="str">
        <f t="shared" si="14"/>
        <v>Lê Bá Tú - Ấp 3, Xã Thạnh Trị</v>
      </c>
      <c r="S113" s="10">
        <f t="shared" si="15"/>
        <v>1</v>
      </c>
      <c r="T113" s="10" t="str">
        <f>IFERROR(VLOOKUP(J113,'List+TK'!$D$3:$E$1000,2,0),"-")</f>
        <v>Nhóm Quinolones</v>
      </c>
      <c r="U113" s="10" t="str">
        <f t="shared" si="19"/>
        <v>21/08/2023</v>
      </c>
      <c r="V113" s="10" t="str">
        <f>IFERROR(VLOOKUP(K113,'List+TK'!$G$3:$H$16,2,0),"-")</f>
        <v>Cao Quang Nguyên</v>
      </c>
      <c r="W113" s="10" t="str">
        <f t="shared" si="17"/>
        <v>Ao 2</v>
      </c>
      <c r="X113" s="4"/>
    </row>
    <row r="114" spans="1:24" ht="49.5" x14ac:dyDescent="0.25">
      <c r="A114" s="5">
        <f>_xlfn.AGGREGATE(3,3,$I$4:I114)</f>
        <v>111</v>
      </c>
      <c r="B114" s="72">
        <v>5</v>
      </c>
      <c r="C114" s="26" t="s">
        <v>211</v>
      </c>
      <c r="D114" s="10" t="s">
        <v>411</v>
      </c>
      <c r="E114" s="10" t="s">
        <v>52</v>
      </c>
      <c r="F114" s="10" t="s">
        <v>5</v>
      </c>
      <c r="G114" s="80">
        <v>8</v>
      </c>
      <c r="H114" s="10">
        <v>21</v>
      </c>
      <c r="I114" s="10" t="s">
        <v>207</v>
      </c>
      <c r="J114" s="10" t="s">
        <v>272</v>
      </c>
      <c r="K114" s="10" t="s">
        <v>244</v>
      </c>
      <c r="L114" s="10" t="str">
        <f t="shared" si="10"/>
        <v>Bình Đại</v>
      </c>
      <c r="M114" s="10" t="str">
        <f>IFERROR(VLOOKUP(L114,'List+TK'!$I$3:$J$9,2,0),"-")</f>
        <v>83/02</v>
      </c>
      <c r="N114" s="10">
        <v>5</v>
      </c>
      <c r="O114" s="10" t="str">
        <f t="shared" si="11"/>
        <v>Cá tra nhỏ</v>
      </c>
      <c r="P114" s="10" t="str">
        <f t="shared" si="18"/>
        <v>83/0823/05</v>
      </c>
      <c r="Q114" s="10" t="str">
        <f t="shared" si="13"/>
        <v>Bình Đại 83/02</v>
      </c>
      <c r="R114" s="10" t="str">
        <f t="shared" si="14"/>
        <v>Công ty CP Gò Đàng - Ấp Việc Giữa, Xã Thới Lai</v>
      </c>
      <c r="S114" s="10">
        <f t="shared" si="15"/>
        <v>1</v>
      </c>
      <c r="T114" s="10" t="str">
        <f>IFERROR(VLOOKUP(J114,'List+TK'!$D$3:$E$1000,2,0),"-")</f>
        <v>-</v>
      </c>
      <c r="U114" s="10" t="str">
        <f t="shared" si="19"/>
        <v>21/08/2023</v>
      </c>
      <c r="V114" s="10" t="str">
        <f>IFERROR(VLOOKUP(K114,'List+TK'!$G$3:$H$16,2,0),"-")</f>
        <v>Cao Quang Nguyên</v>
      </c>
      <c r="W114" s="10" t="str">
        <f t="shared" si="17"/>
        <v>Ao 5</v>
      </c>
      <c r="X114" s="4"/>
    </row>
    <row r="115" spans="1:24" ht="49.5" x14ac:dyDescent="0.25">
      <c r="A115" s="5">
        <f>_xlfn.AGGREGATE(3,3,$I$4:I115)</f>
        <v>112</v>
      </c>
      <c r="B115" s="72">
        <v>6</v>
      </c>
      <c r="C115" s="26" t="s">
        <v>211</v>
      </c>
      <c r="D115" s="10" t="s">
        <v>411</v>
      </c>
      <c r="E115" s="10" t="s">
        <v>52</v>
      </c>
      <c r="F115" s="10" t="s">
        <v>5</v>
      </c>
      <c r="G115" s="80">
        <v>8</v>
      </c>
      <c r="H115" s="10">
        <v>21</v>
      </c>
      <c r="I115" s="10" t="s">
        <v>207</v>
      </c>
      <c r="J115" s="10" t="s">
        <v>274</v>
      </c>
      <c r="K115" s="10" t="s">
        <v>244</v>
      </c>
      <c r="L115" s="10" t="str">
        <f t="shared" si="10"/>
        <v>Bình Đại</v>
      </c>
      <c r="M115" s="10" t="str">
        <f>IFERROR(VLOOKUP(L115,'List+TK'!$I$3:$J$9,2,0),"-")</f>
        <v>83/02</v>
      </c>
      <c r="N115" s="10">
        <v>4</v>
      </c>
      <c r="O115" s="10" t="str">
        <f t="shared" si="11"/>
        <v>Cá tra nhỏ</v>
      </c>
      <c r="P115" s="10" t="str">
        <f t="shared" si="18"/>
        <v>83/0823/06</v>
      </c>
      <c r="Q115" s="10" t="str">
        <f t="shared" si="13"/>
        <v>Bình Đại 83/02</v>
      </c>
      <c r="R115" s="10" t="str">
        <f t="shared" si="14"/>
        <v>Công ty CP Gò Đàng - Ấp Việc Giữa, Xã Thới Lai</v>
      </c>
      <c r="S115" s="10">
        <f t="shared" si="15"/>
        <v>1</v>
      </c>
      <c r="T115" s="10" t="str">
        <f>IFERROR(VLOOKUP(J115,'List+TK'!$D$3:$E$1000,2,0),"-")</f>
        <v>Nitrofurans</v>
      </c>
      <c r="U115" s="10" t="str">
        <f t="shared" si="19"/>
        <v>21/08/2023</v>
      </c>
      <c r="V115" s="10" t="str">
        <f>IFERROR(VLOOKUP(K115,'List+TK'!$G$3:$H$16,2,0),"-")</f>
        <v>Cao Quang Nguyên</v>
      </c>
      <c r="W115" s="10" t="str">
        <f t="shared" si="17"/>
        <v>Ao 4</v>
      </c>
      <c r="X115" s="4"/>
    </row>
    <row r="116" spans="1:24" ht="49.5" x14ac:dyDescent="0.25">
      <c r="A116" s="5">
        <f>_xlfn.AGGREGATE(3,3,$I$4:I116)</f>
        <v>113</v>
      </c>
      <c r="B116" s="72">
        <v>7</v>
      </c>
      <c r="C116" s="26" t="s">
        <v>374</v>
      </c>
      <c r="D116" s="10" t="s">
        <v>381</v>
      </c>
      <c r="E116" s="10" t="s">
        <v>53</v>
      </c>
      <c r="F116" s="10" t="s">
        <v>5</v>
      </c>
      <c r="G116" s="80">
        <v>8</v>
      </c>
      <c r="H116" s="10">
        <v>21</v>
      </c>
      <c r="I116" s="10" t="s">
        <v>242</v>
      </c>
      <c r="J116" s="80" t="s">
        <v>350</v>
      </c>
      <c r="K116" s="10" t="s">
        <v>244</v>
      </c>
      <c r="L116" s="10" t="str">
        <f t="shared" si="10"/>
        <v>Bình Đại</v>
      </c>
      <c r="M116" s="10" t="str">
        <f>IFERROR(VLOOKUP(L116,'List+TK'!$I$3:$J$9,2,0),"-")</f>
        <v>83/02</v>
      </c>
      <c r="N116" s="10">
        <v>14</v>
      </c>
      <c r="O116" s="10" t="str">
        <f t="shared" si="11"/>
        <v>Nước ương tôm giống</v>
      </c>
      <c r="P116" s="10" t="str">
        <f t="shared" si="18"/>
        <v>83/0823/07</v>
      </c>
      <c r="Q116" s="10" t="str">
        <f t="shared" si="13"/>
        <v>Bình Đại 83/02</v>
      </c>
      <c r="R116" s="10" t="str">
        <f t="shared" si="14"/>
        <v>Công ty TNHH TS Toàn Cầu - Ấp Bình Thới, Xã Thới Thuận</v>
      </c>
      <c r="S116" s="10">
        <f t="shared" si="15"/>
        <v>1</v>
      </c>
      <c r="T116" s="10" t="str">
        <f>IFERROR(VLOOKUP(J116,'List+TK'!$D$3:$E$1000,2,0),"-")</f>
        <v>Chloramphenicol, Furazolidone</v>
      </c>
      <c r="U116" s="10" t="str">
        <f t="shared" si="19"/>
        <v>21/08/2023</v>
      </c>
      <c r="V116" s="10" t="str">
        <f>IFERROR(VLOOKUP(K116,'List+TK'!$G$3:$H$16,2,0),"-")</f>
        <v>Cao Quang Nguyên</v>
      </c>
      <c r="W116" s="10" t="str">
        <f t="shared" si="17"/>
        <v>Bể 14</v>
      </c>
      <c r="X116" s="4"/>
    </row>
    <row r="117" spans="1:24" ht="82.5" x14ac:dyDescent="0.25">
      <c r="A117" s="5">
        <f>_xlfn.AGGREGATE(3,3,$I$4:I117)</f>
        <v>114</v>
      </c>
      <c r="B117" s="72">
        <v>8</v>
      </c>
      <c r="C117" s="26" t="s">
        <v>379</v>
      </c>
      <c r="D117" s="10" t="s">
        <v>381</v>
      </c>
      <c r="E117" s="10" t="s">
        <v>53</v>
      </c>
      <c r="F117" s="10" t="s">
        <v>5</v>
      </c>
      <c r="G117" s="80">
        <v>8</v>
      </c>
      <c r="H117" s="10">
        <v>21</v>
      </c>
      <c r="I117" s="10" t="s">
        <v>242</v>
      </c>
      <c r="J117" s="80" t="s">
        <v>350</v>
      </c>
      <c r="K117" s="10" t="s">
        <v>244</v>
      </c>
      <c r="L117" s="10" t="str">
        <f t="shared" si="10"/>
        <v>Bình Đại</v>
      </c>
      <c r="M117" s="10" t="str">
        <f>IFERROR(VLOOKUP(L117,'List+TK'!$I$3:$J$9,2,0),"-")</f>
        <v>83/02</v>
      </c>
      <c r="N117" s="10">
        <v>1</v>
      </c>
      <c r="O117" s="10" t="str">
        <f t="shared" si="11"/>
        <v>Nước ương tôm giống</v>
      </c>
      <c r="P117" s="10" t="str">
        <f t="shared" si="18"/>
        <v>83/0823/08</v>
      </c>
      <c r="Q117" s="10" t="str">
        <f t="shared" si="13"/>
        <v>Bình Đại 83/02</v>
      </c>
      <c r="R117" s="10" t="str">
        <f t="shared" si="14"/>
        <v>Công ty CP chăn nuôi C.P. Việt Nam-Chi nhánh 3 tại Bến Tre   - Ấp Bình Thới, Xã Thới Thuận</v>
      </c>
      <c r="S117" s="10">
        <f t="shared" si="15"/>
        <v>1</v>
      </c>
      <c r="T117" s="10" t="str">
        <f>IFERROR(VLOOKUP(J117,'List+TK'!$D$3:$E$1000,2,0),"-")</f>
        <v>Chloramphenicol, Furazolidone</v>
      </c>
      <c r="U117" s="10" t="str">
        <f t="shared" si="19"/>
        <v>21/08/2023</v>
      </c>
      <c r="V117" s="10" t="str">
        <f>IFERROR(VLOOKUP(K117,'List+TK'!$G$3:$H$16,2,0),"-")</f>
        <v>Cao Quang Nguyên</v>
      </c>
      <c r="W117" s="10" t="str">
        <f t="shared" si="17"/>
        <v>Bể 1</v>
      </c>
      <c r="X117" s="4"/>
    </row>
    <row r="118" spans="1:24" ht="49.5" x14ac:dyDescent="0.25">
      <c r="A118" s="5">
        <f>_xlfn.AGGREGATE(3,3,$I$4:I118)</f>
        <v>115</v>
      </c>
      <c r="B118" s="72">
        <v>9</v>
      </c>
      <c r="C118" s="26" t="s">
        <v>377</v>
      </c>
      <c r="D118" s="10" t="s">
        <v>254</v>
      </c>
      <c r="E118" s="10" t="s">
        <v>50</v>
      </c>
      <c r="F118" s="10" t="s">
        <v>5</v>
      </c>
      <c r="G118" s="80">
        <v>8</v>
      </c>
      <c r="H118" s="10">
        <v>21</v>
      </c>
      <c r="I118" s="10" t="s">
        <v>242</v>
      </c>
      <c r="J118" s="80" t="s">
        <v>350</v>
      </c>
      <c r="K118" s="10" t="s">
        <v>244</v>
      </c>
      <c r="L118" s="10" t="str">
        <f t="shared" si="10"/>
        <v>Bình Đại</v>
      </c>
      <c r="M118" s="10" t="str">
        <f>IFERROR(VLOOKUP(L118,'List+TK'!$I$3:$J$9,2,0),"-")</f>
        <v>83/02</v>
      </c>
      <c r="N118" s="10"/>
      <c r="O118" s="10" t="str">
        <f t="shared" si="11"/>
        <v>Nước ương tôm giống</v>
      </c>
      <c r="P118" s="10" t="str">
        <f t="shared" si="18"/>
        <v>83/0823/09</v>
      </c>
      <c r="Q118" s="10" t="str">
        <f t="shared" si="13"/>
        <v>Bình Đại 83/02</v>
      </c>
      <c r="R118" s="10" t="str">
        <f>C118&amp;" - "&amp;D118&amp;", "&amp;E118</f>
        <v>Cơ sở SX tôm giống Bảy Tươi - Ấp 7, Xã Thạnh Phước</v>
      </c>
      <c r="S118" s="10">
        <f t="shared" si="15"/>
        <v>1</v>
      </c>
      <c r="T118" s="10" t="str">
        <f>IFERROR(VLOOKUP(J118,'List+TK'!$D$3:$E$1000,2,0),"-")</f>
        <v>Chloramphenicol, Furazolidone</v>
      </c>
      <c r="U118" s="10" t="str">
        <f t="shared" si="19"/>
        <v>21/08/2023</v>
      </c>
      <c r="V118" s="10" t="str">
        <f>IFERROR(VLOOKUP(K118,'List+TK'!$G$3:$H$16,2,0),"-")</f>
        <v>Cao Quang Nguyên</v>
      </c>
      <c r="W118" s="10" t="str">
        <f t="shared" si="17"/>
        <v/>
      </c>
      <c r="X118" s="4"/>
    </row>
    <row r="119" spans="1:24" ht="49.5" x14ac:dyDescent="0.25">
      <c r="A119" s="5">
        <f>_xlfn.AGGREGATE(3,3,$I$4:I119)</f>
        <v>116</v>
      </c>
      <c r="B119" s="72">
        <v>10</v>
      </c>
      <c r="C119" s="26" t="s">
        <v>538</v>
      </c>
      <c r="D119" s="10" t="s">
        <v>382</v>
      </c>
      <c r="E119" s="10" t="s">
        <v>54</v>
      </c>
      <c r="F119" s="10" t="s">
        <v>5</v>
      </c>
      <c r="G119" s="80">
        <v>8</v>
      </c>
      <c r="H119" s="10">
        <v>21</v>
      </c>
      <c r="I119" s="10" t="s">
        <v>242</v>
      </c>
      <c r="J119" s="80" t="s">
        <v>350</v>
      </c>
      <c r="K119" s="10" t="s">
        <v>244</v>
      </c>
      <c r="L119" s="10" t="str">
        <f t="shared" si="10"/>
        <v>Bình Đại</v>
      </c>
      <c r="M119" s="10" t="str">
        <f>IFERROR(VLOOKUP(L119,'List+TK'!$I$3:$J$9,2,0),"-")</f>
        <v>83/02</v>
      </c>
      <c r="N119" s="10">
        <v>6</v>
      </c>
      <c r="O119" s="10" t="str">
        <f t="shared" si="11"/>
        <v>Nước ương tôm giống</v>
      </c>
      <c r="P119" s="10" t="str">
        <f t="shared" si="18"/>
        <v>83/0823/10</v>
      </c>
      <c r="Q119" s="10" t="str">
        <f t="shared" si="13"/>
        <v>Bình Đại 83/02</v>
      </c>
      <c r="R119" s="10" t="str">
        <f t="shared" si="14"/>
        <v>Trung tâm SX Tôm giống Huy Thuận - Ấp Thừa Tiên, Xã Thừa Đức</v>
      </c>
      <c r="S119" s="10">
        <f t="shared" si="15"/>
        <v>1</v>
      </c>
      <c r="T119" s="10" t="str">
        <f>IFERROR(VLOOKUP(J119,'List+TK'!$D$3:$E$1000,2,0),"-")</f>
        <v>Chloramphenicol, Furazolidone</v>
      </c>
      <c r="U119" s="10" t="str">
        <f t="shared" si="19"/>
        <v>21/08/2023</v>
      </c>
      <c r="V119" s="10" t="str">
        <f>IFERROR(VLOOKUP(K119,'List+TK'!$G$3:$H$16,2,0),"-")</f>
        <v>Cao Quang Nguyên</v>
      </c>
      <c r="W119" s="10" t="str">
        <f t="shared" si="17"/>
        <v>Bể 6</v>
      </c>
      <c r="X119" s="4"/>
    </row>
    <row r="120" spans="1:24" ht="49.5" x14ac:dyDescent="0.25">
      <c r="A120" s="5">
        <f>_xlfn.AGGREGATE(3,3,$I$4:I120)</f>
        <v>117</v>
      </c>
      <c r="B120" s="72">
        <v>11</v>
      </c>
      <c r="C120" s="26" t="s">
        <v>472</v>
      </c>
      <c r="D120" s="10" t="s">
        <v>473</v>
      </c>
      <c r="E120" s="10" t="s">
        <v>154</v>
      </c>
      <c r="F120" s="10" t="s">
        <v>11</v>
      </c>
      <c r="G120" s="80">
        <v>8</v>
      </c>
      <c r="H120" s="10">
        <v>22</v>
      </c>
      <c r="I120" s="10" t="s">
        <v>238</v>
      </c>
      <c r="J120" s="10" t="s">
        <v>280</v>
      </c>
      <c r="K120" s="10" t="s">
        <v>244</v>
      </c>
      <c r="L120" s="10" t="str">
        <f t="shared" si="10"/>
        <v>Thạnh Phú</v>
      </c>
      <c r="M120" s="10" t="str">
        <f>IFERROR(VLOOKUP(L120,'List+TK'!$I$3:$J$9,2,0),"-")</f>
        <v>83/03</v>
      </c>
      <c r="N120" s="10">
        <v>1</v>
      </c>
      <c r="O120" s="10" t="str">
        <f t="shared" si="11"/>
        <v>Tôm sú thương phẩm</v>
      </c>
      <c r="P120" s="10" t="str">
        <f t="shared" si="18"/>
        <v>83/0823/11</v>
      </c>
      <c r="Q120" s="10" t="str">
        <f t="shared" si="13"/>
        <v>Thạnh Phú 83/03</v>
      </c>
      <c r="R120" s="10" t="str">
        <f t="shared" si="14"/>
        <v>Trần Văn Tần  - Ấp Thạnh Thới B, Xã Thạnh Hải</v>
      </c>
      <c r="S120" s="10">
        <f t="shared" si="15"/>
        <v>1</v>
      </c>
      <c r="T120" s="10" t="str">
        <f>IFERROR(VLOOKUP(J120,'List+TK'!$D$3:$E$1000,2,0),"-")</f>
        <v>Trimethoprim</v>
      </c>
      <c r="U120" s="10" t="str">
        <f t="shared" si="19"/>
        <v>22/08/2023</v>
      </c>
      <c r="V120" s="10" t="str">
        <f>IFERROR(VLOOKUP(K120,'List+TK'!$G$3:$H$16,2,0),"-")</f>
        <v>Cao Quang Nguyên</v>
      </c>
      <c r="W120" s="10" t="str">
        <f t="shared" si="17"/>
        <v>Ao 1</v>
      </c>
      <c r="X120" s="4"/>
    </row>
    <row r="121" spans="1:24" ht="49.5" x14ac:dyDescent="0.25">
      <c r="A121" s="5">
        <f>_xlfn.AGGREGATE(3,3,$I$4:I121)</f>
        <v>118</v>
      </c>
      <c r="B121" s="72">
        <v>12</v>
      </c>
      <c r="C121" s="26" t="s">
        <v>472</v>
      </c>
      <c r="D121" s="10" t="s">
        <v>473</v>
      </c>
      <c r="E121" s="10" t="s">
        <v>154</v>
      </c>
      <c r="F121" s="10" t="s">
        <v>11</v>
      </c>
      <c r="G121" s="80">
        <v>8</v>
      </c>
      <c r="H121" s="10">
        <v>22</v>
      </c>
      <c r="I121" s="10" t="s">
        <v>241</v>
      </c>
      <c r="J121" s="10" t="s">
        <v>283</v>
      </c>
      <c r="K121" s="10" t="s">
        <v>244</v>
      </c>
      <c r="L121" s="10" t="str">
        <f t="shared" si="10"/>
        <v>Thạnh Phú</v>
      </c>
      <c r="M121" s="10" t="str">
        <f>IFERROR(VLOOKUP(L121,'List+TK'!$I$3:$J$9,2,0),"-")</f>
        <v>83/03</v>
      </c>
      <c r="N121" s="10">
        <v>2</v>
      </c>
      <c r="O121" s="10" t="str">
        <f t="shared" si="11"/>
        <v>Tôm chân trắng thương phẩm</v>
      </c>
      <c r="P121" s="10" t="str">
        <f t="shared" si="18"/>
        <v>83/0823/12</v>
      </c>
      <c r="Q121" s="10" t="str">
        <f t="shared" si="13"/>
        <v>Thạnh Phú 83/03</v>
      </c>
      <c r="R121" s="10" t="str">
        <f t="shared" si="14"/>
        <v>Trần Văn Tần  - Ấp Thạnh Thới B, Xã Thạnh Hải</v>
      </c>
      <c r="S121" s="10">
        <f t="shared" si="15"/>
        <v>1</v>
      </c>
      <c r="T121" s="10" t="str">
        <f>IFERROR(VLOOKUP(J121,'List+TK'!$D$3:$E$1000,2,0),"-")</f>
        <v>Erythromycin</v>
      </c>
      <c r="U121" s="10" t="str">
        <f t="shared" si="19"/>
        <v>22/08/2023</v>
      </c>
      <c r="V121" s="10" t="str">
        <f>IFERROR(VLOOKUP(K121,'List+TK'!$G$3:$H$16,2,0),"-")</f>
        <v>Cao Quang Nguyên</v>
      </c>
      <c r="W121" s="10" t="str">
        <f t="shared" si="17"/>
        <v>Ao 2</v>
      </c>
      <c r="X121" s="4"/>
    </row>
    <row r="122" spans="1:24" ht="49.5" x14ac:dyDescent="0.25">
      <c r="A122" s="5">
        <f>_xlfn.AGGREGATE(3,3,$I$4:I122)</f>
        <v>119</v>
      </c>
      <c r="B122" s="72">
        <v>13</v>
      </c>
      <c r="C122" s="26" t="s">
        <v>324</v>
      </c>
      <c r="D122" s="10" t="s">
        <v>260</v>
      </c>
      <c r="E122" s="10" t="s">
        <v>155</v>
      </c>
      <c r="F122" s="10" t="s">
        <v>11</v>
      </c>
      <c r="G122" s="80">
        <v>8</v>
      </c>
      <c r="H122" s="10">
        <v>22</v>
      </c>
      <c r="I122" s="10" t="s">
        <v>239</v>
      </c>
      <c r="J122" s="10" t="s">
        <v>278</v>
      </c>
      <c r="K122" s="10" t="s">
        <v>244</v>
      </c>
      <c r="L122" s="10" t="str">
        <f t="shared" si="10"/>
        <v>Thạnh Phú</v>
      </c>
      <c r="M122" s="10" t="str">
        <f>IFERROR(VLOOKUP(L122,'List+TK'!$I$3:$J$9,2,0),"-")</f>
        <v>83/03</v>
      </c>
      <c r="N122" s="10"/>
      <c r="O122" s="10" t="str">
        <f t="shared" si="11"/>
        <v>Tôm sú quảng canh</v>
      </c>
      <c r="P122" s="10" t="str">
        <f t="shared" si="18"/>
        <v>83/0823/13</v>
      </c>
      <c r="Q122" s="10" t="str">
        <f t="shared" si="13"/>
        <v>Thạnh Phú 83/03</v>
      </c>
      <c r="R122" s="10" t="str">
        <f t="shared" si="14"/>
        <v>Phạm Văn Triều - Ấp 4, Xã Thạnh Phong</v>
      </c>
      <c r="S122" s="10">
        <f t="shared" si="15"/>
        <v>1</v>
      </c>
      <c r="T122" s="10" t="str">
        <f>IFERROR(VLOOKUP(J122,'List+TK'!$D$3:$E$1000,2,0),"-")</f>
        <v>Nhóm Quinolones</v>
      </c>
      <c r="U122" s="10" t="str">
        <f t="shared" si="19"/>
        <v>22/08/2023</v>
      </c>
      <c r="V122" s="10" t="str">
        <f>IFERROR(VLOOKUP(K122,'List+TK'!$G$3:$H$16,2,0),"-")</f>
        <v>Cao Quang Nguyên</v>
      </c>
      <c r="W122" s="10" t="str">
        <f t="shared" si="17"/>
        <v/>
      </c>
      <c r="X122" s="4"/>
    </row>
    <row r="123" spans="1:24" ht="49.5" x14ac:dyDescent="0.25">
      <c r="A123" s="5">
        <f>_xlfn.AGGREGATE(3,3,$I$4:I123)</f>
        <v>120</v>
      </c>
      <c r="B123" s="72">
        <v>14</v>
      </c>
      <c r="C123" s="26" t="s">
        <v>211</v>
      </c>
      <c r="D123" s="10" t="s">
        <v>338</v>
      </c>
      <c r="E123" s="10" t="s">
        <v>138</v>
      </c>
      <c r="F123" s="10" t="s">
        <v>10</v>
      </c>
      <c r="G123" s="80">
        <v>8</v>
      </c>
      <c r="H123" s="10">
        <v>22</v>
      </c>
      <c r="I123" s="10" t="s">
        <v>208</v>
      </c>
      <c r="J123" s="10" t="s">
        <v>286</v>
      </c>
      <c r="K123" s="10" t="s">
        <v>245</v>
      </c>
      <c r="L123" s="10" t="str">
        <f t="shared" si="10"/>
        <v>Mỏ Cày</v>
      </c>
      <c r="M123" s="10" t="str">
        <f>IFERROR(VLOOKUP(L123,'List+TK'!$I$3:$J$9,2,0),"-")</f>
        <v>83/04</v>
      </c>
      <c r="N123" s="10">
        <v>11</v>
      </c>
      <c r="O123" s="10" t="str">
        <f t="shared" si="11"/>
        <v>Cá tra thương phẩm</v>
      </c>
      <c r="P123" s="10" t="str">
        <f t="shared" si="18"/>
        <v>83/0823/14</v>
      </c>
      <c r="Q123" s="10" t="str">
        <f t="shared" si="13"/>
        <v>Mỏ Cày 83/04</v>
      </c>
      <c r="R123" s="10" t="str">
        <f t="shared" si="14"/>
        <v>Công ty CP Gò Đàng - Ấp Tân Phong, Xã Thành Thới A</v>
      </c>
      <c r="S123" s="10">
        <f t="shared" si="15"/>
        <v>1.5</v>
      </c>
      <c r="T123" s="10" t="str">
        <f>IFERROR(VLOOKUP(J123,'List+TK'!$D$3:$E$1000,2,0),"-")</f>
        <v>-</v>
      </c>
      <c r="U123" s="10" t="str">
        <f t="shared" si="19"/>
        <v>22/08/2023</v>
      </c>
      <c r="V123" s="10" t="str">
        <f>IFERROR(VLOOKUP(K123,'List+TK'!$G$3:$H$16,2,0),"-")</f>
        <v>Phạm Minh Thuận</v>
      </c>
      <c r="W123" s="10" t="str">
        <f t="shared" si="17"/>
        <v>Ao 11</v>
      </c>
      <c r="X123" s="4"/>
    </row>
    <row r="124" spans="1:24" ht="49.5" x14ac:dyDescent="0.25">
      <c r="A124" s="5">
        <f>_xlfn.AGGREGATE(3,3,$I$4:I124)</f>
        <v>121</v>
      </c>
      <c r="B124" s="72">
        <v>15</v>
      </c>
      <c r="C124" s="26" t="s">
        <v>211</v>
      </c>
      <c r="D124" s="10" t="s">
        <v>338</v>
      </c>
      <c r="E124" s="10" t="s">
        <v>138</v>
      </c>
      <c r="F124" s="10" t="s">
        <v>10</v>
      </c>
      <c r="G124" s="80">
        <v>8</v>
      </c>
      <c r="H124" s="10">
        <v>22</v>
      </c>
      <c r="I124" s="10" t="s">
        <v>208</v>
      </c>
      <c r="J124" s="10" t="s">
        <v>287</v>
      </c>
      <c r="K124" s="10" t="s">
        <v>245</v>
      </c>
      <c r="L124" s="10" t="str">
        <f t="shared" si="10"/>
        <v>Mỏ Cày</v>
      </c>
      <c r="M124" s="10" t="str">
        <f>IFERROR(VLOOKUP(L124,'List+TK'!$I$3:$J$9,2,0),"-")</f>
        <v>83/04</v>
      </c>
      <c r="N124" s="10">
        <v>10</v>
      </c>
      <c r="O124" s="10" t="str">
        <f t="shared" si="11"/>
        <v>Cá tra thương phẩm</v>
      </c>
      <c r="P124" s="10" t="str">
        <f t="shared" si="18"/>
        <v>83/0823/15</v>
      </c>
      <c r="Q124" s="10" t="str">
        <f t="shared" si="13"/>
        <v>Mỏ Cày 83/04</v>
      </c>
      <c r="R124" s="10" t="str">
        <f t="shared" si="14"/>
        <v>Công ty CP Gò Đàng - Ấp Tân Phong, Xã Thành Thới A</v>
      </c>
      <c r="S124" s="10">
        <f t="shared" si="15"/>
        <v>1.5</v>
      </c>
      <c r="T124" s="10" t="str">
        <f>IFERROR(VLOOKUP(J124,'List+TK'!$D$3:$E$1000,2,0),"-")</f>
        <v>Trifluralin</v>
      </c>
      <c r="U124" s="10" t="str">
        <f t="shared" si="19"/>
        <v>22/08/2023</v>
      </c>
      <c r="V124" s="10" t="str">
        <f>IFERROR(VLOOKUP(K124,'List+TK'!$G$3:$H$16,2,0),"-")</f>
        <v>Phạm Minh Thuận</v>
      </c>
      <c r="W124" s="10" t="str">
        <f t="shared" si="17"/>
        <v>Ao 10</v>
      </c>
      <c r="X124" s="4"/>
    </row>
    <row r="125" spans="1:24" ht="49.5" x14ac:dyDescent="0.25">
      <c r="A125" s="5">
        <f>_xlfn.AGGREGATE(3,3,$I$4:I125)</f>
        <v>122</v>
      </c>
      <c r="B125" s="72">
        <v>16</v>
      </c>
      <c r="C125" s="26" t="s">
        <v>209</v>
      </c>
      <c r="D125" s="10" t="s">
        <v>419</v>
      </c>
      <c r="E125" s="10" t="s">
        <v>67</v>
      </c>
      <c r="F125" s="10" t="s">
        <v>6</v>
      </c>
      <c r="G125" s="80">
        <v>8</v>
      </c>
      <c r="H125" s="10">
        <v>21</v>
      </c>
      <c r="I125" s="10" t="s">
        <v>207</v>
      </c>
      <c r="J125" s="10" t="s">
        <v>274</v>
      </c>
      <c r="K125" s="10" t="s">
        <v>246</v>
      </c>
      <c r="L125" s="10" t="str">
        <f t="shared" si="10"/>
        <v>Châu Thành</v>
      </c>
      <c r="M125" s="10" t="str">
        <f>IFERROR(VLOOKUP(L125,'List+TK'!$I$3:$J$9,2,0),"-")</f>
        <v>83/05</v>
      </c>
      <c r="N125" s="10">
        <v>4</v>
      </c>
      <c r="O125" s="10" t="str">
        <f t="shared" si="11"/>
        <v>Cá tra nhỏ</v>
      </c>
      <c r="P125" s="10" t="str">
        <f t="shared" si="18"/>
        <v>83/0823/16</v>
      </c>
      <c r="Q125" s="10" t="str">
        <f t="shared" si="13"/>
        <v>Châu Thành 83/05</v>
      </c>
      <c r="R125" s="10" t="str">
        <f t="shared" si="14"/>
        <v>Công ty CP Hùng Vương - Ấp Phú Tân, Xã Phú Túc</v>
      </c>
      <c r="S125" s="10">
        <f t="shared" si="15"/>
        <v>1</v>
      </c>
      <c r="T125" s="10" t="str">
        <f>IFERROR(VLOOKUP(J125,'List+TK'!$D$3:$E$1000,2,0),"-")</f>
        <v>Nitrofurans</v>
      </c>
      <c r="U125" s="10" t="str">
        <f t="shared" si="19"/>
        <v>21/08/2023</v>
      </c>
      <c r="V125" s="10" t="str">
        <f>IFERROR(VLOOKUP(K125,'List+TK'!$G$3:$H$16,2,0),"-")</f>
        <v>Nguyễn Duy Khanh</v>
      </c>
      <c r="W125" s="10" t="str">
        <f t="shared" si="17"/>
        <v>Ao 4</v>
      </c>
      <c r="X125" s="4"/>
    </row>
    <row r="126" spans="1:24" ht="49.5" x14ac:dyDescent="0.25">
      <c r="A126" s="5">
        <f>_xlfn.AGGREGATE(3,3,$I$4:I126)</f>
        <v>123</v>
      </c>
      <c r="B126" s="72">
        <v>17</v>
      </c>
      <c r="C126" s="26" t="s">
        <v>209</v>
      </c>
      <c r="D126" s="10" t="s">
        <v>419</v>
      </c>
      <c r="E126" s="10" t="s">
        <v>67</v>
      </c>
      <c r="F126" s="10" t="s">
        <v>6</v>
      </c>
      <c r="G126" s="80">
        <v>8</v>
      </c>
      <c r="H126" s="10">
        <v>21</v>
      </c>
      <c r="I126" s="10" t="s">
        <v>207</v>
      </c>
      <c r="J126" s="10" t="s">
        <v>275</v>
      </c>
      <c r="K126" s="10" t="s">
        <v>246</v>
      </c>
      <c r="L126" s="10" t="str">
        <f t="shared" si="10"/>
        <v>Châu Thành</v>
      </c>
      <c r="M126" s="10" t="str">
        <f>IFERROR(VLOOKUP(L126,'List+TK'!$I$3:$J$9,2,0),"-")</f>
        <v>83/05</v>
      </c>
      <c r="N126" s="10">
        <v>10</v>
      </c>
      <c r="O126" s="10" t="str">
        <f t="shared" si="11"/>
        <v>Cá tra nhỏ</v>
      </c>
      <c r="P126" s="10" t="str">
        <f t="shared" si="18"/>
        <v>83/0823/17</v>
      </c>
      <c r="Q126" s="10" t="str">
        <f t="shared" si="13"/>
        <v>Châu Thành 83/05</v>
      </c>
      <c r="R126" s="10" t="str">
        <f t="shared" si="14"/>
        <v>Công ty CP Hùng Vương - Ấp Phú Tân, Xã Phú Túc</v>
      </c>
      <c r="S126" s="10">
        <f t="shared" si="15"/>
        <v>1</v>
      </c>
      <c r="T126" s="10" t="str">
        <f>IFERROR(VLOOKUP(J126,'List+TK'!$D$3:$E$1000,2,0),"-")</f>
        <v>-</v>
      </c>
      <c r="U126" s="10" t="str">
        <f t="shared" si="19"/>
        <v>21/08/2023</v>
      </c>
      <c r="V126" s="10" t="str">
        <f>IFERROR(VLOOKUP(K126,'List+TK'!$G$3:$H$16,2,0),"-")</f>
        <v>Nguyễn Duy Khanh</v>
      </c>
      <c r="W126" s="10" t="str">
        <f t="shared" si="17"/>
        <v>Ao 10</v>
      </c>
      <c r="X126" s="4" t="s">
        <v>353</v>
      </c>
    </row>
    <row r="127" spans="1:24" ht="49.5" x14ac:dyDescent="0.25">
      <c r="A127" s="5">
        <f>_xlfn.AGGREGATE(3,3,$I$4:I127)</f>
        <v>124</v>
      </c>
      <c r="B127" s="72">
        <v>18</v>
      </c>
      <c r="C127" s="26" t="s">
        <v>211</v>
      </c>
      <c r="D127" s="10" t="s">
        <v>255</v>
      </c>
      <c r="E127" s="10" t="s">
        <v>103</v>
      </c>
      <c r="F127" s="10" t="s">
        <v>8</v>
      </c>
      <c r="G127" s="80">
        <v>8</v>
      </c>
      <c r="H127" s="10">
        <v>23</v>
      </c>
      <c r="I127" s="10" t="s">
        <v>208</v>
      </c>
      <c r="J127" s="10" t="s">
        <v>273</v>
      </c>
      <c r="K127" s="10" t="s">
        <v>245</v>
      </c>
      <c r="L127" s="10" t="str">
        <f t="shared" si="10"/>
        <v>Giồng Trôm</v>
      </c>
      <c r="M127" s="10" t="str">
        <f>IFERROR(VLOOKUP(L127,'List+TK'!$I$3:$J$9,2,0),"-")</f>
        <v>83/06</v>
      </c>
      <c r="N127" s="10">
        <v>3</v>
      </c>
      <c r="O127" s="10" t="str">
        <f t="shared" si="11"/>
        <v>Cá tra thương phẩm</v>
      </c>
      <c r="P127" s="10" t="str">
        <f t="shared" si="18"/>
        <v>83/0823/18</v>
      </c>
      <c r="Q127" s="10" t="str">
        <f t="shared" si="13"/>
        <v>Giồng Trôm 83/06</v>
      </c>
      <c r="R127" s="10" t="str">
        <f t="shared" si="14"/>
        <v>Công ty CP Gò Đàng - Ấp 8, Xã Phước Long</v>
      </c>
      <c r="S127" s="10">
        <f t="shared" si="15"/>
        <v>1.5</v>
      </c>
      <c r="T127" s="10" t="str">
        <f>IFERROR(VLOOKUP(J127,'List+TK'!$D$3:$E$1000,2,0),"-")</f>
        <v>Chloramphenicol</v>
      </c>
      <c r="U127" s="10" t="str">
        <f t="shared" si="19"/>
        <v>23/08/2023</v>
      </c>
      <c r="V127" s="10" t="str">
        <f>IFERROR(VLOOKUP(K127,'List+TK'!$G$3:$H$16,2,0),"-")</f>
        <v>Phạm Minh Thuận</v>
      </c>
      <c r="W127" s="10" t="str">
        <f t="shared" si="17"/>
        <v>Ao 3</v>
      </c>
      <c r="X127" s="4" t="s">
        <v>353</v>
      </c>
    </row>
    <row r="128" spans="1:24" ht="49.5" x14ac:dyDescent="0.25">
      <c r="A128" s="5">
        <f>_xlfn.AGGREGATE(3,3,$I$4:I128)</f>
        <v>125</v>
      </c>
      <c r="B128" s="72">
        <v>19</v>
      </c>
      <c r="C128" s="26" t="s">
        <v>211</v>
      </c>
      <c r="D128" s="10" t="s">
        <v>255</v>
      </c>
      <c r="E128" s="10" t="s">
        <v>103</v>
      </c>
      <c r="F128" s="10" t="s">
        <v>8</v>
      </c>
      <c r="G128" s="80">
        <v>8</v>
      </c>
      <c r="H128" s="10">
        <v>23</v>
      </c>
      <c r="I128" s="10" t="s">
        <v>208</v>
      </c>
      <c r="J128" s="10" t="s">
        <v>274</v>
      </c>
      <c r="K128" s="10" t="s">
        <v>245</v>
      </c>
      <c r="L128" s="10" t="str">
        <f t="shared" si="10"/>
        <v>Giồng Trôm</v>
      </c>
      <c r="M128" s="10" t="str">
        <f>IFERROR(VLOOKUP(L128,'List+TK'!$I$3:$J$9,2,0),"-")</f>
        <v>83/06</v>
      </c>
      <c r="N128" s="10">
        <v>9</v>
      </c>
      <c r="O128" s="10" t="str">
        <f t="shared" si="11"/>
        <v>Cá tra thương phẩm</v>
      </c>
      <c r="P128" s="10" t="str">
        <f t="shared" si="18"/>
        <v>83/0823/19</v>
      </c>
      <c r="Q128" s="10" t="str">
        <f t="shared" si="13"/>
        <v>Giồng Trôm 83/06</v>
      </c>
      <c r="R128" s="10" t="str">
        <f t="shared" si="14"/>
        <v>Công ty CP Gò Đàng - Ấp 8, Xã Phước Long</v>
      </c>
      <c r="S128" s="10">
        <f t="shared" si="15"/>
        <v>1.5</v>
      </c>
      <c r="T128" s="10" t="str">
        <f>IFERROR(VLOOKUP(J128,'List+TK'!$D$3:$E$1000,2,0),"-")</f>
        <v>Nitrofurans</v>
      </c>
      <c r="U128" s="10" t="str">
        <f t="shared" si="19"/>
        <v>23/08/2023</v>
      </c>
      <c r="V128" s="10" t="str">
        <f>IFERROR(VLOOKUP(K128,'List+TK'!$G$3:$H$16,2,0),"-")</f>
        <v>Phạm Minh Thuận</v>
      </c>
      <c r="W128" s="10" t="str">
        <f t="shared" si="17"/>
        <v>Ao 9</v>
      </c>
      <c r="X128" s="4"/>
    </row>
    <row r="129" spans="1:24" ht="49.5" x14ac:dyDescent="0.25">
      <c r="A129" s="5">
        <f>_xlfn.AGGREGATE(3,3,$I$4:I129)</f>
        <v>126</v>
      </c>
      <c r="B129" s="72">
        <v>20</v>
      </c>
      <c r="C129" s="26" t="s">
        <v>227</v>
      </c>
      <c r="D129" s="10" t="s">
        <v>511</v>
      </c>
      <c r="E129" s="10" t="s">
        <v>86</v>
      </c>
      <c r="F129" s="10" t="s">
        <v>7</v>
      </c>
      <c r="G129" s="80">
        <v>8</v>
      </c>
      <c r="H129" s="10">
        <v>22</v>
      </c>
      <c r="I129" s="10" t="s">
        <v>208</v>
      </c>
      <c r="J129" s="10" t="s">
        <v>276</v>
      </c>
      <c r="K129" s="10" t="s">
        <v>246</v>
      </c>
      <c r="L129" s="10" t="str">
        <f t="shared" si="10"/>
        <v>Chợ Lách</v>
      </c>
      <c r="M129" s="10" t="str">
        <f>IFERROR(VLOOKUP(L129,'List+TK'!$I$3:$J$9,2,0),"-")</f>
        <v>83/07</v>
      </c>
      <c r="N129" s="10">
        <v>2</v>
      </c>
      <c r="O129" s="10" t="str">
        <f t="shared" si="11"/>
        <v>Cá tra thương phẩm</v>
      </c>
      <c r="P129" s="10" t="str">
        <f t="shared" si="18"/>
        <v>83/0823/20</v>
      </c>
      <c r="Q129" s="10" t="str">
        <f t="shared" si="13"/>
        <v>Chợ Lách 83/07</v>
      </c>
      <c r="R129" s="10" t="str">
        <f t="shared" si="14"/>
        <v>Công ty CP Vĩnh Hoàn - Ấp Quân Bình, Xã Tân Thiềng</v>
      </c>
      <c r="S129" s="10">
        <f t="shared" si="15"/>
        <v>1.5</v>
      </c>
      <c r="T129" s="10" t="str">
        <f>IFERROR(VLOOKUP(J129,'List+TK'!$D$3:$E$1000,2,0),"-")</f>
        <v>Nhóm Tetracyclines</v>
      </c>
      <c r="U129" s="10" t="str">
        <f t="shared" si="19"/>
        <v>22/08/2023</v>
      </c>
      <c r="V129" s="10" t="str">
        <f>IFERROR(VLOOKUP(K129,'List+TK'!$G$3:$H$16,2,0),"-")</f>
        <v>Nguyễn Duy Khanh</v>
      </c>
      <c r="W129" s="10" t="str">
        <f t="shared" si="17"/>
        <v>Ao 2</v>
      </c>
      <c r="X129" s="4"/>
    </row>
    <row r="130" spans="1:24" ht="49.5" x14ac:dyDescent="0.25">
      <c r="A130" s="5">
        <f>_xlfn.AGGREGATE(3,3,$I$4:I130)</f>
        <v>127</v>
      </c>
      <c r="B130" s="72">
        <v>21</v>
      </c>
      <c r="C130" s="26" t="s">
        <v>227</v>
      </c>
      <c r="D130" s="10" t="s">
        <v>511</v>
      </c>
      <c r="E130" s="10" t="s">
        <v>86</v>
      </c>
      <c r="F130" s="10" t="s">
        <v>7</v>
      </c>
      <c r="G130" s="80">
        <v>8</v>
      </c>
      <c r="H130" s="10">
        <v>22</v>
      </c>
      <c r="I130" s="10" t="s">
        <v>208</v>
      </c>
      <c r="J130" s="10" t="s">
        <v>278</v>
      </c>
      <c r="K130" s="10" t="s">
        <v>246</v>
      </c>
      <c r="L130" s="10" t="str">
        <f t="shared" si="10"/>
        <v>Chợ Lách</v>
      </c>
      <c r="M130" s="10" t="str">
        <f>IFERROR(VLOOKUP(L130,'List+TK'!$I$3:$J$9,2,0),"-")</f>
        <v>83/07</v>
      </c>
      <c r="N130" s="10">
        <v>3</v>
      </c>
      <c r="O130" s="10" t="str">
        <f t="shared" si="11"/>
        <v>Cá tra thương phẩm</v>
      </c>
      <c r="P130" s="10" t="str">
        <f t="shared" si="18"/>
        <v>83/0823/21</v>
      </c>
      <c r="Q130" s="10" t="str">
        <f t="shared" si="13"/>
        <v>Chợ Lách 83/07</v>
      </c>
      <c r="R130" s="10" t="str">
        <f t="shared" si="14"/>
        <v>Công ty CP Vĩnh Hoàn - Ấp Quân Bình, Xã Tân Thiềng</v>
      </c>
      <c r="S130" s="10">
        <f t="shared" si="15"/>
        <v>1.5</v>
      </c>
      <c r="T130" s="10" t="str">
        <f>IFERROR(VLOOKUP(J130,'List+TK'!$D$3:$E$1000,2,0),"-")</f>
        <v>Nhóm Quinolones</v>
      </c>
      <c r="U130" s="10" t="str">
        <f t="shared" si="19"/>
        <v>22/08/2023</v>
      </c>
      <c r="V130" s="10" t="str">
        <f>IFERROR(VLOOKUP(K130,'List+TK'!$G$3:$H$16,2,0),"-")</f>
        <v>Nguyễn Duy Khanh</v>
      </c>
      <c r="W130" s="10" t="str">
        <f t="shared" si="17"/>
        <v>Ao 3</v>
      </c>
      <c r="X130" s="4"/>
    </row>
    <row r="131" spans="1:24" ht="49.5" x14ac:dyDescent="0.25">
      <c r="A131" s="5">
        <f>_xlfn.AGGREGATE(3,3,$I$4:I131)</f>
        <v>128</v>
      </c>
      <c r="B131" s="72">
        <v>22</v>
      </c>
      <c r="C131" s="26" t="s">
        <v>227</v>
      </c>
      <c r="D131" s="10" t="s">
        <v>511</v>
      </c>
      <c r="E131" s="10" t="s">
        <v>86</v>
      </c>
      <c r="F131" s="10" t="s">
        <v>7</v>
      </c>
      <c r="G131" s="80">
        <v>8</v>
      </c>
      <c r="H131" s="10">
        <v>22</v>
      </c>
      <c r="I131" s="10" t="s">
        <v>208</v>
      </c>
      <c r="J131" s="10" t="s">
        <v>286</v>
      </c>
      <c r="K131" s="10" t="s">
        <v>246</v>
      </c>
      <c r="L131" s="10" t="str">
        <f t="shared" si="10"/>
        <v>Chợ Lách</v>
      </c>
      <c r="M131" s="10" t="str">
        <f>IFERROR(VLOOKUP(L131,'List+TK'!$I$3:$J$9,2,0),"-")</f>
        <v>83/07</v>
      </c>
      <c r="N131" s="10">
        <v>5</v>
      </c>
      <c r="O131" s="10" t="str">
        <f t="shared" si="11"/>
        <v>Cá tra thương phẩm</v>
      </c>
      <c r="P131" s="10" t="str">
        <f t="shared" si="18"/>
        <v>83/0823/22</v>
      </c>
      <c r="Q131" s="10" t="str">
        <f t="shared" si="13"/>
        <v>Chợ Lách 83/07</v>
      </c>
      <c r="R131" s="10" t="str">
        <f t="shared" si="14"/>
        <v>Công ty CP Vĩnh Hoàn - Ấp Quân Bình, Xã Tân Thiềng</v>
      </c>
      <c r="S131" s="10">
        <f t="shared" si="15"/>
        <v>1.5</v>
      </c>
      <c r="T131" s="10" t="str">
        <f>IFERROR(VLOOKUP(J131,'List+TK'!$D$3:$E$1000,2,0),"-")</f>
        <v>-</v>
      </c>
      <c r="U131" s="10" t="str">
        <f t="shared" si="19"/>
        <v>22/08/2023</v>
      </c>
      <c r="V131" s="10" t="str">
        <f>IFERROR(VLOOKUP(K131,'List+TK'!$G$3:$H$16,2,0),"-")</f>
        <v>Nguyễn Duy Khanh</v>
      </c>
      <c r="W131" s="10" t="str">
        <f t="shared" si="17"/>
        <v>Ao 5</v>
      </c>
      <c r="X131" s="4"/>
    </row>
    <row r="132" spans="1:24" ht="49.5" x14ac:dyDescent="0.25">
      <c r="A132" s="5">
        <f>_xlfn.AGGREGATE(3,3,$I$4:I132)</f>
        <v>129</v>
      </c>
      <c r="B132" s="72">
        <v>23</v>
      </c>
      <c r="C132" s="26" t="s">
        <v>227</v>
      </c>
      <c r="D132" s="10" t="s">
        <v>511</v>
      </c>
      <c r="E132" s="10" t="s">
        <v>86</v>
      </c>
      <c r="F132" s="10" t="s">
        <v>7</v>
      </c>
      <c r="G132" s="80">
        <v>8</v>
      </c>
      <c r="H132" s="10">
        <v>22</v>
      </c>
      <c r="I132" s="10" t="s">
        <v>208</v>
      </c>
      <c r="J132" s="10" t="s">
        <v>287</v>
      </c>
      <c r="K132" s="10" t="s">
        <v>246</v>
      </c>
      <c r="L132" s="10" t="str">
        <f t="shared" ref="L132:L185" si="20">IFERROR(IF(F132="Huyện Mỏ Cày Nam","Mỏ Cày",RIGHT(F132,LEN(F132)-6)),"-")</f>
        <v>Chợ Lách</v>
      </c>
      <c r="M132" s="10" t="str">
        <f>IFERROR(VLOOKUP(L132,'List+TK'!$I$3:$J$9,2,0),"-")</f>
        <v>83/07</v>
      </c>
      <c r="N132" s="10">
        <v>7</v>
      </c>
      <c r="O132" s="10" t="str">
        <f t="shared" ref="O132:O185" si="21">I132</f>
        <v>Cá tra thương phẩm</v>
      </c>
      <c r="P132" s="10" t="str">
        <f t="shared" ref="P132:P149" si="22">"83/"&amp;IF(LEN(G132)=1,"0"&amp;G132,G132)&amp;"23/"&amp;IF(LEN(B132)=1,"0"&amp;B132,B132)</f>
        <v>83/0823/23</v>
      </c>
      <c r="Q132" s="10" t="str">
        <f t="shared" ref="Q132:Q185" si="23">L132&amp;" "&amp;M132</f>
        <v>Chợ Lách 83/07</v>
      </c>
      <c r="R132" s="10" t="str">
        <f t="shared" ref="R132:R185" si="24">C132&amp;" - "&amp;D132&amp;", "&amp;E132</f>
        <v>Công ty CP Vĩnh Hoàn - Ấp Quân Bình, Xã Tân Thiềng</v>
      </c>
      <c r="S132" s="10">
        <f t="shared" ref="S132:S185" si="25">IF(OR(I132="Tôm chân trắng nhỏ",I132="Tôm sú nhỏ"),0.5,IF(OR(I132="Cá tra nhỏ",I132="Tôm sú thương phẩm",I132="Tôm chân trắng thương phẩm",I132="Tôm sú quảng canh",I132="Nước ương tôm giống"),1,IF(I132="Cá tra thương phẩm",1.5,0)))</f>
        <v>1.5</v>
      </c>
      <c r="T132" s="10" t="str">
        <f>IFERROR(VLOOKUP(J132,'List+TK'!$D$3:$E$1000,2,0),"-")</f>
        <v>Trifluralin</v>
      </c>
      <c r="U132" s="10" t="str">
        <f t="shared" ref="U132:U149" si="26">H132&amp;"/"&amp;IF(LEN(G132)=1,"0"&amp;G132,G132)&amp;"/2023"</f>
        <v>22/08/2023</v>
      </c>
      <c r="V132" s="10" t="str">
        <f>IFERROR(VLOOKUP(K132,'List+TK'!$G$3:$H$16,2,0),"-")</f>
        <v>Nguyễn Duy Khanh</v>
      </c>
      <c r="W132" s="10" t="str">
        <f t="shared" ref="W132:W185" si="27">IF(N132="","",IF(I132="Nước ương tôm giống","Bể "&amp;N132,"Ao "&amp;N132))</f>
        <v>Ao 7</v>
      </c>
      <c r="X132" s="4"/>
    </row>
    <row r="133" spans="1:24" ht="33" x14ac:dyDescent="0.25">
      <c r="A133" s="5">
        <f>_xlfn.AGGREGATE(3,3,$I$4:I133)</f>
        <v>130</v>
      </c>
      <c r="B133" s="5">
        <v>1</v>
      </c>
      <c r="C133" s="26" t="s">
        <v>544</v>
      </c>
      <c r="D133" s="10" t="s">
        <v>254</v>
      </c>
      <c r="E133" s="10" t="s">
        <v>21</v>
      </c>
      <c r="F133" s="10" t="s">
        <v>4</v>
      </c>
      <c r="G133" s="45">
        <v>9</v>
      </c>
      <c r="H133" s="10">
        <v>18</v>
      </c>
      <c r="I133" s="10" t="s">
        <v>238</v>
      </c>
      <c r="J133" s="10" t="s">
        <v>294</v>
      </c>
      <c r="K133" s="10" t="s">
        <v>245</v>
      </c>
      <c r="L133" s="10" t="str">
        <f t="shared" si="20"/>
        <v>Ba Tri</v>
      </c>
      <c r="M133" s="10" t="str">
        <f>IFERROR(VLOOKUP(L133,'List+TK'!$I$3:$J$9,2,0),"-")</f>
        <v>83/01</v>
      </c>
      <c r="N133" s="10">
        <v>2</v>
      </c>
      <c r="O133" s="10" t="str">
        <f t="shared" si="21"/>
        <v>Tôm sú thương phẩm</v>
      </c>
      <c r="P133" s="10" t="str">
        <f t="shared" si="22"/>
        <v>83/0923/01</v>
      </c>
      <c r="Q133" s="10" t="str">
        <f t="shared" si="23"/>
        <v>Ba Tri 83/01</v>
      </c>
      <c r="R133" s="10" t="str">
        <f t="shared" si="24"/>
        <v>Phạm Văn Tâm - Ấp 7, Xã An Thủy</v>
      </c>
      <c r="S133" s="10">
        <f t="shared" si="25"/>
        <v>1</v>
      </c>
      <c r="T133" s="10" t="str">
        <f>IFERROR(VLOOKUP(J133,'List+TK'!$D$3:$E$1000,2,0),"-")</f>
        <v>-</v>
      </c>
      <c r="U133" s="10" t="str">
        <f t="shared" si="26"/>
        <v>18/09/2023</v>
      </c>
      <c r="V133" s="10" t="str">
        <f>IFERROR(VLOOKUP(K133,'List+TK'!$G$3:$H$16,2,0),"-")</f>
        <v>Phạm Minh Thuận</v>
      </c>
      <c r="W133" s="10" t="str">
        <f t="shared" si="27"/>
        <v>Ao 2</v>
      </c>
      <c r="X133" s="4"/>
    </row>
    <row r="134" spans="1:24" ht="33" x14ac:dyDescent="0.25">
      <c r="A134" s="5">
        <f>_xlfn.AGGREGATE(3,3,$I$4:I134)</f>
        <v>131</v>
      </c>
      <c r="B134" s="5">
        <v>2</v>
      </c>
      <c r="C134" s="26" t="s">
        <v>544</v>
      </c>
      <c r="D134" s="10" t="s">
        <v>254</v>
      </c>
      <c r="E134" s="10" t="s">
        <v>21</v>
      </c>
      <c r="F134" s="10" t="s">
        <v>4</v>
      </c>
      <c r="G134" s="45">
        <v>9</v>
      </c>
      <c r="H134" s="10">
        <v>18</v>
      </c>
      <c r="I134" s="10" t="s">
        <v>241</v>
      </c>
      <c r="J134" s="10" t="s">
        <v>285</v>
      </c>
      <c r="K134" s="10" t="s">
        <v>245</v>
      </c>
      <c r="L134" s="10" t="str">
        <f t="shared" si="20"/>
        <v>Ba Tri</v>
      </c>
      <c r="M134" s="10" t="str">
        <f>IFERROR(VLOOKUP(L134,'List+TK'!$I$3:$J$9,2,0),"-")</f>
        <v>83/01</v>
      </c>
      <c r="N134" s="10">
        <v>1</v>
      </c>
      <c r="O134" s="10" t="str">
        <f t="shared" si="21"/>
        <v>Tôm chân trắng thương phẩm</v>
      </c>
      <c r="P134" s="10" t="str">
        <f t="shared" si="22"/>
        <v>83/0923/02</v>
      </c>
      <c r="Q134" s="10" t="str">
        <f t="shared" si="23"/>
        <v>Ba Tri 83/01</v>
      </c>
      <c r="R134" s="10" t="str">
        <f t="shared" si="24"/>
        <v>Phạm Văn Tâm - Ấp 7, Xã An Thủy</v>
      </c>
      <c r="S134" s="10">
        <f t="shared" si="25"/>
        <v>1</v>
      </c>
      <c r="T134" s="10" t="str">
        <f>IFERROR(VLOOKUP(J134,'List+TK'!$D$3:$E$1000,2,0),"-")</f>
        <v>Amoxicillin</v>
      </c>
      <c r="U134" s="10" t="str">
        <f t="shared" si="26"/>
        <v>18/09/2023</v>
      </c>
      <c r="V134" s="10" t="str">
        <f>IFERROR(VLOOKUP(K134,'List+TK'!$G$3:$H$16,2,0),"-")</f>
        <v>Phạm Minh Thuận</v>
      </c>
      <c r="W134" s="10" t="str">
        <f t="shared" si="27"/>
        <v>Ao 1</v>
      </c>
      <c r="X134" s="4"/>
    </row>
    <row r="135" spans="1:24" ht="33" x14ac:dyDescent="0.25">
      <c r="A135" s="5">
        <f>_xlfn.AGGREGATE(3,3,$I$4:I135)</f>
        <v>132</v>
      </c>
      <c r="B135" s="5">
        <v>3</v>
      </c>
      <c r="C135" s="26" t="s">
        <v>211</v>
      </c>
      <c r="D135" s="10" t="s">
        <v>260</v>
      </c>
      <c r="E135" s="10" t="s">
        <v>34</v>
      </c>
      <c r="F135" s="10" t="s">
        <v>4</v>
      </c>
      <c r="G135" s="45">
        <v>9</v>
      </c>
      <c r="H135" s="10">
        <v>18</v>
      </c>
      <c r="I135" s="10" t="s">
        <v>208</v>
      </c>
      <c r="J135" s="45" t="s">
        <v>559</v>
      </c>
      <c r="K135" s="10" t="s">
        <v>245</v>
      </c>
      <c r="L135" s="10" t="str">
        <f t="shared" si="20"/>
        <v>Ba Tri</v>
      </c>
      <c r="M135" s="10" t="str">
        <f>IFERROR(VLOOKUP(L135,'List+TK'!$I$3:$J$9,2,0),"-")</f>
        <v>83/01</v>
      </c>
      <c r="N135" s="10">
        <v>1</v>
      </c>
      <c r="O135" s="10" t="str">
        <f t="shared" si="21"/>
        <v>Cá tra thương phẩm</v>
      </c>
      <c r="P135" s="10" t="str">
        <f t="shared" si="22"/>
        <v>83/0923/03</v>
      </c>
      <c r="Q135" s="10" t="str">
        <f t="shared" si="23"/>
        <v>Ba Tri 83/01</v>
      </c>
      <c r="R135" s="10" t="str">
        <f t="shared" si="24"/>
        <v>Công ty CP Gò Đàng - Ấp 4, Xã Tân Xuân</v>
      </c>
      <c r="S135" s="10">
        <f t="shared" si="25"/>
        <v>1.5</v>
      </c>
      <c r="T135" s="10" t="str">
        <f>IFERROR(VLOOKUP(J135,'List+TK'!$D$3:$E$1000,2,0),"-")</f>
        <v>Trifluralin, Pb, Hg, Cd</v>
      </c>
      <c r="U135" s="10" t="str">
        <f t="shared" si="26"/>
        <v>18/09/2023</v>
      </c>
      <c r="V135" s="10" t="str">
        <f>IFERROR(VLOOKUP(K135,'List+TK'!$G$3:$H$16,2,0),"-")</f>
        <v>Phạm Minh Thuận</v>
      </c>
      <c r="W135" s="10" t="str">
        <f t="shared" si="27"/>
        <v>Ao 1</v>
      </c>
      <c r="X135" s="4"/>
    </row>
    <row r="136" spans="1:24" ht="49.5" x14ac:dyDescent="0.25">
      <c r="A136" s="5">
        <f>_xlfn.AGGREGATE(3,3,$I$4:I136)</f>
        <v>133</v>
      </c>
      <c r="B136" s="5">
        <v>4</v>
      </c>
      <c r="C136" s="26" t="s">
        <v>447</v>
      </c>
      <c r="D136" s="10" t="s">
        <v>449</v>
      </c>
      <c r="E136" s="10" t="s">
        <v>51</v>
      </c>
      <c r="F136" s="10" t="s">
        <v>5</v>
      </c>
      <c r="G136" s="45">
        <v>9</v>
      </c>
      <c r="H136" s="10">
        <v>18</v>
      </c>
      <c r="I136" s="10" t="s">
        <v>241</v>
      </c>
      <c r="J136" s="10" t="s">
        <v>274</v>
      </c>
      <c r="K136" s="10" t="s">
        <v>244</v>
      </c>
      <c r="L136" s="10" t="str">
        <f t="shared" si="20"/>
        <v>Bình Đại</v>
      </c>
      <c r="M136" s="10" t="str">
        <f>IFERROR(VLOOKUP(L136,'List+TK'!$I$3:$J$9,2,0),"-")</f>
        <v>83/02</v>
      </c>
      <c r="N136" s="10">
        <v>1</v>
      </c>
      <c r="O136" s="10" t="str">
        <f t="shared" si="21"/>
        <v>Tôm chân trắng thương phẩm</v>
      </c>
      <c r="P136" s="10" t="str">
        <f t="shared" si="22"/>
        <v>83/0923/04</v>
      </c>
      <c r="Q136" s="10" t="str">
        <f t="shared" si="23"/>
        <v>Bình Đại 83/02</v>
      </c>
      <c r="R136" s="10" t="str">
        <f t="shared" si="24"/>
        <v>Nguyễn Thị Trang - ấp 3, Xã Thạnh Trị</v>
      </c>
      <c r="S136" s="10">
        <f t="shared" si="25"/>
        <v>1</v>
      </c>
      <c r="T136" s="10" t="str">
        <f>IFERROR(VLOOKUP(J136,'List+TK'!$D$3:$E$1000,2,0),"-")</f>
        <v>Nitrofurans</v>
      </c>
      <c r="U136" s="10" t="str">
        <f t="shared" si="26"/>
        <v>18/09/2023</v>
      </c>
      <c r="V136" s="10" t="str">
        <f>IFERROR(VLOOKUP(K136,'List+TK'!$G$3:$H$16,2,0),"-")</f>
        <v>Cao Quang Nguyên</v>
      </c>
      <c r="W136" s="10" t="str">
        <f t="shared" si="27"/>
        <v>Ao 1</v>
      </c>
      <c r="X136" s="4" t="s">
        <v>353</v>
      </c>
    </row>
    <row r="137" spans="1:24" ht="49.5" x14ac:dyDescent="0.25">
      <c r="A137" s="5">
        <f>_xlfn.AGGREGATE(3,3,$I$4:I137)</f>
        <v>134</v>
      </c>
      <c r="B137" s="5">
        <v>5</v>
      </c>
      <c r="C137" s="26" t="s">
        <v>211</v>
      </c>
      <c r="D137" s="10" t="s">
        <v>546</v>
      </c>
      <c r="E137" s="10" t="s">
        <v>40</v>
      </c>
      <c r="F137" s="10" t="s">
        <v>5</v>
      </c>
      <c r="G137" s="45">
        <v>9</v>
      </c>
      <c r="H137" s="10">
        <v>18</v>
      </c>
      <c r="I137" s="10" t="s">
        <v>208</v>
      </c>
      <c r="J137" s="45" t="s">
        <v>561</v>
      </c>
      <c r="K137" s="10" t="s">
        <v>244</v>
      </c>
      <c r="L137" s="10" t="str">
        <f t="shared" si="20"/>
        <v>Bình Đại</v>
      </c>
      <c r="M137" s="10" t="str">
        <f>IFERROR(VLOOKUP(L137,'List+TK'!$I$3:$J$9,2,0),"-")</f>
        <v>83/02</v>
      </c>
      <c r="N137" s="10" t="s">
        <v>554</v>
      </c>
      <c r="O137" s="10" t="str">
        <f t="shared" si="21"/>
        <v>Cá tra thương phẩm</v>
      </c>
      <c r="P137" s="10" t="str">
        <f t="shared" si="22"/>
        <v>83/0923/05</v>
      </c>
      <c r="Q137" s="10" t="str">
        <f t="shared" si="23"/>
        <v>Bình Đại 83/02</v>
      </c>
      <c r="R137" s="10" t="str">
        <f t="shared" si="24"/>
        <v>Công ty CP Gò Đàng - Ấp Hưng Nhơn, Xã Châu Hưng</v>
      </c>
      <c r="S137" s="10">
        <f t="shared" si="25"/>
        <v>1.5</v>
      </c>
      <c r="T137" s="10" t="str">
        <f>IFERROR(VLOOKUP(J137,'List+TK'!$D$3:$E$1000,2,0),"-")</f>
        <v>Nhóm Quinolones, Pb, Hg, Cd</v>
      </c>
      <c r="U137" s="10" t="str">
        <f t="shared" si="26"/>
        <v>18/09/2023</v>
      </c>
      <c r="V137" s="10" t="str">
        <f>IFERROR(VLOOKUP(K137,'List+TK'!$G$3:$H$16,2,0),"-")</f>
        <v>Cao Quang Nguyên</v>
      </c>
      <c r="W137" s="10" t="str">
        <f t="shared" si="27"/>
        <v>Ao E1</v>
      </c>
      <c r="X137" s="4"/>
    </row>
    <row r="138" spans="1:24" ht="49.5" x14ac:dyDescent="0.25">
      <c r="A138" s="5">
        <f>_xlfn.AGGREGATE(3,3,$I$4:I138)</f>
        <v>135</v>
      </c>
      <c r="B138" s="5">
        <v>6</v>
      </c>
      <c r="C138" s="26" t="s">
        <v>211</v>
      </c>
      <c r="D138" s="10" t="s">
        <v>546</v>
      </c>
      <c r="E138" s="10" t="s">
        <v>40</v>
      </c>
      <c r="F138" s="10" t="s">
        <v>5</v>
      </c>
      <c r="G138" s="45">
        <v>9</v>
      </c>
      <c r="H138" s="10">
        <v>18</v>
      </c>
      <c r="I138" s="10" t="s">
        <v>208</v>
      </c>
      <c r="J138" s="45" t="s">
        <v>563</v>
      </c>
      <c r="K138" s="10" t="s">
        <v>244</v>
      </c>
      <c r="L138" s="10" t="str">
        <f t="shared" si="20"/>
        <v>Bình Đại</v>
      </c>
      <c r="M138" s="10" t="str">
        <f>IFERROR(VLOOKUP(L138,'List+TK'!$I$3:$J$9,2,0),"-")</f>
        <v>83/02</v>
      </c>
      <c r="N138" s="10" t="s">
        <v>555</v>
      </c>
      <c r="O138" s="10" t="str">
        <f t="shared" si="21"/>
        <v>Cá tra thương phẩm</v>
      </c>
      <c r="P138" s="10" t="str">
        <f t="shared" si="22"/>
        <v>83/0923/06</v>
      </c>
      <c r="Q138" s="10" t="str">
        <f t="shared" si="23"/>
        <v>Bình Đại 83/02</v>
      </c>
      <c r="R138" s="10" t="str">
        <f t="shared" si="24"/>
        <v>Công ty CP Gò Đàng - Ấp Hưng Nhơn, Xã Châu Hưng</v>
      </c>
      <c r="S138" s="10">
        <f t="shared" si="25"/>
        <v>1.5</v>
      </c>
      <c r="T138" s="10" t="str">
        <f>IFERROR(VLOOKUP(J138,'List+TK'!$D$3:$E$1000,2,0),"-")</f>
        <v>Ormetoprim, Pb, Hg, Cd</v>
      </c>
      <c r="U138" s="10" t="str">
        <f t="shared" si="26"/>
        <v>18/09/2023</v>
      </c>
      <c r="V138" s="10" t="str">
        <f>IFERROR(VLOOKUP(K138,'List+TK'!$G$3:$H$16,2,0),"-")</f>
        <v>Cao Quang Nguyên</v>
      </c>
      <c r="W138" s="10" t="str">
        <f t="shared" si="27"/>
        <v>Ao E2</v>
      </c>
      <c r="X138" s="4"/>
    </row>
    <row r="139" spans="1:24" ht="49.5" x14ac:dyDescent="0.25">
      <c r="A139" s="5">
        <f>_xlfn.AGGREGATE(3,3,$I$4:I139)</f>
        <v>136</v>
      </c>
      <c r="B139" s="5">
        <v>7</v>
      </c>
      <c r="C139" s="26" t="s">
        <v>300</v>
      </c>
      <c r="D139" s="10" t="s">
        <v>302</v>
      </c>
      <c r="E139" s="10" t="s">
        <v>147</v>
      </c>
      <c r="F139" s="10" t="s">
        <v>11</v>
      </c>
      <c r="G139" s="45">
        <v>9</v>
      </c>
      <c r="H139" s="10">
        <v>19</v>
      </c>
      <c r="I139" s="10" t="s">
        <v>238</v>
      </c>
      <c r="J139" s="10" t="s">
        <v>290</v>
      </c>
      <c r="K139" s="10" t="s">
        <v>244</v>
      </c>
      <c r="L139" s="10" t="str">
        <f t="shared" si="20"/>
        <v>Thạnh Phú</v>
      </c>
      <c r="M139" s="10" t="str">
        <f>IFERROR(VLOOKUP(L139,'List+TK'!$I$3:$J$9,2,0),"-")</f>
        <v>83/03</v>
      </c>
      <c r="N139" s="10">
        <v>1</v>
      </c>
      <c r="O139" s="10" t="str">
        <f t="shared" si="21"/>
        <v>Tôm sú thương phẩm</v>
      </c>
      <c r="P139" s="10" t="str">
        <f t="shared" si="22"/>
        <v>83/0923/07</v>
      </c>
      <c r="Q139" s="10" t="str">
        <f t="shared" si="23"/>
        <v>Thạnh Phú 83/03</v>
      </c>
      <c r="R139" s="10" t="str">
        <f t="shared" si="24"/>
        <v>Phạm Văn Công - Ấp 1, Xã Giao Thạnh</v>
      </c>
      <c r="S139" s="10">
        <f t="shared" si="25"/>
        <v>1</v>
      </c>
      <c r="T139" s="10" t="str">
        <f>IFERROR(VLOOKUP(J139,'List+TK'!$D$3:$E$1000,2,0),"-")</f>
        <v>-</v>
      </c>
      <c r="U139" s="10" t="str">
        <f t="shared" si="26"/>
        <v>19/09/2023</v>
      </c>
      <c r="V139" s="10" t="str">
        <f>IFERROR(VLOOKUP(K139,'List+TK'!$G$3:$H$16,2,0),"-")</f>
        <v>Cao Quang Nguyên</v>
      </c>
      <c r="W139" s="10" t="str">
        <f t="shared" si="27"/>
        <v>Ao 1</v>
      </c>
      <c r="X139" s="4"/>
    </row>
    <row r="140" spans="1:24" ht="49.5" x14ac:dyDescent="0.25">
      <c r="A140" s="5">
        <f>_xlfn.AGGREGATE(3,3,$I$4:I140)</f>
        <v>137</v>
      </c>
      <c r="B140" s="5">
        <v>8</v>
      </c>
      <c r="C140" s="26" t="s">
        <v>300</v>
      </c>
      <c r="D140" s="10" t="s">
        <v>302</v>
      </c>
      <c r="E140" s="10" t="s">
        <v>147</v>
      </c>
      <c r="F140" s="10" t="s">
        <v>11</v>
      </c>
      <c r="G140" s="45">
        <v>9</v>
      </c>
      <c r="H140" s="10">
        <v>19</v>
      </c>
      <c r="I140" s="10" t="s">
        <v>241</v>
      </c>
      <c r="J140" s="10" t="s">
        <v>294</v>
      </c>
      <c r="K140" s="10" t="s">
        <v>244</v>
      </c>
      <c r="L140" s="10" t="str">
        <f t="shared" si="20"/>
        <v>Thạnh Phú</v>
      </c>
      <c r="M140" s="10" t="str">
        <f>IFERROR(VLOOKUP(L140,'List+TK'!$I$3:$J$9,2,0),"-")</f>
        <v>83/03</v>
      </c>
      <c r="N140" s="10">
        <v>3</v>
      </c>
      <c r="O140" s="10" t="str">
        <f t="shared" si="21"/>
        <v>Tôm chân trắng thương phẩm</v>
      </c>
      <c r="P140" s="10" t="str">
        <f t="shared" si="22"/>
        <v>83/0923/08</v>
      </c>
      <c r="Q140" s="10" t="str">
        <f t="shared" si="23"/>
        <v>Thạnh Phú 83/03</v>
      </c>
      <c r="R140" s="10" t="str">
        <f t="shared" si="24"/>
        <v>Phạm Văn Công - Ấp 1, Xã Giao Thạnh</v>
      </c>
      <c r="S140" s="10">
        <f t="shared" si="25"/>
        <v>1</v>
      </c>
      <c r="T140" s="10" t="str">
        <f>IFERROR(VLOOKUP(J140,'List+TK'!$D$3:$E$1000,2,0),"-")</f>
        <v>-</v>
      </c>
      <c r="U140" s="10" t="str">
        <f t="shared" si="26"/>
        <v>19/09/2023</v>
      </c>
      <c r="V140" s="10" t="str">
        <f>IFERROR(VLOOKUP(K140,'List+TK'!$G$3:$H$16,2,0),"-")</f>
        <v>Cao Quang Nguyên</v>
      </c>
      <c r="W140" s="10" t="str">
        <f t="shared" si="27"/>
        <v>Ao 3</v>
      </c>
      <c r="X140" s="4"/>
    </row>
    <row r="141" spans="1:24" ht="49.5" x14ac:dyDescent="0.25">
      <c r="A141" s="5">
        <f>_xlfn.AGGREGATE(3,3,$I$4:I141)</f>
        <v>138</v>
      </c>
      <c r="B141" s="5">
        <v>9</v>
      </c>
      <c r="C141" s="26" t="s">
        <v>545</v>
      </c>
      <c r="D141" s="10" t="s">
        <v>473</v>
      </c>
      <c r="E141" s="10" t="s">
        <v>154</v>
      </c>
      <c r="F141" s="10" t="s">
        <v>11</v>
      </c>
      <c r="G141" s="45">
        <v>9</v>
      </c>
      <c r="H141" s="10">
        <v>19</v>
      </c>
      <c r="I141" s="10" t="s">
        <v>239</v>
      </c>
      <c r="J141" s="10" t="s">
        <v>279</v>
      </c>
      <c r="K141" s="10" t="s">
        <v>244</v>
      </c>
      <c r="L141" s="10" t="str">
        <f t="shared" si="20"/>
        <v>Thạnh Phú</v>
      </c>
      <c r="M141" s="10" t="str">
        <f>IFERROR(VLOOKUP(L141,'List+TK'!$I$3:$J$9,2,0),"-")</f>
        <v>83/03</v>
      </c>
      <c r="N141" s="10"/>
      <c r="O141" s="10" t="str">
        <f t="shared" si="21"/>
        <v>Tôm sú quảng canh</v>
      </c>
      <c r="P141" s="10" t="str">
        <f t="shared" si="22"/>
        <v>83/0923/09</v>
      </c>
      <c r="Q141" s="10" t="str">
        <f t="shared" si="23"/>
        <v>Thạnh Phú 83/03</v>
      </c>
      <c r="R141" s="10" t="str">
        <f t="shared" si="24"/>
        <v>Bùi Hiếu Hiền - Ấp Thạnh Thới B, Xã Thạnh Hải</v>
      </c>
      <c r="S141" s="10">
        <f t="shared" si="25"/>
        <v>1</v>
      </c>
      <c r="T141" s="10" t="str">
        <f>IFERROR(VLOOKUP(J141,'List+TK'!$D$3:$E$1000,2,0),"-")</f>
        <v>Florfenicol</v>
      </c>
      <c r="U141" s="10" t="str">
        <f t="shared" si="26"/>
        <v>19/09/2023</v>
      </c>
      <c r="V141" s="10" t="str">
        <f>IFERROR(VLOOKUP(K141,'List+TK'!$G$3:$H$16,2,0),"-")</f>
        <v>Cao Quang Nguyên</v>
      </c>
      <c r="W141" s="10" t="str">
        <f t="shared" si="27"/>
        <v/>
      </c>
      <c r="X141" s="4"/>
    </row>
    <row r="142" spans="1:24" ht="49.5" x14ac:dyDescent="0.25">
      <c r="A142" s="5">
        <f>_xlfn.AGGREGATE(3,3,$I$4:I142)</f>
        <v>139</v>
      </c>
      <c r="B142" s="5">
        <v>10</v>
      </c>
      <c r="C142" s="26" t="s">
        <v>233</v>
      </c>
      <c r="D142" s="10" t="s">
        <v>303</v>
      </c>
      <c r="E142" s="10" t="s">
        <v>138</v>
      </c>
      <c r="F142" s="10" t="s">
        <v>10</v>
      </c>
      <c r="G142" s="45">
        <v>9</v>
      </c>
      <c r="H142" s="10">
        <v>19</v>
      </c>
      <c r="I142" s="10" t="s">
        <v>208</v>
      </c>
      <c r="J142" s="45" t="s">
        <v>565</v>
      </c>
      <c r="K142" s="10" t="s">
        <v>245</v>
      </c>
      <c r="L142" s="10" t="str">
        <f t="shared" si="20"/>
        <v>Mỏ Cày</v>
      </c>
      <c r="M142" s="10" t="str">
        <f>IFERROR(VLOOKUP(L142,'List+TK'!$I$3:$J$9,2,0),"-")</f>
        <v>83/04</v>
      </c>
      <c r="N142" s="10">
        <v>6</v>
      </c>
      <c r="O142" s="10" t="str">
        <f t="shared" si="21"/>
        <v>Cá tra thương phẩm</v>
      </c>
      <c r="P142" s="10" t="str">
        <f t="shared" si="22"/>
        <v>83/0923/10</v>
      </c>
      <c r="Q142" s="10" t="str">
        <f t="shared" si="23"/>
        <v>Mỏ Cày 83/04</v>
      </c>
      <c r="R142" s="10" t="str">
        <f t="shared" si="24"/>
        <v>Công ty CPTS Hải Hương - Ấp Thành Long, Xã Thành Thới A</v>
      </c>
      <c r="S142" s="10">
        <f t="shared" si="25"/>
        <v>1.5</v>
      </c>
      <c r="T142" s="10" t="str">
        <f>IFERROR(VLOOKUP(J142,'List+TK'!$D$3:$E$1000,2,0),"-")</f>
        <v>Chlorpyrifos, Fipronil, Pb, Hg, Cd</v>
      </c>
      <c r="U142" s="10" t="str">
        <f t="shared" si="26"/>
        <v>19/09/2023</v>
      </c>
      <c r="V142" s="10" t="str">
        <f>IFERROR(VLOOKUP(K142,'List+TK'!$G$3:$H$16,2,0),"-")</f>
        <v>Phạm Minh Thuận</v>
      </c>
      <c r="W142" s="10" t="str">
        <f t="shared" si="27"/>
        <v>Ao 6</v>
      </c>
      <c r="X142" s="4" t="s">
        <v>353</v>
      </c>
    </row>
    <row r="143" spans="1:24" ht="66" x14ac:dyDescent="0.25">
      <c r="A143" s="5">
        <f>_xlfn.AGGREGATE(3,3,$I$4:I143)</f>
        <v>140</v>
      </c>
      <c r="B143" s="5">
        <v>11</v>
      </c>
      <c r="C143" s="26" t="s">
        <v>233</v>
      </c>
      <c r="D143" s="10" t="s">
        <v>303</v>
      </c>
      <c r="E143" s="10" t="s">
        <v>138</v>
      </c>
      <c r="F143" s="10" t="s">
        <v>10</v>
      </c>
      <c r="G143" s="45">
        <v>9</v>
      </c>
      <c r="H143" s="10">
        <v>19</v>
      </c>
      <c r="I143" s="10" t="s">
        <v>208</v>
      </c>
      <c r="J143" s="45" t="s">
        <v>567</v>
      </c>
      <c r="K143" s="10" t="s">
        <v>245</v>
      </c>
      <c r="L143" s="10" t="str">
        <f t="shared" si="20"/>
        <v>Mỏ Cày</v>
      </c>
      <c r="M143" s="10" t="str">
        <f>IFERROR(VLOOKUP(L143,'List+TK'!$I$3:$J$9,2,0),"-")</f>
        <v>83/04</v>
      </c>
      <c r="N143" s="10">
        <v>10</v>
      </c>
      <c r="O143" s="10" t="str">
        <f t="shared" si="21"/>
        <v>Cá tra thương phẩm</v>
      </c>
      <c r="P143" s="10" t="str">
        <f t="shared" si="22"/>
        <v>83/0923/11</v>
      </c>
      <c r="Q143" s="10" t="str">
        <f t="shared" si="23"/>
        <v>Mỏ Cày 83/04</v>
      </c>
      <c r="R143" s="10" t="str">
        <f t="shared" si="24"/>
        <v>Công ty CPTS Hải Hương - Ấp Thành Long, Xã Thành Thới A</v>
      </c>
      <c r="S143" s="10">
        <f t="shared" si="25"/>
        <v>1.5</v>
      </c>
      <c r="T143" s="10" t="str">
        <f>IFERROR(VLOOKUP(J143,'List+TK'!$D$3:$E$1000,2,0),"-")</f>
        <v>Malachite Green, Leuco Malachite Green, Crystal Violet, Leuco Crystal Violet, Pb, Hg, Cd</v>
      </c>
      <c r="U143" s="10" t="str">
        <f t="shared" si="26"/>
        <v>19/09/2023</v>
      </c>
      <c r="V143" s="10" t="str">
        <f>IFERROR(VLOOKUP(K143,'List+TK'!$G$3:$H$16,2,0),"-")</f>
        <v>Phạm Minh Thuận</v>
      </c>
      <c r="W143" s="10" t="str">
        <f t="shared" si="27"/>
        <v>Ao 10</v>
      </c>
      <c r="X143" s="4" t="s">
        <v>353</v>
      </c>
    </row>
    <row r="144" spans="1:24" ht="49.5" x14ac:dyDescent="0.25">
      <c r="A144" s="5">
        <f>_xlfn.AGGREGATE(3,3,$I$4:I144)</f>
        <v>141</v>
      </c>
      <c r="B144" s="5">
        <v>12</v>
      </c>
      <c r="C144" s="26" t="s">
        <v>211</v>
      </c>
      <c r="D144" s="10" t="s">
        <v>548</v>
      </c>
      <c r="E144" s="10" t="s">
        <v>73</v>
      </c>
      <c r="F144" s="10" t="s">
        <v>6</v>
      </c>
      <c r="G144" s="45">
        <v>9</v>
      </c>
      <c r="H144" s="10">
        <v>18</v>
      </c>
      <c r="I144" s="10" t="s">
        <v>208</v>
      </c>
      <c r="J144" s="45" t="s">
        <v>569</v>
      </c>
      <c r="K144" s="10" t="s">
        <v>249</v>
      </c>
      <c r="L144" s="10" t="str">
        <f t="shared" si="20"/>
        <v>Châu Thành</v>
      </c>
      <c r="M144" s="10" t="str">
        <f>IFERROR(VLOOKUP(L144,'List+TK'!$I$3:$J$9,2,0),"-")</f>
        <v>83/05</v>
      </c>
      <c r="N144" s="10" t="s">
        <v>520</v>
      </c>
      <c r="O144" s="10" t="str">
        <f t="shared" si="21"/>
        <v>Cá tra thương phẩm</v>
      </c>
      <c r="P144" s="10" t="str">
        <f t="shared" si="22"/>
        <v>83/0923/12</v>
      </c>
      <c r="Q144" s="10" t="str">
        <f t="shared" si="23"/>
        <v>Châu Thành 83/05</v>
      </c>
      <c r="R144" s="10" t="str">
        <f t="shared" si="24"/>
        <v>Công ty CP Gò Đàng - Ấp Phú Luông, Xã Tân Phú</v>
      </c>
      <c r="S144" s="10">
        <f t="shared" si="25"/>
        <v>1.5</v>
      </c>
      <c r="T144" s="10" t="str">
        <f>IFERROR(VLOOKUP(J144,'List+TK'!$D$3:$E$1000,2,0),"-")</f>
        <v>Ivermectin, Praziquantel, Trichlorfon, Avermectin B1a, Pb, Hg, Cd</v>
      </c>
      <c r="U144" s="10" t="str">
        <f t="shared" si="26"/>
        <v>18/09/2023</v>
      </c>
      <c r="V144" s="10" t="str">
        <f>IFERROR(VLOOKUP(K144,'List+TK'!$G$3:$H$16,2,0),"-")</f>
        <v>Phạm Văn Lâm</v>
      </c>
      <c r="W144" s="10" t="str">
        <f t="shared" si="27"/>
        <v>Ao B3</v>
      </c>
      <c r="X144" s="4" t="s">
        <v>353</v>
      </c>
    </row>
    <row r="145" spans="1:24" ht="49.5" x14ac:dyDescent="0.25">
      <c r="A145" s="5">
        <f>_xlfn.AGGREGATE(3,3,$I$4:I145)</f>
        <v>142</v>
      </c>
      <c r="B145" s="5">
        <v>13</v>
      </c>
      <c r="C145" s="26" t="s">
        <v>211</v>
      </c>
      <c r="D145" s="10" t="s">
        <v>548</v>
      </c>
      <c r="E145" s="10" t="s">
        <v>73</v>
      </c>
      <c r="F145" s="10" t="s">
        <v>6</v>
      </c>
      <c r="G145" s="45">
        <v>9</v>
      </c>
      <c r="H145" s="10">
        <v>18</v>
      </c>
      <c r="I145" s="10" t="s">
        <v>208</v>
      </c>
      <c r="J145" s="45" t="s">
        <v>559</v>
      </c>
      <c r="K145" s="10" t="s">
        <v>249</v>
      </c>
      <c r="L145" s="10" t="str">
        <f t="shared" si="20"/>
        <v>Châu Thành</v>
      </c>
      <c r="M145" s="10" t="str">
        <f>IFERROR(VLOOKUP(L145,'List+TK'!$I$3:$J$9,2,0),"-")</f>
        <v>83/05</v>
      </c>
      <c r="N145" s="10" t="s">
        <v>553</v>
      </c>
      <c r="O145" s="10" t="str">
        <f t="shared" si="21"/>
        <v>Cá tra thương phẩm</v>
      </c>
      <c r="P145" s="10" t="str">
        <f t="shared" si="22"/>
        <v>83/0923/13</v>
      </c>
      <c r="Q145" s="10" t="str">
        <f t="shared" si="23"/>
        <v>Châu Thành 83/05</v>
      </c>
      <c r="R145" s="10" t="str">
        <f t="shared" si="24"/>
        <v>Công ty CP Gò Đàng - Ấp Phú Luông, Xã Tân Phú</v>
      </c>
      <c r="S145" s="10">
        <f t="shared" si="25"/>
        <v>1.5</v>
      </c>
      <c r="T145" s="10" t="str">
        <f>IFERROR(VLOOKUP(J145,'List+TK'!$D$3:$E$1000,2,0),"-")</f>
        <v>Trifluralin, Pb, Hg, Cd</v>
      </c>
      <c r="U145" s="10" t="str">
        <f t="shared" si="26"/>
        <v>18/09/2023</v>
      </c>
      <c r="V145" s="10" t="str">
        <f>IFERROR(VLOOKUP(K145,'List+TK'!$G$3:$H$16,2,0),"-")</f>
        <v>Phạm Văn Lâm</v>
      </c>
      <c r="W145" s="10" t="str">
        <f t="shared" si="27"/>
        <v>Ao B4</v>
      </c>
      <c r="X145" s="4"/>
    </row>
    <row r="146" spans="1:24" ht="33" x14ac:dyDescent="0.25">
      <c r="A146" s="5">
        <f>_xlfn.AGGREGATE(3,3,$I$4:I146)</f>
        <v>143</v>
      </c>
      <c r="B146" s="5">
        <v>14</v>
      </c>
      <c r="C146" s="26" t="s">
        <v>211</v>
      </c>
      <c r="D146" s="10" t="s">
        <v>302</v>
      </c>
      <c r="E146" s="10" t="s">
        <v>104</v>
      </c>
      <c r="F146" s="10" t="s">
        <v>8</v>
      </c>
      <c r="G146" s="45">
        <v>9</v>
      </c>
      <c r="H146" s="10">
        <v>20</v>
      </c>
      <c r="I146" s="10" t="s">
        <v>208</v>
      </c>
      <c r="J146" s="45" t="s">
        <v>571</v>
      </c>
      <c r="K146" s="10" t="s">
        <v>245</v>
      </c>
      <c r="L146" s="10" t="str">
        <f t="shared" si="20"/>
        <v>Giồng Trôm</v>
      </c>
      <c r="M146" s="10" t="str">
        <f>IFERROR(VLOOKUP(L146,'List+TK'!$I$3:$J$9,2,0),"-")</f>
        <v>83/06</v>
      </c>
      <c r="N146" s="10">
        <v>2</v>
      </c>
      <c r="O146" s="10" t="str">
        <f t="shared" si="21"/>
        <v>Cá tra thương phẩm</v>
      </c>
      <c r="P146" s="10" t="str">
        <f t="shared" si="22"/>
        <v>83/0923/14</v>
      </c>
      <c r="Q146" s="10" t="str">
        <f t="shared" si="23"/>
        <v>Giồng Trôm 83/06</v>
      </c>
      <c r="R146" s="10" t="str">
        <f t="shared" si="24"/>
        <v>Công ty CP Gò Đàng - Ấp 1, Xã Sơn Phú</v>
      </c>
      <c r="S146" s="10">
        <f t="shared" si="25"/>
        <v>1.5</v>
      </c>
      <c r="T146" s="10" t="str">
        <f>IFERROR(VLOOKUP(J146,'List+TK'!$D$3:$E$1000,2,0),"-")</f>
        <v>Fosfomycin, Pb, Hg, Cd</v>
      </c>
      <c r="U146" s="10" t="str">
        <f t="shared" si="26"/>
        <v>20/09/2023</v>
      </c>
      <c r="V146" s="10" t="str">
        <f>IFERROR(VLOOKUP(K146,'List+TK'!$G$3:$H$16,2,0),"-")</f>
        <v>Phạm Minh Thuận</v>
      </c>
      <c r="W146" s="10" t="str">
        <f t="shared" si="27"/>
        <v>Ao 2</v>
      </c>
      <c r="X146" s="4"/>
    </row>
    <row r="147" spans="1:24" ht="33" x14ac:dyDescent="0.25">
      <c r="A147" s="5">
        <f>_xlfn.AGGREGATE(3,3,$I$4:I147)</f>
        <v>144</v>
      </c>
      <c r="B147" s="5">
        <v>15</v>
      </c>
      <c r="C147" s="26" t="s">
        <v>211</v>
      </c>
      <c r="D147" s="10" t="s">
        <v>302</v>
      </c>
      <c r="E147" s="10" t="s">
        <v>104</v>
      </c>
      <c r="F147" s="10" t="s">
        <v>8</v>
      </c>
      <c r="G147" s="45">
        <v>9</v>
      </c>
      <c r="H147" s="10">
        <v>20</v>
      </c>
      <c r="I147" s="10" t="s">
        <v>208</v>
      </c>
      <c r="J147" s="45" t="s">
        <v>572</v>
      </c>
      <c r="K147" s="10" t="s">
        <v>245</v>
      </c>
      <c r="L147" s="10" t="str">
        <f t="shared" si="20"/>
        <v>Giồng Trôm</v>
      </c>
      <c r="M147" s="10" t="str">
        <f>IFERROR(VLOOKUP(L147,'List+TK'!$I$3:$J$9,2,0),"-")</f>
        <v>83/06</v>
      </c>
      <c r="N147" s="10">
        <v>7</v>
      </c>
      <c r="O147" s="10" t="str">
        <f t="shared" si="21"/>
        <v>Cá tra thương phẩm</v>
      </c>
      <c r="P147" s="10" t="str">
        <f t="shared" si="22"/>
        <v>83/0923/15</v>
      </c>
      <c r="Q147" s="10" t="str">
        <f t="shared" si="23"/>
        <v>Giồng Trôm 83/06</v>
      </c>
      <c r="R147" s="10" t="str">
        <f t="shared" si="24"/>
        <v>Công ty CP Gò Đàng - Ấp 1, Xã Sơn Phú</v>
      </c>
      <c r="S147" s="10">
        <f t="shared" si="25"/>
        <v>1.5</v>
      </c>
      <c r="T147" s="10" t="str">
        <f>IFERROR(VLOOKUP(J147,'List+TK'!$D$3:$E$1000,2,0),"-")</f>
        <v>Erythromycin, Pb, Hg, Cd</v>
      </c>
      <c r="U147" s="10" t="str">
        <f t="shared" si="26"/>
        <v>20/09/2023</v>
      </c>
      <c r="V147" s="10" t="str">
        <f>IFERROR(VLOOKUP(K147,'List+TK'!$G$3:$H$16,2,0),"-")</f>
        <v>Phạm Minh Thuận</v>
      </c>
      <c r="W147" s="10" t="str">
        <f t="shared" si="27"/>
        <v>Ao 7</v>
      </c>
      <c r="X147" s="4"/>
    </row>
    <row r="148" spans="1:24" ht="82.5" x14ac:dyDescent="0.25">
      <c r="A148" s="5">
        <f>_xlfn.AGGREGATE(3,3,$I$4:I148)</f>
        <v>145</v>
      </c>
      <c r="B148" s="5">
        <v>16</v>
      </c>
      <c r="C148" s="26" t="s">
        <v>232</v>
      </c>
      <c r="D148" s="10" t="s">
        <v>547</v>
      </c>
      <c r="E148" s="10" t="s">
        <v>86</v>
      </c>
      <c r="F148" s="10" t="s">
        <v>7</v>
      </c>
      <c r="G148" s="45">
        <v>9</v>
      </c>
      <c r="H148" s="10">
        <v>19</v>
      </c>
      <c r="I148" s="10" t="s">
        <v>207</v>
      </c>
      <c r="J148" s="45" t="s">
        <v>575</v>
      </c>
      <c r="K148" s="10" t="s">
        <v>249</v>
      </c>
      <c r="L148" s="10" t="str">
        <f t="shared" si="20"/>
        <v>Chợ Lách</v>
      </c>
      <c r="M148" s="10" t="str">
        <f>IFERROR(VLOOKUP(L148,'List+TK'!$I$3:$J$9,2,0),"-")</f>
        <v>83/07</v>
      </c>
      <c r="N148" s="10">
        <v>7</v>
      </c>
      <c r="O148" s="10" t="str">
        <f t="shared" si="21"/>
        <v>Cá tra nhỏ</v>
      </c>
      <c r="P148" s="10" t="str">
        <f t="shared" si="22"/>
        <v>83/0923/16</v>
      </c>
      <c r="Q148" s="10" t="str">
        <f t="shared" si="23"/>
        <v>Chợ Lách 83/07</v>
      </c>
      <c r="R148" s="10" t="str">
        <f t="shared" si="24"/>
        <v>Công ty TNHH CBTPXK Vạn Đức Tiền Giang - Khu nuôi Cồn Kiếng, Ấp Long Khánh, Xã Tân Thiềng</v>
      </c>
      <c r="S148" s="10">
        <f t="shared" si="25"/>
        <v>1</v>
      </c>
      <c r="T148" s="10" t="str">
        <f>IFERROR(VLOOKUP(J148,'List+TK'!$D$3:$E$1000,2,0),"-")</f>
        <v>Nitrofurans, Pb, Hg, Cd</v>
      </c>
      <c r="U148" s="10" t="str">
        <f t="shared" si="26"/>
        <v>19/09/2023</v>
      </c>
      <c r="V148" s="10" t="str">
        <f>IFERROR(VLOOKUP(K148,'List+TK'!$G$3:$H$16,2,0),"-")</f>
        <v>Phạm Văn Lâm</v>
      </c>
      <c r="W148" s="10" t="str">
        <f t="shared" si="27"/>
        <v>Ao 7</v>
      </c>
      <c r="X148" s="4"/>
    </row>
    <row r="149" spans="1:24" ht="82.5" x14ac:dyDescent="0.25">
      <c r="A149" s="5">
        <f>_xlfn.AGGREGATE(3,3,$I$4:I149)</f>
        <v>146</v>
      </c>
      <c r="B149" s="5">
        <v>17</v>
      </c>
      <c r="C149" s="26" t="s">
        <v>232</v>
      </c>
      <c r="D149" s="10" t="s">
        <v>547</v>
      </c>
      <c r="E149" s="10" t="s">
        <v>86</v>
      </c>
      <c r="F149" s="10" t="s">
        <v>7</v>
      </c>
      <c r="G149" s="45">
        <v>9</v>
      </c>
      <c r="H149" s="10">
        <v>19</v>
      </c>
      <c r="I149" s="10" t="s">
        <v>207</v>
      </c>
      <c r="J149" s="45" t="s">
        <v>576</v>
      </c>
      <c r="K149" s="10" t="s">
        <v>249</v>
      </c>
      <c r="L149" s="10" t="str">
        <f t="shared" si="20"/>
        <v>Chợ Lách</v>
      </c>
      <c r="M149" s="10" t="str">
        <f>IFERROR(VLOOKUP(L149,'List+TK'!$I$3:$J$9,2,0),"-")</f>
        <v>83/07</v>
      </c>
      <c r="N149" s="10">
        <v>10</v>
      </c>
      <c r="O149" s="10" t="str">
        <f t="shared" si="21"/>
        <v>Cá tra nhỏ</v>
      </c>
      <c r="P149" s="10" t="str">
        <f t="shared" si="22"/>
        <v>83/0923/17</v>
      </c>
      <c r="Q149" s="10" t="str">
        <f t="shared" si="23"/>
        <v>Chợ Lách 83/07</v>
      </c>
      <c r="R149" s="10" t="str">
        <f t="shared" si="24"/>
        <v>Công ty TNHH CBTPXK Vạn Đức Tiền Giang - Khu nuôi Cồn Kiếng, Ấp Long Khánh, Xã Tân Thiềng</v>
      </c>
      <c r="S149" s="10">
        <f t="shared" si="25"/>
        <v>1</v>
      </c>
      <c r="T149" s="10" t="str">
        <f>IFERROR(VLOOKUP(J149,'List+TK'!$D$3:$E$1000,2,0),"-")</f>
        <v>Nhóm Nitroimidazoles, Pb, Hg, Cd</v>
      </c>
      <c r="U149" s="10" t="str">
        <f t="shared" si="26"/>
        <v>19/09/2023</v>
      </c>
      <c r="V149" s="10" t="str">
        <f>IFERROR(VLOOKUP(K149,'List+TK'!$G$3:$H$16,2,0),"-")</f>
        <v>Phạm Văn Lâm</v>
      </c>
      <c r="W149" s="10" t="str">
        <f t="shared" si="27"/>
        <v>Ao 10</v>
      </c>
      <c r="X149" s="4"/>
    </row>
    <row r="150" spans="1:24" ht="33" x14ac:dyDescent="0.25">
      <c r="A150" s="5">
        <f>_xlfn.AGGREGATE(3,3,$I$4:I150)</f>
        <v>147</v>
      </c>
      <c r="B150" s="5">
        <v>1</v>
      </c>
      <c r="C150" s="26" t="s">
        <v>597</v>
      </c>
      <c r="D150" s="10" t="s">
        <v>254</v>
      </c>
      <c r="E150" s="10" t="s">
        <v>21</v>
      </c>
      <c r="F150" s="10" t="s">
        <v>4</v>
      </c>
      <c r="G150" s="80">
        <v>10</v>
      </c>
      <c r="H150" s="10">
        <v>10</v>
      </c>
      <c r="I150" s="10" t="s">
        <v>241</v>
      </c>
      <c r="J150" s="10" t="s">
        <v>290</v>
      </c>
      <c r="K150" s="10" t="s">
        <v>245</v>
      </c>
      <c r="L150" s="10" t="str">
        <f t="shared" si="20"/>
        <v>Ba Tri</v>
      </c>
      <c r="M150" s="10" t="str">
        <f>IFERROR(VLOOKUP(L150,'List+TK'!$I$3:$J$9,2,0),"-")</f>
        <v>83/01</v>
      </c>
      <c r="N150" s="10"/>
      <c r="O150" s="10" t="str">
        <f t="shared" si="21"/>
        <v>Tôm chân trắng thương phẩm</v>
      </c>
      <c r="P150" s="10" t="str">
        <f>"83/"&amp;IF(LEN(G150)=1,"0"&amp;G150,G150)&amp;"23/"&amp;IF(LEN(B150)=1,"0"&amp;B150,B150)</f>
        <v>83/1023/01</v>
      </c>
      <c r="Q150" s="10" t="str">
        <f t="shared" si="23"/>
        <v>Ba Tri 83/01</v>
      </c>
      <c r="R150" s="10" t="str">
        <f t="shared" si="24"/>
        <v>Trần Văn Ba - Ấp 7, Xã An Thủy</v>
      </c>
      <c r="S150" s="10">
        <f t="shared" si="25"/>
        <v>1</v>
      </c>
      <c r="T150" s="10" t="str">
        <f>IFERROR(VLOOKUP(J150,'List+TK'!$D$3:$E$1000,2,0),"-")</f>
        <v>-</v>
      </c>
      <c r="U150" s="10" t="str">
        <f>H150&amp;"/"&amp;IF(LEN(G150)=1,"0"&amp;G150,G150)&amp;"/2023"</f>
        <v>10/10/2023</v>
      </c>
      <c r="V150" s="10" t="str">
        <f>IFERROR(VLOOKUP(K150,'List+TK'!$G$3:$H$16,2,0),"-")</f>
        <v>Phạm Minh Thuận</v>
      </c>
      <c r="W150" s="10" t="str">
        <f t="shared" si="27"/>
        <v/>
      </c>
      <c r="X150" s="4"/>
    </row>
    <row r="151" spans="1:24" ht="49.5" x14ac:dyDescent="0.25">
      <c r="A151" s="5">
        <f>_xlfn.AGGREGATE(3,3,$I$4:I151)</f>
        <v>148</v>
      </c>
      <c r="B151" s="5">
        <v>2</v>
      </c>
      <c r="C151" s="26" t="s">
        <v>474</v>
      </c>
      <c r="D151" s="10" t="s">
        <v>260</v>
      </c>
      <c r="E151" s="10" t="s">
        <v>39</v>
      </c>
      <c r="F151" s="10" t="s">
        <v>5</v>
      </c>
      <c r="G151" s="80">
        <v>10</v>
      </c>
      <c r="H151" s="10">
        <v>11</v>
      </c>
      <c r="I151" s="10" t="s">
        <v>241</v>
      </c>
      <c r="J151" s="10" t="s">
        <v>290</v>
      </c>
      <c r="K151" s="10" t="s">
        <v>244</v>
      </c>
      <c r="L151" s="10" t="str">
        <f t="shared" si="20"/>
        <v>Bình Đại</v>
      </c>
      <c r="M151" s="10" t="str">
        <f>IFERROR(VLOOKUP(L151,'List+TK'!$I$3:$J$9,2,0),"-")</f>
        <v>83/02</v>
      </c>
      <c r="N151" s="10"/>
      <c r="O151" s="10" t="str">
        <f t="shared" si="21"/>
        <v>Tôm chân trắng thương phẩm</v>
      </c>
      <c r="P151" s="10" t="str">
        <f t="shared" ref="P151:P164" si="28">"83/"&amp;IF(LEN(G151)=1,"0"&amp;G151,G151)&amp;"23/"&amp;IF(LEN(B151)=1,"0"&amp;B151,B151)</f>
        <v>83/1023/02</v>
      </c>
      <c r="Q151" s="10" t="str">
        <f t="shared" si="23"/>
        <v>Bình Đại 83/02</v>
      </c>
      <c r="R151" s="10" t="str">
        <f t="shared" si="24"/>
        <v>Võ Huỳnh Tiến Nghĩa  - Ấp 4, Xã Bình Thới</v>
      </c>
      <c r="S151" s="10">
        <f t="shared" si="25"/>
        <v>1</v>
      </c>
      <c r="T151" s="10" t="str">
        <f>IFERROR(VLOOKUP(J151,'List+TK'!$D$3:$E$1000,2,0),"-")</f>
        <v>-</v>
      </c>
      <c r="U151" s="10" t="str">
        <f t="shared" ref="U151:U164" si="29">H151&amp;"/"&amp;IF(LEN(G151)=1,"0"&amp;G151,G151)&amp;"/2023"</f>
        <v>11/10/2023</v>
      </c>
      <c r="V151" s="10" t="str">
        <f>IFERROR(VLOOKUP(K151,'List+TK'!$G$3:$H$16,2,0),"-")</f>
        <v>Cao Quang Nguyên</v>
      </c>
      <c r="W151" s="10" t="str">
        <f t="shared" si="27"/>
        <v/>
      </c>
      <c r="X151" s="4"/>
    </row>
    <row r="152" spans="1:24" ht="49.5" x14ac:dyDescent="0.25">
      <c r="A152" s="5">
        <f>_xlfn.AGGREGATE(3,3,$I$4:I152)</f>
        <v>149</v>
      </c>
      <c r="B152" s="5">
        <v>3</v>
      </c>
      <c r="C152" s="26" t="s">
        <v>211</v>
      </c>
      <c r="D152" s="10" t="s">
        <v>411</v>
      </c>
      <c r="E152" s="10" t="s">
        <v>52</v>
      </c>
      <c r="F152" s="10" t="s">
        <v>5</v>
      </c>
      <c r="G152" s="80">
        <v>10</v>
      </c>
      <c r="H152" s="10">
        <v>11</v>
      </c>
      <c r="I152" s="10" t="s">
        <v>208</v>
      </c>
      <c r="J152" s="10" t="s">
        <v>571</v>
      </c>
      <c r="K152" s="10" t="s">
        <v>244</v>
      </c>
      <c r="L152" s="10" t="str">
        <f t="shared" si="20"/>
        <v>Bình Đại</v>
      </c>
      <c r="M152" s="10" t="str">
        <f>IFERROR(VLOOKUP(L152,'List+TK'!$I$3:$J$9,2,0),"-")</f>
        <v>83/02</v>
      </c>
      <c r="N152" s="10"/>
      <c r="O152" s="10" t="str">
        <f t="shared" si="21"/>
        <v>Cá tra thương phẩm</v>
      </c>
      <c r="P152" s="10" t="str">
        <f t="shared" si="28"/>
        <v>83/1023/03</v>
      </c>
      <c r="Q152" s="10" t="str">
        <f t="shared" si="23"/>
        <v>Bình Đại 83/02</v>
      </c>
      <c r="R152" s="10" t="str">
        <f t="shared" si="24"/>
        <v>Công ty CP Gò Đàng - Ấp Việc Giữa, Xã Thới Lai</v>
      </c>
      <c r="S152" s="10">
        <f t="shared" si="25"/>
        <v>1.5</v>
      </c>
      <c r="T152" s="10" t="str">
        <f>IFERROR(VLOOKUP(J152,'List+TK'!$D$3:$E$1000,2,0),"-")</f>
        <v>Fosfomycin, Pb, Hg, Cd</v>
      </c>
      <c r="U152" s="10" t="str">
        <f t="shared" si="29"/>
        <v>11/10/2023</v>
      </c>
      <c r="V152" s="10" t="str">
        <f>IFERROR(VLOOKUP(K152,'List+TK'!$G$3:$H$16,2,0),"-")</f>
        <v>Cao Quang Nguyên</v>
      </c>
      <c r="W152" s="10" t="str">
        <f t="shared" si="27"/>
        <v/>
      </c>
      <c r="X152" s="4"/>
    </row>
    <row r="153" spans="1:24" ht="49.5" x14ac:dyDescent="0.25">
      <c r="A153" s="5">
        <f>_xlfn.AGGREGATE(3,3,$I$4:I153)</f>
        <v>150</v>
      </c>
      <c r="B153" s="5">
        <v>4</v>
      </c>
      <c r="C153" s="26" t="s">
        <v>211</v>
      </c>
      <c r="D153" s="10" t="s">
        <v>411</v>
      </c>
      <c r="E153" s="10" t="s">
        <v>52</v>
      </c>
      <c r="F153" s="10" t="s">
        <v>5</v>
      </c>
      <c r="G153" s="80">
        <v>10</v>
      </c>
      <c r="H153" s="10">
        <v>11</v>
      </c>
      <c r="I153" s="10" t="s">
        <v>208</v>
      </c>
      <c r="J153" s="10" t="s">
        <v>583</v>
      </c>
      <c r="K153" s="10" t="s">
        <v>244</v>
      </c>
      <c r="L153" s="10" t="str">
        <f t="shared" si="20"/>
        <v>Bình Đại</v>
      </c>
      <c r="M153" s="10" t="str">
        <f>IFERROR(VLOOKUP(L153,'List+TK'!$I$3:$J$9,2,0),"-")</f>
        <v>83/02</v>
      </c>
      <c r="N153" s="10"/>
      <c r="O153" s="10" t="str">
        <f t="shared" si="21"/>
        <v>Cá tra thương phẩm</v>
      </c>
      <c r="P153" s="10" t="str">
        <f t="shared" si="28"/>
        <v>83/1023/04</v>
      </c>
      <c r="Q153" s="10" t="str">
        <f t="shared" si="23"/>
        <v>Bình Đại 83/02</v>
      </c>
      <c r="R153" s="10" t="str">
        <f t="shared" si="24"/>
        <v>Công ty CP Gò Đàng - Ấp Việc Giữa, Xã Thới Lai</v>
      </c>
      <c r="S153" s="10">
        <f t="shared" si="25"/>
        <v>1.5</v>
      </c>
      <c r="T153" s="10" t="str">
        <f>IFERROR(VLOOKUP(J153,'List+TK'!$D$3:$E$1000,2,0),"-")</f>
        <v>Azadirachtin, Pb, Hg, Cd</v>
      </c>
      <c r="U153" s="10" t="str">
        <f t="shared" si="29"/>
        <v>11/10/2023</v>
      </c>
      <c r="V153" s="10" t="str">
        <f>IFERROR(VLOOKUP(K153,'List+TK'!$G$3:$H$16,2,0),"-")</f>
        <v>Cao Quang Nguyên</v>
      </c>
      <c r="W153" s="10" t="str">
        <f t="shared" si="27"/>
        <v/>
      </c>
      <c r="X153" s="4"/>
    </row>
    <row r="154" spans="1:24" ht="33" x14ac:dyDescent="0.25">
      <c r="A154" s="5">
        <f>_xlfn.AGGREGATE(3,3,$I$4:I154)</f>
        <v>151</v>
      </c>
      <c r="B154" s="5">
        <v>5</v>
      </c>
      <c r="C154" s="26" t="s">
        <v>335</v>
      </c>
      <c r="D154" s="10" t="s">
        <v>526</v>
      </c>
      <c r="E154" s="10" t="s">
        <v>142</v>
      </c>
      <c r="F154" s="10" t="s">
        <v>11</v>
      </c>
      <c r="G154" s="80">
        <v>10</v>
      </c>
      <c r="H154" s="10">
        <v>12</v>
      </c>
      <c r="I154" s="10" t="s">
        <v>239</v>
      </c>
      <c r="J154" s="10" t="s">
        <v>282</v>
      </c>
      <c r="K154" s="10" t="s">
        <v>244</v>
      </c>
      <c r="L154" s="10" t="str">
        <f t="shared" si="20"/>
        <v>Thạnh Phú</v>
      </c>
      <c r="M154" s="10" t="str">
        <f>IFERROR(VLOOKUP(L154,'List+TK'!$I$3:$J$9,2,0),"-")</f>
        <v>83/03</v>
      </c>
      <c r="N154" s="10"/>
      <c r="O154" s="10" t="str">
        <f t="shared" si="21"/>
        <v>Tôm sú quảng canh</v>
      </c>
      <c r="P154" s="10" t="str">
        <f t="shared" si="28"/>
        <v>83/1023/05</v>
      </c>
      <c r="Q154" s="10" t="str">
        <f t="shared" si="23"/>
        <v>Thạnh Phú 83/03</v>
      </c>
      <c r="R154" s="10" t="str">
        <f t="shared" si="24"/>
        <v>Đặng Thái Bình - Ấp An Định, Xã An Nhơn</v>
      </c>
      <c r="S154" s="10">
        <f t="shared" si="25"/>
        <v>1</v>
      </c>
      <c r="T154" s="10" t="str">
        <f>IFERROR(VLOOKUP(J154,'List+TK'!$D$3:$E$1000,2,0),"-")</f>
        <v>Fosfomycin</v>
      </c>
      <c r="U154" s="10" t="str">
        <f t="shared" si="29"/>
        <v>12/10/2023</v>
      </c>
      <c r="V154" s="10" t="str">
        <f>IFERROR(VLOOKUP(K154,'List+TK'!$G$3:$H$16,2,0),"-")</f>
        <v>Cao Quang Nguyên</v>
      </c>
      <c r="W154" s="10" t="str">
        <f t="shared" si="27"/>
        <v/>
      </c>
      <c r="X154" s="4"/>
    </row>
    <row r="155" spans="1:24" ht="49.5" x14ac:dyDescent="0.25">
      <c r="A155" s="5">
        <f>_xlfn.AGGREGATE(3,3,$I$4:I155)</f>
        <v>152</v>
      </c>
      <c r="B155" s="5">
        <v>6</v>
      </c>
      <c r="C155" s="26" t="s">
        <v>211</v>
      </c>
      <c r="D155" s="10" t="s">
        <v>303</v>
      </c>
      <c r="E155" s="10" t="s">
        <v>138</v>
      </c>
      <c r="F155" s="10" t="s">
        <v>10</v>
      </c>
      <c r="G155" s="80">
        <v>10</v>
      </c>
      <c r="H155" s="10">
        <v>11</v>
      </c>
      <c r="I155" s="10" t="s">
        <v>208</v>
      </c>
      <c r="J155" s="10" t="s">
        <v>585</v>
      </c>
      <c r="K155" s="10" t="s">
        <v>245</v>
      </c>
      <c r="L155" s="10" t="str">
        <f t="shared" si="20"/>
        <v>Mỏ Cày</v>
      </c>
      <c r="M155" s="10" t="str">
        <f>IFERROR(VLOOKUP(L155,'List+TK'!$I$3:$J$9,2,0),"-")</f>
        <v>83/04</v>
      </c>
      <c r="N155" s="10"/>
      <c r="O155" s="10" t="str">
        <f t="shared" si="21"/>
        <v>Cá tra thương phẩm</v>
      </c>
      <c r="P155" s="10" t="str">
        <f t="shared" si="28"/>
        <v>83/1023/06</v>
      </c>
      <c r="Q155" s="10" t="str">
        <f t="shared" si="23"/>
        <v>Mỏ Cày 83/04</v>
      </c>
      <c r="R155" s="10" t="str">
        <f t="shared" si="24"/>
        <v>Công ty CP Gò Đàng - Ấp Thành Long, Xã Thành Thới A</v>
      </c>
      <c r="S155" s="10">
        <f t="shared" si="25"/>
        <v>1.5</v>
      </c>
      <c r="T155" s="10" t="str">
        <f>IFERROR(VLOOKUP(J155,'List+TK'!$D$3:$E$1000,2,0),"-")</f>
        <v>Florfenicol, Pb, Hg, Cd</v>
      </c>
      <c r="U155" s="10" t="str">
        <f t="shared" si="29"/>
        <v>11/10/2023</v>
      </c>
      <c r="V155" s="10" t="str">
        <f>IFERROR(VLOOKUP(K155,'List+TK'!$G$3:$H$16,2,0),"-")</f>
        <v>Phạm Minh Thuận</v>
      </c>
      <c r="W155" s="10" t="str">
        <f t="shared" si="27"/>
        <v/>
      </c>
      <c r="X155" s="4"/>
    </row>
    <row r="156" spans="1:24" ht="49.5" x14ac:dyDescent="0.25">
      <c r="A156" s="5">
        <f>_xlfn.AGGREGATE(3,3,$I$4:I156)</f>
        <v>153</v>
      </c>
      <c r="B156" s="5">
        <v>7</v>
      </c>
      <c r="C156" s="26" t="s">
        <v>211</v>
      </c>
      <c r="D156" s="10" t="s">
        <v>303</v>
      </c>
      <c r="E156" s="10" t="s">
        <v>138</v>
      </c>
      <c r="F156" s="10" t="s">
        <v>10</v>
      </c>
      <c r="G156" s="80">
        <v>10</v>
      </c>
      <c r="H156" s="10">
        <v>11</v>
      </c>
      <c r="I156" s="10" t="s">
        <v>208</v>
      </c>
      <c r="J156" s="10" t="s">
        <v>586</v>
      </c>
      <c r="K156" s="10" t="s">
        <v>245</v>
      </c>
      <c r="L156" s="10" t="str">
        <f t="shared" si="20"/>
        <v>Mỏ Cày</v>
      </c>
      <c r="M156" s="10" t="str">
        <f>IFERROR(VLOOKUP(L156,'List+TK'!$I$3:$J$9,2,0),"-")</f>
        <v>83/04</v>
      </c>
      <c r="N156" s="10"/>
      <c r="O156" s="10" t="str">
        <f t="shared" si="21"/>
        <v>Cá tra thương phẩm</v>
      </c>
      <c r="P156" s="10" t="str">
        <f t="shared" si="28"/>
        <v>83/1023/07</v>
      </c>
      <c r="Q156" s="10" t="str">
        <f t="shared" si="23"/>
        <v>Mỏ Cày 83/04</v>
      </c>
      <c r="R156" s="10" t="str">
        <f t="shared" si="24"/>
        <v>Công ty CP Gò Đàng - Ấp Thành Long, Xã Thành Thới A</v>
      </c>
      <c r="S156" s="10">
        <f t="shared" si="25"/>
        <v>1.5</v>
      </c>
      <c r="T156" s="10" t="str">
        <f>IFERROR(VLOOKUP(J156,'List+TK'!$D$3:$E$1000,2,0),"-")</f>
        <v>Trimethoprim, Pb, Hg, Cd</v>
      </c>
      <c r="U156" s="10" t="str">
        <f t="shared" si="29"/>
        <v>11/10/2023</v>
      </c>
      <c r="V156" s="10" t="str">
        <f>IFERROR(VLOOKUP(K156,'List+TK'!$G$3:$H$16,2,0),"-")</f>
        <v>Phạm Minh Thuận</v>
      </c>
      <c r="W156" s="10" t="str">
        <f t="shared" si="27"/>
        <v/>
      </c>
      <c r="X156" s="4"/>
    </row>
    <row r="157" spans="1:24" ht="49.5" x14ac:dyDescent="0.25">
      <c r="A157" s="5">
        <f>_xlfn.AGGREGATE(3,3,$I$4:I157)</f>
        <v>154</v>
      </c>
      <c r="B157" s="5">
        <v>8</v>
      </c>
      <c r="C157" s="26" t="s">
        <v>233</v>
      </c>
      <c r="D157" s="10" t="s">
        <v>492</v>
      </c>
      <c r="E157" s="10" t="s">
        <v>76</v>
      </c>
      <c r="F157" s="10" t="s">
        <v>6</v>
      </c>
      <c r="G157" s="80">
        <v>10</v>
      </c>
      <c r="H157" s="10">
        <v>11</v>
      </c>
      <c r="I157" s="10" t="s">
        <v>208</v>
      </c>
      <c r="J157" s="10" t="s">
        <v>585</v>
      </c>
      <c r="K157" s="10" t="s">
        <v>246</v>
      </c>
      <c r="L157" s="10" t="str">
        <f t="shared" si="20"/>
        <v>Châu Thành</v>
      </c>
      <c r="M157" s="10" t="str">
        <f>IFERROR(VLOOKUP(L157,'List+TK'!$I$3:$J$9,2,0),"-")</f>
        <v>83/05</v>
      </c>
      <c r="N157" s="10"/>
      <c r="O157" s="10" t="str">
        <f t="shared" si="21"/>
        <v>Cá tra thương phẩm</v>
      </c>
      <c r="P157" s="10" t="str">
        <f t="shared" si="28"/>
        <v>83/1023/08</v>
      </c>
      <c r="Q157" s="10" t="str">
        <f t="shared" si="23"/>
        <v>Châu Thành 83/05</v>
      </c>
      <c r="R157" s="10" t="str">
        <f t="shared" si="24"/>
        <v>Công ty CPTS Hải Hương - Cồn Tiên Lợi, Xã Tiên Long</v>
      </c>
      <c r="S157" s="10">
        <f t="shared" si="25"/>
        <v>1.5</v>
      </c>
      <c r="T157" s="10" t="str">
        <f>IFERROR(VLOOKUP(J157,'List+TK'!$D$3:$E$1000,2,0),"-")</f>
        <v>Florfenicol, Pb, Hg, Cd</v>
      </c>
      <c r="U157" s="10" t="str">
        <f t="shared" si="29"/>
        <v>11/10/2023</v>
      </c>
      <c r="V157" s="10" t="str">
        <f>IFERROR(VLOOKUP(K157,'List+TK'!$G$3:$H$16,2,0),"-")</f>
        <v>Nguyễn Duy Khanh</v>
      </c>
      <c r="W157" s="10" t="str">
        <f t="shared" si="27"/>
        <v/>
      </c>
      <c r="X157" s="4"/>
    </row>
    <row r="158" spans="1:24" ht="49.5" x14ac:dyDescent="0.25">
      <c r="A158" s="5">
        <f>_xlfn.AGGREGATE(3,3,$I$4:I158)</f>
        <v>155</v>
      </c>
      <c r="B158" s="5">
        <v>9</v>
      </c>
      <c r="C158" s="26" t="s">
        <v>233</v>
      </c>
      <c r="D158" s="10" t="s">
        <v>492</v>
      </c>
      <c r="E158" s="10" t="s">
        <v>76</v>
      </c>
      <c r="F158" s="10" t="s">
        <v>6</v>
      </c>
      <c r="G158" s="80">
        <v>10</v>
      </c>
      <c r="H158" s="10">
        <v>11</v>
      </c>
      <c r="I158" s="10" t="s">
        <v>208</v>
      </c>
      <c r="J158" s="10" t="s">
        <v>571</v>
      </c>
      <c r="K158" s="10" t="s">
        <v>246</v>
      </c>
      <c r="L158" s="10" t="str">
        <f t="shared" si="20"/>
        <v>Châu Thành</v>
      </c>
      <c r="M158" s="10" t="str">
        <f>IFERROR(VLOOKUP(L158,'List+TK'!$I$3:$J$9,2,0),"-")</f>
        <v>83/05</v>
      </c>
      <c r="N158" s="10"/>
      <c r="O158" s="10" t="str">
        <f t="shared" si="21"/>
        <v>Cá tra thương phẩm</v>
      </c>
      <c r="P158" s="10" t="str">
        <f t="shared" si="28"/>
        <v>83/1023/09</v>
      </c>
      <c r="Q158" s="10" t="str">
        <f t="shared" si="23"/>
        <v>Châu Thành 83/05</v>
      </c>
      <c r="R158" s="10" t="str">
        <f t="shared" si="24"/>
        <v>Công ty CPTS Hải Hương - Cồn Tiên Lợi, Xã Tiên Long</v>
      </c>
      <c r="S158" s="10">
        <f t="shared" si="25"/>
        <v>1.5</v>
      </c>
      <c r="T158" s="10" t="str">
        <f>IFERROR(VLOOKUP(J158,'List+TK'!$D$3:$E$1000,2,0),"-")</f>
        <v>Fosfomycin, Pb, Hg, Cd</v>
      </c>
      <c r="U158" s="10" t="str">
        <f t="shared" si="29"/>
        <v>11/10/2023</v>
      </c>
      <c r="V158" s="10" t="str">
        <f>IFERROR(VLOOKUP(K158,'List+TK'!$G$3:$H$16,2,0),"-")</f>
        <v>Nguyễn Duy Khanh</v>
      </c>
      <c r="W158" s="10" t="str">
        <f t="shared" si="27"/>
        <v/>
      </c>
      <c r="X158" s="4"/>
    </row>
    <row r="159" spans="1:24" ht="66" x14ac:dyDescent="0.25">
      <c r="A159" s="5">
        <f>_xlfn.AGGREGATE(3,3,$I$4:I159)</f>
        <v>156</v>
      </c>
      <c r="B159" s="5">
        <v>10</v>
      </c>
      <c r="C159" s="26" t="s">
        <v>211</v>
      </c>
      <c r="D159" s="10" t="s">
        <v>373</v>
      </c>
      <c r="E159" s="10" t="s">
        <v>108</v>
      </c>
      <c r="F159" s="10" t="s">
        <v>8</v>
      </c>
      <c r="G159" s="80">
        <v>10</v>
      </c>
      <c r="H159" s="10">
        <v>12</v>
      </c>
      <c r="I159" s="10" t="s">
        <v>208</v>
      </c>
      <c r="J159" s="10" t="s">
        <v>589</v>
      </c>
      <c r="K159" s="10" t="s">
        <v>245</v>
      </c>
      <c r="L159" s="10" t="str">
        <f t="shared" si="20"/>
        <v>Giồng Trôm</v>
      </c>
      <c r="M159" s="10" t="str">
        <f>IFERROR(VLOOKUP(L159,'List+TK'!$I$3:$J$9,2,0),"-")</f>
        <v>83/06</v>
      </c>
      <c r="N159" s="10"/>
      <c r="O159" s="10" t="str">
        <f t="shared" si="21"/>
        <v>Cá tra thương phẩm</v>
      </c>
      <c r="P159" s="10" t="str">
        <f t="shared" si="28"/>
        <v>83/1023/10</v>
      </c>
      <c r="Q159" s="10" t="str">
        <f t="shared" si="23"/>
        <v>Giồng Trôm 83/06</v>
      </c>
      <c r="R159" s="10" t="str">
        <f t="shared" si="24"/>
        <v>Công ty CP Gò Đàng - Ấp 5, Xã Thạnh Phú Đông</v>
      </c>
      <c r="S159" s="10">
        <f t="shared" si="25"/>
        <v>1.5</v>
      </c>
      <c r="T159" s="10" t="str">
        <f>IFERROR(VLOOKUP(J159,'List+TK'!$D$3:$E$1000,2,0),"-")</f>
        <v>Levamisol, Pb, Hg, Cd</v>
      </c>
      <c r="U159" s="10" t="str">
        <f t="shared" si="29"/>
        <v>12/10/2023</v>
      </c>
      <c r="V159" s="10" t="str">
        <f>IFERROR(VLOOKUP(K159,'List+TK'!$G$3:$H$16,2,0),"-")</f>
        <v>Phạm Minh Thuận</v>
      </c>
      <c r="W159" s="10" t="str">
        <f t="shared" si="27"/>
        <v/>
      </c>
      <c r="X159" s="4"/>
    </row>
    <row r="160" spans="1:24" ht="66" x14ac:dyDescent="0.25">
      <c r="A160" s="5">
        <f>_xlfn.AGGREGATE(3,3,$I$4:I160)</f>
        <v>157</v>
      </c>
      <c r="B160" s="5">
        <v>11</v>
      </c>
      <c r="C160" s="26" t="s">
        <v>211</v>
      </c>
      <c r="D160" s="10" t="s">
        <v>373</v>
      </c>
      <c r="E160" s="10" t="s">
        <v>108</v>
      </c>
      <c r="F160" s="10" t="s">
        <v>8</v>
      </c>
      <c r="G160" s="80">
        <v>10</v>
      </c>
      <c r="H160" s="10">
        <v>12</v>
      </c>
      <c r="I160" s="10" t="s">
        <v>208</v>
      </c>
      <c r="J160" s="10" t="s">
        <v>590</v>
      </c>
      <c r="K160" s="10" t="s">
        <v>245</v>
      </c>
      <c r="L160" s="10" t="str">
        <f t="shared" si="20"/>
        <v>Giồng Trôm</v>
      </c>
      <c r="M160" s="10" t="str">
        <f>IFERROR(VLOOKUP(L160,'List+TK'!$I$3:$J$9,2,0),"-")</f>
        <v>83/06</v>
      </c>
      <c r="N160" s="10"/>
      <c r="O160" s="10" t="str">
        <f t="shared" si="21"/>
        <v>Cá tra thương phẩm</v>
      </c>
      <c r="P160" s="10" t="str">
        <f t="shared" si="28"/>
        <v>83/1023/11</v>
      </c>
      <c r="Q160" s="10" t="str">
        <f t="shared" si="23"/>
        <v>Giồng Trôm 83/06</v>
      </c>
      <c r="R160" s="10" t="str">
        <f t="shared" si="24"/>
        <v>Công ty CP Gò Đàng - Ấp 5, Xã Thạnh Phú Đông</v>
      </c>
      <c r="S160" s="10">
        <f t="shared" si="25"/>
        <v>1.5</v>
      </c>
      <c r="T160" s="10" t="str">
        <f>IFERROR(VLOOKUP(J160,'List+TK'!$D$3:$E$1000,2,0),"-")</f>
        <v>Fenbendazole, Pb, Hg, Cd</v>
      </c>
      <c r="U160" s="10" t="str">
        <f t="shared" si="29"/>
        <v>12/10/2023</v>
      </c>
      <c r="V160" s="10" t="str">
        <f>IFERROR(VLOOKUP(K160,'List+TK'!$G$3:$H$16,2,0),"-")</f>
        <v>Phạm Minh Thuận</v>
      </c>
      <c r="W160" s="10" t="str">
        <f t="shared" si="27"/>
        <v/>
      </c>
      <c r="X160" s="4"/>
    </row>
    <row r="161" spans="1:24" ht="66" x14ac:dyDescent="0.25">
      <c r="A161" s="5">
        <f>_xlfn.AGGREGATE(3,3,$I$4:I161)</f>
        <v>158</v>
      </c>
      <c r="B161" s="5">
        <v>12</v>
      </c>
      <c r="C161" s="26" t="s">
        <v>232</v>
      </c>
      <c r="D161" s="10" t="s">
        <v>598</v>
      </c>
      <c r="E161" s="10" t="s">
        <v>80</v>
      </c>
      <c r="F161" s="10" t="s">
        <v>7</v>
      </c>
      <c r="G161" s="80">
        <v>10</v>
      </c>
      <c r="H161" s="10">
        <v>12</v>
      </c>
      <c r="I161" s="10" t="s">
        <v>208</v>
      </c>
      <c r="J161" s="10" t="s">
        <v>593</v>
      </c>
      <c r="K161" s="10" t="s">
        <v>246</v>
      </c>
      <c r="L161" s="10" t="str">
        <f t="shared" si="20"/>
        <v>Chợ Lách</v>
      </c>
      <c r="M161" s="10" t="str">
        <f>IFERROR(VLOOKUP(L161,'List+TK'!$I$3:$J$9,2,0),"-")</f>
        <v>83/07</v>
      </c>
      <c r="N161" s="10"/>
      <c r="O161" s="10" t="str">
        <f t="shared" si="21"/>
        <v>Cá tra thương phẩm</v>
      </c>
      <c r="P161" s="10" t="str">
        <f t="shared" si="28"/>
        <v>83/1023/12</v>
      </c>
      <c r="Q161" s="10" t="str">
        <f t="shared" si="23"/>
        <v>Chợ Lách 83/07</v>
      </c>
      <c r="R161" s="10" t="str">
        <f t="shared" si="24"/>
        <v>Công ty TNHH CBTPXK Vạn Đức Tiền Giang - Ấp Bình An, Xã Hòa Nghĩa</v>
      </c>
      <c r="S161" s="10">
        <f t="shared" si="25"/>
        <v>1.5</v>
      </c>
      <c r="T161" s="10" t="str">
        <f>IFERROR(VLOOKUP(J161,'List+TK'!$D$3:$E$1000,2,0),"-")</f>
        <v>Chloramphenicol, Pb, Hg, Cd</v>
      </c>
      <c r="U161" s="10" t="str">
        <f t="shared" si="29"/>
        <v>12/10/2023</v>
      </c>
      <c r="V161" s="10" t="str">
        <f>IFERROR(VLOOKUP(K161,'List+TK'!$G$3:$H$16,2,0),"-")</f>
        <v>Nguyễn Duy Khanh</v>
      </c>
      <c r="W161" s="10" t="str">
        <f t="shared" si="27"/>
        <v/>
      </c>
      <c r="X161" s="4"/>
    </row>
    <row r="162" spans="1:24" ht="66" x14ac:dyDescent="0.25">
      <c r="A162" s="5">
        <f>_xlfn.AGGREGATE(3,3,$I$4:I162)</f>
        <v>159</v>
      </c>
      <c r="B162" s="5">
        <v>13</v>
      </c>
      <c r="C162" s="26" t="s">
        <v>232</v>
      </c>
      <c r="D162" s="10" t="s">
        <v>598</v>
      </c>
      <c r="E162" s="10" t="s">
        <v>80</v>
      </c>
      <c r="F162" s="10" t="s">
        <v>7</v>
      </c>
      <c r="G162" s="80">
        <v>10</v>
      </c>
      <c r="H162" s="10">
        <v>12</v>
      </c>
      <c r="I162" s="10" t="s">
        <v>208</v>
      </c>
      <c r="J162" s="10" t="s">
        <v>575</v>
      </c>
      <c r="K162" s="10" t="s">
        <v>246</v>
      </c>
      <c r="L162" s="10" t="str">
        <f t="shared" si="20"/>
        <v>Chợ Lách</v>
      </c>
      <c r="M162" s="10" t="str">
        <f>IFERROR(VLOOKUP(L162,'List+TK'!$I$3:$J$9,2,0),"-")</f>
        <v>83/07</v>
      </c>
      <c r="N162" s="10"/>
      <c r="O162" s="10" t="str">
        <f t="shared" si="21"/>
        <v>Cá tra thương phẩm</v>
      </c>
      <c r="P162" s="10" t="str">
        <f t="shared" si="28"/>
        <v>83/1023/13</v>
      </c>
      <c r="Q162" s="10" t="str">
        <f t="shared" si="23"/>
        <v>Chợ Lách 83/07</v>
      </c>
      <c r="R162" s="10" t="str">
        <f t="shared" si="24"/>
        <v>Công ty TNHH CBTPXK Vạn Đức Tiền Giang - Ấp Bình An, Xã Hòa Nghĩa</v>
      </c>
      <c r="S162" s="10">
        <f t="shared" si="25"/>
        <v>1.5</v>
      </c>
      <c r="T162" s="10" t="str">
        <f>IFERROR(VLOOKUP(J162,'List+TK'!$D$3:$E$1000,2,0),"-")</f>
        <v>Nitrofurans, Pb, Hg, Cd</v>
      </c>
      <c r="U162" s="10" t="str">
        <f t="shared" si="29"/>
        <v>12/10/2023</v>
      </c>
      <c r="V162" s="10" t="str">
        <f>IFERROR(VLOOKUP(K162,'List+TK'!$G$3:$H$16,2,0),"-")</f>
        <v>Nguyễn Duy Khanh</v>
      </c>
      <c r="W162" s="10" t="str">
        <f t="shared" si="27"/>
        <v/>
      </c>
      <c r="X162" s="4"/>
    </row>
    <row r="163" spans="1:24" ht="66" x14ac:dyDescent="0.25">
      <c r="A163" s="5">
        <f>_xlfn.AGGREGATE(3,3,$I$4:I163)</f>
        <v>160</v>
      </c>
      <c r="B163" s="5">
        <v>14</v>
      </c>
      <c r="C163" s="26" t="s">
        <v>232</v>
      </c>
      <c r="D163" s="10" t="s">
        <v>598</v>
      </c>
      <c r="E163" s="10" t="s">
        <v>80</v>
      </c>
      <c r="F163" s="10" t="s">
        <v>7</v>
      </c>
      <c r="G163" s="80">
        <v>10</v>
      </c>
      <c r="H163" s="10">
        <v>12</v>
      </c>
      <c r="I163" s="10" t="s">
        <v>208</v>
      </c>
      <c r="J163" s="10" t="s">
        <v>409</v>
      </c>
      <c r="K163" s="10" t="s">
        <v>246</v>
      </c>
      <c r="L163" s="10" t="str">
        <f t="shared" si="20"/>
        <v>Chợ Lách</v>
      </c>
      <c r="M163" s="10" t="str">
        <f>IFERROR(VLOOKUP(L163,'List+TK'!$I$3:$J$9,2,0),"-")</f>
        <v>83/07</v>
      </c>
      <c r="N163" s="10"/>
      <c r="O163" s="10" t="str">
        <f t="shared" si="21"/>
        <v>Cá tra thương phẩm</v>
      </c>
      <c r="P163" s="10" t="str">
        <f t="shared" si="28"/>
        <v>83/1023/14</v>
      </c>
      <c r="Q163" s="10" t="str">
        <f t="shared" si="23"/>
        <v>Chợ Lách 83/07</v>
      </c>
      <c r="R163" s="10" t="str">
        <f t="shared" si="24"/>
        <v>Công ty TNHH CBTPXK Vạn Đức Tiền Giang - Ấp Bình An, Xã Hòa Nghĩa</v>
      </c>
      <c r="S163" s="10">
        <f t="shared" si="25"/>
        <v>1.5</v>
      </c>
      <c r="T163" s="10" t="str">
        <f>IFERROR(VLOOKUP(J163,'List+TK'!$D$3:$E$1000,2,0),"-")</f>
        <v>Thuốc trừ sâu gốc Chlor hữu cơ, Pb, Hg, Cd</v>
      </c>
      <c r="U163" s="10" t="str">
        <f t="shared" si="29"/>
        <v>12/10/2023</v>
      </c>
      <c r="V163" s="10" t="str">
        <f>IFERROR(VLOOKUP(K163,'List+TK'!$G$3:$H$16,2,0),"-")</f>
        <v>Nguyễn Duy Khanh</v>
      </c>
      <c r="W163" s="10" t="str">
        <f t="shared" si="27"/>
        <v/>
      </c>
      <c r="X163" s="4"/>
    </row>
    <row r="164" spans="1:24" ht="66" x14ac:dyDescent="0.25">
      <c r="A164" s="5">
        <f>_xlfn.AGGREGATE(3,3,$I$4:I164)</f>
        <v>161</v>
      </c>
      <c r="B164" s="5">
        <v>15</v>
      </c>
      <c r="C164" s="26" t="s">
        <v>232</v>
      </c>
      <c r="D164" s="10" t="s">
        <v>598</v>
      </c>
      <c r="E164" s="10" t="s">
        <v>80</v>
      </c>
      <c r="F164" s="10" t="s">
        <v>7</v>
      </c>
      <c r="G164" s="80">
        <v>10</v>
      </c>
      <c r="H164" s="10">
        <v>12</v>
      </c>
      <c r="I164" s="10" t="s">
        <v>208</v>
      </c>
      <c r="J164" s="10" t="s">
        <v>292</v>
      </c>
      <c r="K164" s="10" t="s">
        <v>246</v>
      </c>
      <c r="L164" s="10" t="str">
        <f t="shared" si="20"/>
        <v>Chợ Lách</v>
      </c>
      <c r="M164" s="10" t="str">
        <f>IFERROR(VLOOKUP(L164,'List+TK'!$I$3:$J$9,2,0),"-")</f>
        <v>83/07</v>
      </c>
      <c r="N164" s="10"/>
      <c r="O164" s="10" t="str">
        <f t="shared" si="21"/>
        <v>Cá tra thương phẩm</v>
      </c>
      <c r="P164" s="10" t="str">
        <f t="shared" si="28"/>
        <v>83/1023/15</v>
      </c>
      <c r="Q164" s="10" t="str">
        <f t="shared" si="23"/>
        <v>Chợ Lách 83/07</v>
      </c>
      <c r="R164" s="10" t="str">
        <f t="shared" si="24"/>
        <v>Công ty TNHH CBTPXK Vạn Đức Tiền Giang - Ấp Bình An, Xã Hòa Nghĩa</v>
      </c>
      <c r="S164" s="10">
        <f t="shared" si="25"/>
        <v>1.5</v>
      </c>
      <c r="T164" s="10" t="str">
        <f>IFERROR(VLOOKUP(J164,'List+TK'!$D$3:$E$1000,2,0),"-")</f>
        <v>-</v>
      </c>
      <c r="U164" s="10" t="str">
        <f t="shared" si="29"/>
        <v>12/10/2023</v>
      </c>
      <c r="V164" s="10" t="str">
        <f>IFERROR(VLOOKUP(K164,'List+TK'!$G$3:$H$16,2,0),"-")</f>
        <v>Nguyễn Duy Khanh</v>
      </c>
      <c r="W164" s="10" t="str">
        <f t="shared" si="27"/>
        <v/>
      </c>
      <c r="X164" s="4"/>
    </row>
    <row r="165" spans="1:24" ht="66" x14ac:dyDescent="0.25">
      <c r="A165" s="5">
        <f>_xlfn.AGGREGATE(3,3,$I$4:I165)</f>
        <v>162</v>
      </c>
      <c r="B165" s="5">
        <v>1</v>
      </c>
      <c r="C165" s="26" t="s">
        <v>211</v>
      </c>
      <c r="D165" s="10" t="s">
        <v>262</v>
      </c>
      <c r="E165" s="10" t="s">
        <v>43</v>
      </c>
      <c r="F165" s="10" t="s">
        <v>5</v>
      </c>
      <c r="G165" s="45">
        <v>11</v>
      </c>
      <c r="H165" s="10">
        <v>28</v>
      </c>
      <c r="I165" s="10" t="s">
        <v>208</v>
      </c>
      <c r="J165" s="10" t="s">
        <v>572</v>
      </c>
      <c r="K165" s="10" t="s">
        <v>244</v>
      </c>
      <c r="L165" s="10" t="str">
        <f t="shared" si="20"/>
        <v>Bình Đại</v>
      </c>
      <c r="M165" s="10" t="str">
        <f>IFERROR(VLOOKUP(L165,'List+TK'!$I$3:$J$9,2,0),"-")</f>
        <v>83/02</v>
      </c>
      <c r="N165" s="10">
        <v>4</v>
      </c>
      <c r="O165" s="10" t="str">
        <f t="shared" si="21"/>
        <v>Cá tra thương phẩm</v>
      </c>
      <c r="P165" s="10" t="str">
        <f>"83/"&amp;IF(LEN(G165)=1,"0"&amp;G165,G165)&amp;"23/"&amp;IF(LEN(B165)=1,"0"&amp;B165,B165)</f>
        <v>83/1123/01</v>
      </c>
      <c r="Q165" s="10" t="str">
        <f t="shared" si="23"/>
        <v>Bình Đại 83/02</v>
      </c>
      <c r="R165" s="10" t="str">
        <f t="shared" si="24"/>
        <v>Công ty CP Gò Đàng - Khu A Lộc Thuận, ấp Lộc Sơn, Xã Lộc Thuận</v>
      </c>
      <c r="S165" s="10">
        <f t="shared" si="25"/>
        <v>1.5</v>
      </c>
      <c r="T165" s="10" t="str">
        <f>IFERROR(VLOOKUP(J165,'List+TK'!$D$3:$E$1000,2,0),"-")</f>
        <v>Erythromycin, Pb, Hg, Cd</v>
      </c>
      <c r="U165" s="10" t="str">
        <f>H165&amp;"/"&amp;IF(LEN(G165)=1,"0"&amp;G165,G165)&amp;"/2023"</f>
        <v>28/11/2023</v>
      </c>
      <c r="V165" s="10" t="str">
        <f>IFERROR(VLOOKUP(K165,'List+TK'!$G$3:$H$16,2,0),"-")</f>
        <v>Cao Quang Nguyên</v>
      </c>
      <c r="W165" s="10" t="str">
        <f t="shared" si="27"/>
        <v>Ao 4</v>
      </c>
      <c r="X165" s="4"/>
    </row>
    <row r="166" spans="1:24" ht="66" x14ac:dyDescent="0.25">
      <c r="A166" s="5">
        <f>_xlfn.AGGREGATE(3,3,$I$4:I166)</f>
        <v>163</v>
      </c>
      <c r="B166" s="5">
        <v>2</v>
      </c>
      <c r="C166" s="26" t="s">
        <v>211</v>
      </c>
      <c r="D166" s="10" t="s">
        <v>262</v>
      </c>
      <c r="E166" s="10" t="s">
        <v>43</v>
      </c>
      <c r="F166" s="10" t="s">
        <v>5</v>
      </c>
      <c r="G166" s="45">
        <v>11</v>
      </c>
      <c r="H166" s="10">
        <v>28</v>
      </c>
      <c r="I166" s="10" t="s">
        <v>208</v>
      </c>
      <c r="J166" s="10" t="s">
        <v>565</v>
      </c>
      <c r="K166" s="10" t="s">
        <v>244</v>
      </c>
      <c r="L166" s="10" t="str">
        <f t="shared" si="20"/>
        <v>Bình Đại</v>
      </c>
      <c r="M166" s="10" t="str">
        <f>IFERROR(VLOOKUP(L166,'List+TK'!$I$3:$J$9,2,0),"-")</f>
        <v>83/02</v>
      </c>
      <c r="N166" s="10">
        <v>11</v>
      </c>
      <c r="O166" s="10" t="str">
        <f t="shared" si="21"/>
        <v>Cá tra thương phẩm</v>
      </c>
      <c r="P166" s="10" t="str">
        <f t="shared" ref="P166:P172" si="30">"83/"&amp;IF(LEN(G166)=1,"0"&amp;G166,G166)&amp;"23/"&amp;IF(LEN(B166)=1,"0"&amp;B166,B166)</f>
        <v>83/1123/02</v>
      </c>
      <c r="Q166" s="10" t="str">
        <f t="shared" si="23"/>
        <v>Bình Đại 83/02</v>
      </c>
      <c r="R166" s="10" t="str">
        <f t="shared" si="24"/>
        <v>Công ty CP Gò Đàng - Khu A Lộc Thuận, ấp Lộc Sơn, Xã Lộc Thuận</v>
      </c>
      <c r="S166" s="10">
        <f t="shared" si="25"/>
        <v>1.5</v>
      </c>
      <c r="T166" s="10" t="str">
        <f>IFERROR(VLOOKUP(J166,'List+TK'!$D$3:$E$1000,2,0),"-")</f>
        <v>Chlorpyrifos, Fipronil, Pb, Hg, Cd</v>
      </c>
      <c r="U166" s="10" t="str">
        <f t="shared" ref="U166:U172" si="31">H166&amp;"/"&amp;IF(LEN(G166)=1,"0"&amp;G166,G166)&amp;"/2023"</f>
        <v>28/11/2023</v>
      </c>
      <c r="V166" s="10" t="str">
        <f>IFERROR(VLOOKUP(K166,'List+TK'!$G$3:$H$16,2,0),"-")</f>
        <v>Cao Quang Nguyên</v>
      </c>
      <c r="W166" s="10" t="str">
        <f t="shared" si="27"/>
        <v>Ao 11</v>
      </c>
      <c r="X166" s="4"/>
    </row>
    <row r="167" spans="1:24" ht="49.5" x14ac:dyDescent="0.25">
      <c r="A167" s="5">
        <f>_xlfn.AGGREGATE(3,3,$I$4:I167)</f>
        <v>164</v>
      </c>
      <c r="B167" s="5">
        <v>3</v>
      </c>
      <c r="C167" s="26" t="s">
        <v>209</v>
      </c>
      <c r="D167" s="10" t="s">
        <v>419</v>
      </c>
      <c r="E167" s="10" t="s">
        <v>67</v>
      </c>
      <c r="F167" s="10" t="s">
        <v>6</v>
      </c>
      <c r="G167" s="45">
        <v>11</v>
      </c>
      <c r="H167" s="10">
        <v>28</v>
      </c>
      <c r="I167" s="10" t="s">
        <v>208</v>
      </c>
      <c r="J167" s="10" t="s">
        <v>572</v>
      </c>
      <c r="K167" s="10" t="s">
        <v>249</v>
      </c>
      <c r="L167" s="10" t="str">
        <f t="shared" si="20"/>
        <v>Châu Thành</v>
      </c>
      <c r="M167" s="10" t="str">
        <f>IFERROR(VLOOKUP(L167,'List+TK'!$I$3:$J$9,2,0),"-")</f>
        <v>83/05</v>
      </c>
      <c r="N167" s="10">
        <v>10</v>
      </c>
      <c r="O167" s="10" t="str">
        <f t="shared" si="21"/>
        <v>Cá tra thương phẩm</v>
      </c>
      <c r="P167" s="10" t="str">
        <f t="shared" si="30"/>
        <v>83/1123/03</v>
      </c>
      <c r="Q167" s="10" t="str">
        <f t="shared" si="23"/>
        <v>Châu Thành 83/05</v>
      </c>
      <c r="R167" s="10" t="str">
        <f t="shared" si="24"/>
        <v>Công ty CP Hùng Vương - Ấp Phú Tân, Xã Phú Túc</v>
      </c>
      <c r="S167" s="10">
        <f t="shared" si="25"/>
        <v>1.5</v>
      </c>
      <c r="T167" s="10" t="str">
        <f>IFERROR(VLOOKUP(J167,'List+TK'!$D$3:$E$1000,2,0),"-")</f>
        <v>Erythromycin, Pb, Hg, Cd</v>
      </c>
      <c r="U167" s="10" t="str">
        <f t="shared" si="31"/>
        <v>28/11/2023</v>
      </c>
      <c r="V167" s="10" t="str">
        <f>IFERROR(VLOOKUP(K167,'List+TK'!$G$3:$H$16,2,0),"-")</f>
        <v>Phạm Văn Lâm</v>
      </c>
      <c r="W167" s="10" t="str">
        <f t="shared" si="27"/>
        <v>Ao 10</v>
      </c>
      <c r="X167" s="4"/>
    </row>
    <row r="168" spans="1:24" ht="82.5" x14ac:dyDescent="0.25">
      <c r="A168" s="5">
        <f>_xlfn.AGGREGATE(3,3,$I$4:I168)</f>
        <v>165</v>
      </c>
      <c r="B168" s="5">
        <v>4</v>
      </c>
      <c r="C168" s="26" t="s">
        <v>608</v>
      </c>
      <c r="D168" s="10" t="s">
        <v>609</v>
      </c>
      <c r="E168" s="10" t="s">
        <v>104</v>
      </c>
      <c r="F168" s="10" t="s">
        <v>8</v>
      </c>
      <c r="G168" s="45">
        <v>11</v>
      </c>
      <c r="H168" s="10">
        <v>28</v>
      </c>
      <c r="I168" s="10" t="s">
        <v>208</v>
      </c>
      <c r="J168" s="10" t="s">
        <v>583</v>
      </c>
      <c r="K168" s="10" t="s">
        <v>245</v>
      </c>
      <c r="L168" s="10" t="str">
        <f t="shared" si="20"/>
        <v>Giồng Trôm</v>
      </c>
      <c r="M168" s="10" t="str">
        <f>IFERROR(VLOOKUP(L168,'List+TK'!$I$3:$J$9,2,0),"-")</f>
        <v>83/06</v>
      </c>
      <c r="N168" s="10" t="s">
        <v>408</v>
      </c>
      <c r="O168" s="10" t="str">
        <f t="shared" si="21"/>
        <v>Cá tra thương phẩm</v>
      </c>
      <c r="P168" s="10" t="str">
        <f t="shared" si="30"/>
        <v>83/1123/04</v>
      </c>
      <c r="Q168" s="10" t="str">
        <f t="shared" si="23"/>
        <v>Giồng Trôm 83/06</v>
      </c>
      <c r="R168" s="10" t="str">
        <f t="shared" si="24"/>
        <v>Công ty CP XNK Thủy sản Bến Tre (DL 22) - Trại nuôi cá tra Cồn Bần-Ấp Phước Long, Xã Sơn Phú</v>
      </c>
      <c r="S168" s="10">
        <f t="shared" si="25"/>
        <v>1.5</v>
      </c>
      <c r="T168" s="10" t="str">
        <f>IFERROR(VLOOKUP(J168,'List+TK'!$D$3:$E$1000,2,0),"-")</f>
        <v>Azadirachtin, Pb, Hg, Cd</v>
      </c>
      <c r="U168" s="10" t="str">
        <f t="shared" si="31"/>
        <v>28/11/2023</v>
      </c>
      <c r="V168" s="10" t="str">
        <f>IFERROR(VLOOKUP(K168,'List+TK'!$G$3:$H$16,2,0),"-")</f>
        <v>Phạm Minh Thuận</v>
      </c>
      <c r="W168" s="10" t="str">
        <f t="shared" si="27"/>
        <v>Ao C1</v>
      </c>
      <c r="X168" s="4"/>
    </row>
    <row r="169" spans="1:24" ht="82.5" x14ac:dyDescent="0.25">
      <c r="A169" s="5">
        <f>_xlfn.AGGREGATE(3,3,$I$4:I169)</f>
        <v>166</v>
      </c>
      <c r="B169" s="5">
        <v>5</v>
      </c>
      <c r="C169" s="26" t="s">
        <v>608</v>
      </c>
      <c r="D169" s="10" t="s">
        <v>609</v>
      </c>
      <c r="E169" s="10" t="s">
        <v>104</v>
      </c>
      <c r="F169" s="10" t="s">
        <v>8</v>
      </c>
      <c r="G169" s="45">
        <v>11</v>
      </c>
      <c r="H169" s="10">
        <v>28</v>
      </c>
      <c r="I169" s="10" t="s">
        <v>208</v>
      </c>
      <c r="J169" s="10" t="s">
        <v>603</v>
      </c>
      <c r="K169" s="10" t="s">
        <v>245</v>
      </c>
      <c r="L169" s="10" t="str">
        <f t="shared" si="20"/>
        <v>Giồng Trôm</v>
      </c>
      <c r="M169" s="10" t="str">
        <f>IFERROR(VLOOKUP(L169,'List+TK'!$I$3:$J$9,2,0),"-")</f>
        <v>83/06</v>
      </c>
      <c r="N169" s="10" t="s">
        <v>610</v>
      </c>
      <c r="O169" s="10" t="str">
        <f t="shared" si="21"/>
        <v>Cá tra thương phẩm</v>
      </c>
      <c r="P169" s="10" t="str">
        <f t="shared" si="30"/>
        <v>83/1123/05</v>
      </c>
      <c r="Q169" s="10" t="str">
        <f t="shared" si="23"/>
        <v>Giồng Trôm 83/06</v>
      </c>
      <c r="R169" s="10" t="str">
        <f t="shared" si="24"/>
        <v>Công ty CP XNK Thủy sản Bến Tre (DL 22) - Trại nuôi cá tra Cồn Bần-Ấp Phước Long, Xã Sơn Phú</v>
      </c>
      <c r="S169" s="10">
        <f t="shared" si="25"/>
        <v>1.5</v>
      </c>
      <c r="T169" s="10" t="str">
        <f>IFERROR(VLOOKUP(J169,'List+TK'!$D$3:$E$1000,2,0),"-")</f>
        <v>Amoxicillin , Pb, Hg, Cd</v>
      </c>
      <c r="U169" s="10" t="str">
        <f t="shared" si="31"/>
        <v>28/11/2023</v>
      </c>
      <c r="V169" s="10" t="str">
        <f>IFERROR(VLOOKUP(K169,'List+TK'!$G$3:$H$16,2,0),"-")</f>
        <v>Phạm Minh Thuận</v>
      </c>
      <c r="W169" s="10" t="str">
        <f t="shared" si="27"/>
        <v>Ao C3</v>
      </c>
      <c r="X169" s="4"/>
    </row>
    <row r="170" spans="1:24" ht="66" x14ac:dyDescent="0.25">
      <c r="A170" s="5">
        <f>_xlfn.AGGREGATE(3,3,$I$4:I170)</f>
        <v>167</v>
      </c>
      <c r="B170" s="5">
        <v>6</v>
      </c>
      <c r="C170" s="26" t="s">
        <v>232</v>
      </c>
      <c r="D170" s="10" t="s">
        <v>327</v>
      </c>
      <c r="E170" s="10" t="s">
        <v>87</v>
      </c>
      <c r="F170" s="10" t="s">
        <v>7</v>
      </c>
      <c r="G170" s="45">
        <v>11</v>
      </c>
      <c r="H170" s="10">
        <v>29</v>
      </c>
      <c r="I170" s="10" t="s">
        <v>208</v>
      </c>
      <c r="J170" s="10" t="s">
        <v>576</v>
      </c>
      <c r="K170" s="10" t="s">
        <v>249</v>
      </c>
      <c r="L170" s="10" t="str">
        <f t="shared" si="20"/>
        <v>Chợ Lách</v>
      </c>
      <c r="M170" s="10" t="str">
        <f>IFERROR(VLOOKUP(L170,'List+TK'!$I$3:$J$9,2,0),"-")</f>
        <v>83/07</v>
      </c>
      <c r="N170" s="10">
        <v>3</v>
      </c>
      <c r="O170" s="10" t="str">
        <f t="shared" si="21"/>
        <v>Cá tra thương phẩm</v>
      </c>
      <c r="P170" s="10" t="str">
        <f t="shared" si="30"/>
        <v>83/1123/06</v>
      </c>
      <c r="Q170" s="10" t="str">
        <f t="shared" si="23"/>
        <v>Chợ Lách 83/07</v>
      </c>
      <c r="R170" s="10" t="str">
        <f t="shared" si="24"/>
        <v>Công ty TNHH CBTPXK Vạn Đức Tiền Giang - Ấp Phú Bình, Xã Vĩnh Bình</v>
      </c>
      <c r="S170" s="10">
        <f t="shared" si="25"/>
        <v>1.5</v>
      </c>
      <c r="T170" s="10" t="str">
        <f>IFERROR(VLOOKUP(J170,'List+TK'!$D$3:$E$1000,2,0),"-")</f>
        <v>Nhóm Nitroimidazoles, Pb, Hg, Cd</v>
      </c>
      <c r="U170" s="10" t="str">
        <f t="shared" si="31"/>
        <v>29/11/2023</v>
      </c>
      <c r="V170" s="10" t="str">
        <f>IFERROR(VLOOKUP(K170,'List+TK'!$G$3:$H$16,2,0),"-")</f>
        <v>Phạm Văn Lâm</v>
      </c>
      <c r="W170" s="10" t="str">
        <f t="shared" si="27"/>
        <v>Ao 3</v>
      </c>
      <c r="X170" s="4"/>
    </row>
    <row r="171" spans="1:24" ht="66" x14ac:dyDescent="0.25">
      <c r="A171" s="5">
        <f>_xlfn.AGGREGATE(3,3,$I$4:I171)</f>
        <v>168</v>
      </c>
      <c r="B171" s="5">
        <v>7</v>
      </c>
      <c r="C171" s="26" t="s">
        <v>232</v>
      </c>
      <c r="D171" s="10" t="s">
        <v>327</v>
      </c>
      <c r="E171" s="10" t="s">
        <v>87</v>
      </c>
      <c r="F171" s="10" t="s">
        <v>7</v>
      </c>
      <c r="G171" s="45">
        <v>11</v>
      </c>
      <c r="H171" s="10">
        <v>29</v>
      </c>
      <c r="I171" s="10" t="s">
        <v>208</v>
      </c>
      <c r="J171" s="10" t="s">
        <v>561</v>
      </c>
      <c r="K171" s="10" t="s">
        <v>249</v>
      </c>
      <c r="L171" s="10" t="str">
        <f t="shared" si="20"/>
        <v>Chợ Lách</v>
      </c>
      <c r="M171" s="10" t="str">
        <f>IFERROR(VLOOKUP(L171,'List+TK'!$I$3:$J$9,2,0),"-")</f>
        <v>83/07</v>
      </c>
      <c r="N171" s="10">
        <v>11</v>
      </c>
      <c r="O171" s="10" t="str">
        <f t="shared" si="21"/>
        <v>Cá tra thương phẩm</v>
      </c>
      <c r="P171" s="10" t="str">
        <f t="shared" si="30"/>
        <v>83/1123/07</v>
      </c>
      <c r="Q171" s="10" t="str">
        <f t="shared" si="23"/>
        <v>Chợ Lách 83/07</v>
      </c>
      <c r="R171" s="10" t="str">
        <f t="shared" si="24"/>
        <v>Công ty TNHH CBTPXK Vạn Đức Tiền Giang - Ấp Phú Bình, Xã Vĩnh Bình</v>
      </c>
      <c r="S171" s="10">
        <f t="shared" si="25"/>
        <v>1.5</v>
      </c>
      <c r="T171" s="10" t="str">
        <f>IFERROR(VLOOKUP(J171,'List+TK'!$D$3:$E$1000,2,0),"-")</f>
        <v>Nhóm Quinolones, Pb, Hg, Cd</v>
      </c>
      <c r="U171" s="10" t="str">
        <f t="shared" si="31"/>
        <v>29/11/2023</v>
      </c>
      <c r="V171" s="10" t="str">
        <f>IFERROR(VLOOKUP(K171,'List+TK'!$G$3:$H$16,2,0),"-")</f>
        <v>Phạm Văn Lâm</v>
      </c>
      <c r="W171" s="10" t="str">
        <f t="shared" si="27"/>
        <v>Ao 11</v>
      </c>
      <c r="X171" s="4"/>
    </row>
    <row r="172" spans="1:24" ht="66" x14ac:dyDescent="0.25">
      <c r="A172" s="5">
        <f>_xlfn.AGGREGATE(3,3,$I$4:I172)</f>
        <v>169</v>
      </c>
      <c r="B172" s="5">
        <v>8</v>
      </c>
      <c r="C172" s="26" t="s">
        <v>232</v>
      </c>
      <c r="D172" s="10" t="s">
        <v>327</v>
      </c>
      <c r="E172" s="10" t="s">
        <v>87</v>
      </c>
      <c r="F172" s="10" t="s">
        <v>7</v>
      </c>
      <c r="G172" s="45">
        <v>11</v>
      </c>
      <c r="H172" s="10">
        <v>29</v>
      </c>
      <c r="I172" s="10" t="s">
        <v>208</v>
      </c>
      <c r="J172" s="10" t="s">
        <v>565</v>
      </c>
      <c r="K172" s="10" t="s">
        <v>249</v>
      </c>
      <c r="L172" s="10" t="str">
        <f t="shared" si="20"/>
        <v>Chợ Lách</v>
      </c>
      <c r="M172" s="10" t="str">
        <f>IFERROR(VLOOKUP(L172,'List+TK'!$I$3:$J$9,2,0),"-")</f>
        <v>83/07</v>
      </c>
      <c r="N172" s="10">
        <v>18</v>
      </c>
      <c r="O172" s="10" t="str">
        <f t="shared" si="21"/>
        <v>Cá tra thương phẩm</v>
      </c>
      <c r="P172" s="10" t="str">
        <f t="shared" si="30"/>
        <v>83/1123/08</v>
      </c>
      <c r="Q172" s="10" t="str">
        <f t="shared" si="23"/>
        <v>Chợ Lách 83/07</v>
      </c>
      <c r="R172" s="10" t="str">
        <f t="shared" si="24"/>
        <v>Công ty TNHH CBTPXK Vạn Đức Tiền Giang - Ấp Phú Bình, Xã Vĩnh Bình</v>
      </c>
      <c r="S172" s="10">
        <f t="shared" si="25"/>
        <v>1.5</v>
      </c>
      <c r="T172" s="10" t="str">
        <f>IFERROR(VLOOKUP(J172,'List+TK'!$D$3:$E$1000,2,0),"-")</f>
        <v>Chlorpyrifos, Fipronil, Pb, Hg, Cd</v>
      </c>
      <c r="U172" s="10" t="str">
        <f t="shared" si="31"/>
        <v>29/11/2023</v>
      </c>
      <c r="V172" s="10" t="str">
        <f>IFERROR(VLOOKUP(K172,'List+TK'!$G$3:$H$16,2,0),"-")</f>
        <v>Phạm Văn Lâm</v>
      </c>
      <c r="W172" s="10" t="str">
        <f t="shared" si="27"/>
        <v>Ao 18</v>
      </c>
      <c r="X172" s="4"/>
    </row>
    <row r="173" spans="1:24" ht="66" hidden="1" x14ac:dyDescent="0.25">
      <c r="A173" s="5">
        <f>_xlfn.AGGREGATE(3,3,$I$4:I173)</f>
        <v>169</v>
      </c>
      <c r="B173" s="5">
        <v>24</v>
      </c>
      <c r="C173" s="26" t="s">
        <v>211</v>
      </c>
      <c r="D173" s="10" t="s">
        <v>416</v>
      </c>
      <c r="E173" s="10" t="s">
        <v>55</v>
      </c>
      <c r="F173" s="10" t="s">
        <v>5</v>
      </c>
      <c r="G173" s="10">
        <v>7</v>
      </c>
      <c r="H173" s="10">
        <v>18</v>
      </c>
      <c r="I173" s="10" t="s">
        <v>208</v>
      </c>
      <c r="J173" s="10" t="s">
        <v>278</v>
      </c>
      <c r="K173" s="10" t="s">
        <v>244</v>
      </c>
      <c r="L173" s="10" t="str">
        <f t="shared" si="20"/>
        <v>Bình Đại</v>
      </c>
      <c r="M173" s="10" t="str">
        <f>IFERROR(VLOOKUP(L173,'List+TK'!$I$3:$J$9,2,0),"-")</f>
        <v>83/02</v>
      </c>
      <c r="N173" s="10" t="s">
        <v>421</v>
      </c>
      <c r="O173" s="10" t="str">
        <f t="shared" si="21"/>
        <v>Cá tra thương phẩm</v>
      </c>
      <c r="P173" s="10" t="s">
        <v>412</v>
      </c>
      <c r="Q173" s="10" t="str">
        <f t="shared" si="23"/>
        <v>Bình Đại 83/02</v>
      </c>
      <c r="R173" s="10" t="str">
        <f t="shared" si="24"/>
        <v>Công ty CP Gò Đàng - Ấp Vinh Xương, Xã Vang Quới Đông</v>
      </c>
      <c r="S173" s="10">
        <f t="shared" si="25"/>
        <v>1.5</v>
      </c>
      <c r="T173" s="10" t="str">
        <f>IFERROR(VLOOKUP(J173,'List+TK'!$D$3:$E$1000,2,0),"-")</f>
        <v>Nhóm Quinolones</v>
      </c>
      <c r="U173" s="44" t="s">
        <v>418</v>
      </c>
      <c r="V173" s="10" t="str">
        <f>IFERROR(VLOOKUP(K173,'List+TK'!$G$3:$H$16,2,0),"-")</f>
        <v>Cao Quang Nguyên</v>
      </c>
      <c r="W173" s="10" t="str">
        <f t="shared" si="27"/>
        <v>Ao D1</v>
      </c>
      <c r="X173" s="4" t="s">
        <v>422</v>
      </c>
    </row>
    <row r="174" spans="1:24" ht="66" hidden="1" x14ac:dyDescent="0.25">
      <c r="A174" s="5">
        <f>_xlfn.AGGREGATE(3,3,$I$4:I174)</f>
        <v>169</v>
      </c>
      <c r="B174" s="5">
        <v>25</v>
      </c>
      <c r="C174" s="26" t="s">
        <v>211</v>
      </c>
      <c r="D174" s="10" t="s">
        <v>416</v>
      </c>
      <c r="E174" s="10" t="s">
        <v>55</v>
      </c>
      <c r="F174" s="10" t="s">
        <v>5</v>
      </c>
      <c r="G174" s="10">
        <v>7</v>
      </c>
      <c r="H174" s="10">
        <v>18</v>
      </c>
      <c r="I174" s="10" t="s">
        <v>208</v>
      </c>
      <c r="J174" s="10" t="s">
        <v>293</v>
      </c>
      <c r="K174" s="10" t="s">
        <v>244</v>
      </c>
      <c r="L174" s="10" t="str">
        <f t="shared" si="20"/>
        <v>Bình Đại</v>
      </c>
      <c r="M174" s="10" t="str">
        <f>IFERROR(VLOOKUP(L174,'List+TK'!$I$3:$J$9,2,0),"-")</f>
        <v>83/02</v>
      </c>
      <c r="N174" s="10" t="s">
        <v>354</v>
      </c>
      <c r="O174" s="10" t="str">
        <f t="shared" si="21"/>
        <v>Cá tra thương phẩm</v>
      </c>
      <c r="P174" s="10" t="s">
        <v>413</v>
      </c>
      <c r="Q174" s="10" t="str">
        <f t="shared" si="23"/>
        <v>Bình Đại 83/02</v>
      </c>
      <c r="R174" s="10" t="str">
        <f t="shared" si="24"/>
        <v>Công ty CP Gò Đàng - Ấp Vinh Xương, Xã Vang Quới Đông</v>
      </c>
      <c r="S174" s="10">
        <f t="shared" si="25"/>
        <v>1.5</v>
      </c>
      <c r="T174" s="10" t="str">
        <f>IFERROR(VLOOKUP(J174,'List+TK'!$D$3:$E$1000,2,0),"-")</f>
        <v>-</v>
      </c>
      <c r="U174" s="44" t="s">
        <v>418</v>
      </c>
      <c r="V174" s="10" t="str">
        <f>IFERROR(VLOOKUP(K174,'List+TK'!$G$3:$H$16,2,0),"-")</f>
        <v>Cao Quang Nguyên</v>
      </c>
      <c r="W174" s="10" t="str">
        <f t="shared" si="27"/>
        <v>Ao D4</v>
      </c>
      <c r="X174" s="4" t="s">
        <v>422</v>
      </c>
    </row>
    <row r="175" spans="1:24" ht="33" hidden="1" x14ac:dyDescent="0.25">
      <c r="A175" s="5">
        <f>_xlfn.AGGREGATE(3,3,$I$4:I175)</f>
        <v>169</v>
      </c>
      <c r="B175" s="5">
        <v>1</v>
      </c>
      <c r="C175" s="26" t="s">
        <v>442</v>
      </c>
      <c r="D175" s="10" t="s">
        <v>443</v>
      </c>
      <c r="E175" s="10" t="s">
        <v>21</v>
      </c>
      <c r="F175" s="10" t="s">
        <v>4</v>
      </c>
      <c r="G175" s="10">
        <v>11</v>
      </c>
      <c r="H175" s="10">
        <v>29</v>
      </c>
      <c r="I175" s="10" t="s">
        <v>241</v>
      </c>
      <c r="J175" s="10" t="s">
        <v>423</v>
      </c>
      <c r="K175" s="10" t="s">
        <v>245</v>
      </c>
      <c r="L175" s="10" t="str">
        <f t="shared" si="20"/>
        <v>Ba Tri</v>
      </c>
      <c r="M175" s="10" t="str">
        <f>IFERROR(VLOOKUP(L175,'List+TK'!$I$3:$J$9,2,0),"-")</f>
        <v>83/01</v>
      </c>
      <c r="N175" s="10">
        <v>1</v>
      </c>
      <c r="O175" s="10" t="str">
        <f t="shared" si="21"/>
        <v>Tôm chân trắng thương phẩm</v>
      </c>
      <c r="P175" s="10" t="str">
        <f t="shared" ref="P175:P193" si="32">"83/"&amp;IF(LEN(G175)=1,"0"&amp;G175,G175)&amp;"22/"&amp;IF(LEN(B175)=1,"0"&amp;B175,B175)</f>
        <v>83/1122/01</v>
      </c>
      <c r="Q175" s="10" t="str">
        <f t="shared" si="23"/>
        <v>Ba Tri 83/01</v>
      </c>
      <c r="R175" s="10" t="str">
        <f t="shared" si="24"/>
        <v>Nguyễn Văn Phong - ấp 7, Xã An Thủy</v>
      </c>
      <c r="S175" s="10">
        <f t="shared" si="25"/>
        <v>1</v>
      </c>
      <c r="T175" s="10" t="str">
        <f>IFERROR(VLOOKUP(J175,'List+TK'!$D$3:$E$1000,2,0),"-")</f>
        <v>-</v>
      </c>
      <c r="U175" s="10" t="str">
        <f t="shared" ref="U175:U193" si="33">H175&amp;"/"&amp;IF(LEN(G175)=1,"0"&amp;G175,G175)&amp;"/2022"</f>
        <v>29/11/2022</v>
      </c>
      <c r="V175" s="10" t="str">
        <f>IFERROR(VLOOKUP(K175,'List+TK'!$G$3:$H$16,2,0),"-")</f>
        <v>Phạm Minh Thuận</v>
      </c>
      <c r="W175" s="10" t="str">
        <f t="shared" si="27"/>
        <v>Ao 1</v>
      </c>
      <c r="X175" s="4"/>
    </row>
    <row r="176" spans="1:24" ht="49.5" hidden="1" x14ac:dyDescent="0.25">
      <c r="A176" s="5">
        <f>_xlfn.AGGREGATE(3,3,$I$4:I176)</f>
        <v>169</v>
      </c>
      <c r="B176" s="5">
        <v>2</v>
      </c>
      <c r="C176" s="26" t="s">
        <v>442</v>
      </c>
      <c r="D176" s="10" t="s">
        <v>444</v>
      </c>
      <c r="E176" s="10" t="s">
        <v>21</v>
      </c>
      <c r="F176" s="10" t="s">
        <v>4</v>
      </c>
      <c r="G176" s="10">
        <v>11</v>
      </c>
      <c r="H176" s="10">
        <v>29</v>
      </c>
      <c r="I176" s="10" t="s">
        <v>241</v>
      </c>
      <c r="J176" s="10" t="s">
        <v>424</v>
      </c>
      <c r="K176" s="10" t="s">
        <v>245</v>
      </c>
      <c r="L176" s="10" t="str">
        <f t="shared" si="20"/>
        <v>Ba Tri</v>
      </c>
      <c r="M176" s="10" t="str">
        <f>IFERROR(VLOOKUP(L176,'List+TK'!$I$3:$J$9,2,0),"-")</f>
        <v>83/01</v>
      </c>
      <c r="N176" s="10">
        <v>2</v>
      </c>
      <c r="O176" s="10" t="str">
        <f t="shared" si="21"/>
        <v>Tôm chân trắng thương phẩm</v>
      </c>
      <c r="P176" s="10" t="str">
        <f t="shared" si="32"/>
        <v>83/1122/02</v>
      </c>
      <c r="Q176" s="10" t="str">
        <f t="shared" si="23"/>
        <v>Ba Tri 83/01</v>
      </c>
      <c r="R176" s="10" t="str">
        <f t="shared" si="24"/>
        <v>Nguyễn Văn Phong - ấp 8, Xã An Thủy</v>
      </c>
      <c r="S176" s="10">
        <f t="shared" si="25"/>
        <v>1</v>
      </c>
      <c r="T176" s="10" t="str">
        <f>IFERROR(VLOOKUP(J176,'List+TK'!$D$3:$E$1000,2,0),"-")</f>
        <v>Nhóm Quinolones, Ivermectin, Praziquantel, Trichlorfon, Avermectin B1a</v>
      </c>
      <c r="U176" s="10" t="str">
        <f t="shared" si="33"/>
        <v>29/11/2022</v>
      </c>
      <c r="V176" s="10" t="str">
        <f>IFERROR(VLOOKUP(K176,'List+TK'!$G$3:$H$16,2,0),"-")</f>
        <v>Phạm Minh Thuận</v>
      </c>
      <c r="W176" s="10" t="str">
        <f t="shared" si="27"/>
        <v>Ao 2</v>
      </c>
      <c r="X176" s="4"/>
    </row>
    <row r="177" spans="1:24" ht="49.5" hidden="1" x14ac:dyDescent="0.25">
      <c r="A177" s="5">
        <f>_xlfn.AGGREGATE(3,3,$I$4:I177)</f>
        <v>169</v>
      </c>
      <c r="B177" s="5">
        <v>3</v>
      </c>
      <c r="C177" s="26" t="s">
        <v>447</v>
      </c>
      <c r="D177" s="10" t="s">
        <v>449</v>
      </c>
      <c r="E177" s="10" t="s">
        <v>51</v>
      </c>
      <c r="F177" s="10" t="s">
        <v>5</v>
      </c>
      <c r="G177" s="10">
        <v>11</v>
      </c>
      <c r="H177" s="10">
        <v>29</v>
      </c>
      <c r="I177" s="10" t="s">
        <v>241</v>
      </c>
      <c r="J177" s="10" t="s">
        <v>428</v>
      </c>
      <c r="K177" s="10" t="s">
        <v>244</v>
      </c>
      <c r="L177" s="10" t="str">
        <f t="shared" si="20"/>
        <v>Bình Đại</v>
      </c>
      <c r="M177" s="10" t="str">
        <f>IFERROR(VLOOKUP(L177,'List+TK'!$I$3:$J$9,2,0),"-")</f>
        <v>83/02</v>
      </c>
      <c r="N177" s="10">
        <v>1</v>
      </c>
      <c r="O177" s="10" t="str">
        <f t="shared" si="21"/>
        <v>Tôm chân trắng thương phẩm</v>
      </c>
      <c r="P177" s="10" t="str">
        <f t="shared" si="32"/>
        <v>83/1122/03</v>
      </c>
      <c r="Q177" s="10" t="str">
        <f t="shared" si="23"/>
        <v>Bình Đại 83/02</v>
      </c>
      <c r="R177" s="10" t="str">
        <f t="shared" si="24"/>
        <v>Nguyễn Thị Trang - ấp 3, Xã Thạnh Trị</v>
      </c>
      <c r="S177" s="10">
        <f t="shared" si="25"/>
        <v>1</v>
      </c>
      <c r="T177" s="10" t="str">
        <f>IFERROR(VLOOKUP(J177,'List+TK'!$D$3:$E$1000,2,0),"-")</f>
        <v>Chloramphenicol, Nhóm Quinolones</v>
      </c>
      <c r="U177" s="10" t="str">
        <f t="shared" si="33"/>
        <v>29/11/2022</v>
      </c>
      <c r="V177" s="10" t="str">
        <f>IFERROR(VLOOKUP(K177,'List+TK'!$G$3:$H$16,2,0),"-")</f>
        <v>Cao Quang Nguyên</v>
      </c>
      <c r="W177" s="10" t="str">
        <f t="shared" si="27"/>
        <v>Ao 1</v>
      </c>
      <c r="X177" s="4"/>
    </row>
    <row r="178" spans="1:24" ht="49.5" hidden="1" x14ac:dyDescent="0.25">
      <c r="A178" s="5">
        <f>_xlfn.AGGREGATE(3,3,$I$4:I178)</f>
        <v>169</v>
      </c>
      <c r="B178" s="5">
        <v>4</v>
      </c>
      <c r="C178" s="26" t="s">
        <v>447</v>
      </c>
      <c r="D178" s="10" t="s">
        <v>449</v>
      </c>
      <c r="E178" s="10" t="s">
        <v>51</v>
      </c>
      <c r="F178" s="10" t="s">
        <v>5</v>
      </c>
      <c r="G178" s="10">
        <v>11</v>
      </c>
      <c r="H178" s="10">
        <v>29</v>
      </c>
      <c r="I178" s="10" t="s">
        <v>241</v>
      </c>
      <c r="J178" s="10" t="s">
        <v>430</v>
      </c>
      <c r="K178" s="10" t="s">
        <v>244</v>
      </c>
      <c r="L178" s="10" t="str">
        <f t="shared" si="20"/>
        <v>Bình Đại</v>
      </c>
      <c r="M178" s="10" t="str">
        <f>IFERROR(VLOOKUP(L178,'List+TK'!$I$3:$J$9,2,0),"-")</f>
        <v>83/02</v>
      </c>
      <c r="N178" s="10">
        <v>2</v>
      </c>
      <c r="O178" s="10" t="str">
        <f t="shared" si="21"/>
        <v>Tôm chân trắng thương phẩm</v>
      </c>
      <c r="P178" s="10" t="str">
        <f t="shared" si="32"/>
        <v>83/1122/04</v>
      </c>
      <c r="Q178" s="10" t="str">
        <f t="shared" si="23"/>
        <v>Bình Đại 83/02</v>
      </c>
      <c r="R178" s="10" t="str">
        <f t="shared" si="24"/>
        <v>Nguyễn Thị Trang - ấp 3, Xã Thạnh Trị</v>
      </c>
      <c r="S178" s="10">
        <f t="shared" si="25"/>
        <v>1</v>
      </c>
      <c r="T178" s="10" t="str">
        <f>IFERROR(VLOOKUP(J178,'List+TK'!$D$3:$E$1000,2,0),"-")</f>
        <v>Erythromycin,  Ivermectin, Praziquantel, Trichlorfon, Avermectin B1a</v>
      </c>
      <c r="U178" s="10" t="str">
        <f t="shared" si="33"/>
        <v>29/11/2022</v>
      </c>
      <c r="V178" s="10" t="str">
        <f>IFERROR(VLOOKUP(K178,'List+TK'!$G$3:$H$16,2,0),"-")</f>
        <v>Cao Quang Nguyên</v>
      </c>
      <c r="W178" s="10" t="str">
        <f t="shared" si="27"/>
        <v>Ao 2</v>
      </c>
      <c r="X178" s="4"/>
    </row>
    <row r="179" spans="1:24" ht="49.5" hidden="1" x14ac:dyDescent="0.25">
      <c r="A179" s="5">
        <f>_xlfn.AGGREGATE(3,3,$I$4:I179)</f>
        <v>169</v>
      </c>
      <c r="B179" s="5">
        <v>5</v>
      </c>
      <c r="C179" s="26" t="s">
        <v>211</v>
      </c>
      <c r="D179" s="10" t="s">
        <v>450</v>
      </c>
      <c r="E179" s="10" t="s">
        <v>49</v>
      </c>
      <c r="F179" s="10" t="s">
        <v>5</v>
      </c>
      <c r="G179" s="10">
        <v>11</v>
      </c>
      <c r="H179" s="10">
        <v>29</v>
      </c>
      <c r="I179" s="10" t="s">
        <v>208</v>
      </c>
      <c r="J179" s="10" t="s">
        <v>424</v>
      </c>
      <c r="K179" s="10" t="s">
        <v>244</v>
      </c>
      <c r="L179" s="10" t="str">
        <f t="shared" si="20"/>
        <v>Bình Đại</v>
      </c>
      <c r="M179" s="10" t="str">
        <f>IFERROR(VLOOKUP(L179,'List+TK'!$I$3:$J$9,2,0),"-")</f>
        <v>83/02</v>
      </c>
      <c r="N179" s="10">
        <v>5</v>
      </c>
      <c r="O179" s="10" t="str">
        <f t="shared" si="21"/>
        <v>Cá tra thương phẩm</v>
      </c>
      <c r="P179" s="10" t="str">
        <f t="shared" si="32"/>
        <v>83/1122/05</v>
      </c>
      <c r="Q179" s="10" t="str">
        <f t="shared" si="23"/>
        <v>Bình Đại 83/02</v>
      </c>
      <c r="R179" s="10" t="str">
        <f t="shared" si="24"/>
        <v>Công ty CP Gò Đàng - ấp 4, Xã Tam Hiệp</v>
      </c>
      <c r="S179" s="10">
        <f t="shared" si="25"/>
        <v>1.5</v>
      </c>
      <c r="T179" s="10" t="str">
        <f>IFERROR(VLOOKUP(J179,'List+TK'!$D$3:$E$1000,2,0),"-")</f>
        <v>Nhóm Quinolones, Ivermectin, Praziquantel, Trichlorfon, Avermectin B1a</v>
      </c>
      <c r="U179" s="10" t="str">
        <f t="shared" si="33"/>
        <v>29/11/2022</v>
      </c>
      <c r="V179" s="10" t="str">
        <f>IFERROR(VLOOKUP(K179,'List+TK'!$G$3:$H$16,2,0),"-")</f>
        <v>Cao Quang Nguyên</v>
      </c>
      <c r="W179" s="10" t="str">
        <f t="shared" si="27"/>
        <v>Ao 5</v>
      </c>
      <c r="X179" s="4"/>
    </row>
    <row r="180" spans="1:24" ht="33" hidden="1" x14ac:dyDescent="0.25">
      <c r="A180" s="5">
        <f>_xlfn.AGGREGATE(3,3,$I$4:I180)</f>
        <v>169</v>
      </c>
      <c r="B180" s="5">
        <v>6</v>
      </c>
      <c r="C180" s="26" t="s">
        <v>211</v>
      </c>
      <c r="D180" s="10" t="s">
        <v>450</v>
      </c>
      <c r="E180" s="10" t="s">
        <v>49</v>
      </c>
      <c r="F180" s="10" t="s">
        <v>5</v>
      </c>
      <c r="G180" s="10">
        <v>11</v>
      </c>
      <c r="H180" s="10">
        <v>29</v>
      </c>
      <c r="I180" s="10" t="s">
        <v>208</v>
      </c>
      <c r="J180" s="10" t="s">
        <v>320</v>
      </c>
      <c r="K180" s="10" t="s">
        <v>244</v>
      </c>
      <c r="L180" s="10" t="str">
        <f t="shared" si="20"/>
        <v>Bình Đại</v>
      </c>
      <c r="M180" s="10" t="str">
        <f>IFERROR(VLOOKUP(L180,'List+TK'!$I$3:$J$9,2,0),"-")</f>
        <v>83/02</v>
      </c>
      <c r="N180" s="10">
        <v>7</v>
      </c>
      <c r="O180" s="10" t="str">
        <f t="shared" si="21"/>
        <v>Cá tra thương phẩm</v>
      </c>
      <c r="P180" s="10" t="str">
        <f t="shared" si="32"/>
        <v>83/1122/06</v>
      </c>
      <c r="Q180" s="10" t="str">
        <f t="shared" si="23"/>
        <v>Bình Đại 83/02</v>
      </c>
      <c r="R180" s="10" t="str">
        <f t="shared" si="24"/>
        <v>Công ty CP Gò Đàng - ấp 4, Xã Tam Hiệp</v>
      </c>
      <c r="S180" s="10">
        <f t="shared" si="25"/>
        <v>1.5</v>
      </c>
      <c r="T180" s="10" t="str">
        <f>IFERROR(VLOOKUP(J180,'List+TK'!$D$3:$E$1000,2,0),"-")</f>
        <v>-</v>
      </c>
      <c r="U180" s="10" t="str">
        <f t="shared" si="33"/>
        <v>29/11/2022</v>
      </c>
      <c r="V180" s="10" t="str">
        <f>IFERROR(VLOOKUP(K180,'List+TK'!$G$3:$H$16,2,0),"-")</f>
        <v>Cao Quang Nguyên</v>
      </c>
      <c r="W180" s="10" t="str">
        <f t="shared" si="27"/>
        <v>Ao 7</v>
      </c>
      <c r="X180" s="4"/>
    </row>
    <row r="181" spans="1:24" ht="66" hidden="1" x14ac:dyDescent="0.25">
      <c r="A181" s="5">
        <f>_xlfn.AGGREGATE(3,3,$I$4:I181)</f>
        <v>169</v>
      </c>
      <c r="B181" s="5">
        <v>7</v>
      </c>
      <c r="C181" s="26" t="s">
        <v>211</v>
      </c>
      <c r="D181" s="10" t="s">
        <v>262</v>
      </c>
      <c r="E181" s="10" t="s">
        <v>43</v>
      </c>
      <c r="F181" s="10" t="s">
        <v>5</v>
      </c>
      <c r="G181" s="10">
        <v>11</v>
      </c>
      <c r="H181" s="10">
        <v>29</v>
      </c>
      <c r="I181" s="10" t="s">
        <v>208</v>
      </c>
      <c r="J181" s="10" t="s">
        <v>438</v>
      </c>
      <c r="K181" s="10" t="s">
        <v>244</v>
      </c>
      <c r="L181" s="10" t="str">
        <f t="shared" si="20"/>
        <v>Bình Đại</v>
      </c>
      <c r="M181" s="10" t="str">
        <f>IFERROR(VLOOKUP(L181,'List+TK'!$I$3:$J$9,2,0),"-")</f>
        <v>83/02</v>
      </c>
      <c r="N181" s="10">
        <v>11</v>
      </c>
      <c r="O181" s="10" t="str">
        <f t="shared" si="21"/>
        <v>Cá tra thương phẩm</v>
      </c>
      <c r="P181" s="10" t="str">
        <f t="shared" si="32"/>
        <v>83/1122/07</v>
      </c>
      <c r="Q181" s="10" t="str">
        <f t="shared" si="23"/>
        <v>Bình Đại 83/02</v>
      </c>
      <c r="R181" s="10" t="str">
        <f t="shared" si="24"/>
        <v>Công ty CP Gò Đàng - Khu A Lộc Thuận, ấp Lộc Sơn, Xã Lộc Thuận</v>
      </c>
      <c r="S181" s="10">
        <f t="shared" si="25"/>
        <v>1.5</v>
      </c>
      <c r="T181" s="10" t="str">
        <f>IFERROR(VLOOKUP(J181,'List+TK'!$D$3:$E$1000,2,0),"-")</f>
        <v>Pb, Hg, Cd, Malachite Green, Leuco Malachite Green, Crystal Violet, Leuco Crystal Violet</v>
      </c>
      <c r="U181" s="10" t="str">
        <f t="shared" si="33"/>
        <v>29/11/2022</v>
      </c>
      <c r="V181" s="10" t="str">
        <f>IFERROR(VLOOKUP(K181,'List+TK'!$G$3:$H$16,2,0),"-")</f>
        <v>Cao Quang Nguyên</v>
      </c>
      <c r="W181" s="10" t="str">
        <f t="shared" si="27"/>
        <v>Ao 11</v>
      </c>
      <c r="X181" s="4"/>
    </row>
    <row r="182" spans="1:24" ht="33" hidden="1" x14ac:dyDescent="0.25">
      <c r="A182" s="5">
        <f>_xlfn.AGGREGATE(3,3,$I$4:I182)</f>
        <v>169</v>
      </c>
      <c r="B182" s="5">
        <v>8</v>
      </c>
      <c r="C182" s="26" t="s">
        <v>445</v>
      </c>
      <c r="D182" s="10" t="s">
        <v>451</v>
      </c>
      <c r="E182" s="10" t="s">
        <v>141</v>
      </c>
      <c r="F182" s="10" t="s">
        <v>11</v>
      </c>
      <c r="G182" s="10">
        <v>11</v>
      </c>
      <c r="H182" s="10">
        <v>30</v>
      </c>
      <c r="I182" s="10" t="s">
        <v>241</v>
      </c>
      <c r="J182" s="10" t="s">
        <v>426</v>
      </c>
      <c r="K182" s="10" t="s">
        <v>244</v>
      </c>
      <c r="L182" s="10" t="str">
        <f t="shared" si="20"/>
        <v>Thạnh Phú</v>
      </c>
      <c r="M182" s="10" t="str">
        <f>IFERROR(VLOOKUP(L182,'List+TK'!$I$3:$J$9,2,0),"-")</f>
        <v>83/03</v>
      </c>
      <c r="N182" s="10">
        <v>1</v>
      </c>
      <c r="O182" s="10" t="str">
        <f t="shared" si="21"/>
        <v>Tôm chân trắng thương phẩm</v>
      </c>
      <c r="P182" s="10" t="str">
        <f t="shared" si="32"/>
        <v>83/1122/08</v>
      </c>
      <c r="Q182" s="10" t="str">
        <f t="shared" si="23"/>
        <v>Thạnh Phú 83/03</v>
      </c>
      <c r="R182" s="10" t="str">
        <f t="shared" si="24"/>
        <v>Lê Văn Điệp - Ấp An Điền, Xã An Điền</v>
      </c>
      <c r="S182" s="10">
        <f t="shared" si="25"/>
        <v>1</v>
      </c>
      <c r="T182" s="10" t="str">
        <f>IFERROR(VLOOKUP(J182,'List+TK'!$D$3:$E$1000,2,0),"-")</f>
        <v>Chloramphenicol, Nhóm Sulfonamides</v>
      </c>
      <c r="U182" s="10" t="str">
        <f t="shared" si="33"/>
        <v>30/11/2022</v>
      </c>
      <c r="V182" s="10" t="str">
        <f>IFERROR(VLOOKUP(K182,'List+TK'!$G$3:$H$16,2,0),"-")</f>
        <v>Cao Quang Nguyên</v>
      </c>
      <c r="W182" s="10" t="str">
        <f t="shared" si="27"/>
        <v>Ao 1</v>
      </c>
      <c r="X182" s="4"/>
    </row>
    <row r="183" spans="1:24" ht="49.5" hidden="1" x14ac:dyDescent="0.25">
      <c r="A183" s="5">
        <f>_xlfn.AGGREGATE(3,3,$I$4:I183)</f>
        <v>169</v>
      </c>
      <c r="B183" s="5">
        <v>9</v>
      </c>
      <c r="C183" s="26" t="s">
        <v>445</v>
      </c>
      <c r="D183" s="10" t="s">
        <v>451</v>
      </c>
      <c r="E183" s="10" t="s">
        <v>141</v>
      </c>
      <c r="F183" s="10" t="s">
        <v>11</v>
      </c>
      <c r="G183" s="10">
        <v>11</v>
      </c>
      <c r="H183" s="10">
        <v>30</v>
      </c>
      <c r="I183" s="10" t="s">
        <v>241</v>
      </c>
      <c r="J183" s="10" t="s">
        <v>424</v>
      </c>
      <c r="K183" s="10" t="s">
        <v>244</v>
      </c>
      <c r="L183" s="10" t="str">
        <f t="shared" si="20"/>
        <v>Thạnh Phú</v>
      </c>
      <c r="M183" s="10" t="str">
        <f>IFERROR(VLOOKUP(L183,'List+TK'!$I$3:$J$9,2,0),"-")</f>
        <v>83/03</v>
      </c>
      <c r="N183" s="10">
        <v>2</v>
      </c>
      <c r="O183" s="10" t="str">
        <f t="shared" si="21"/>
        <v>Tôm chân trắng thương phẩm</v>
      </c>
      <c r="P183" s="10" t="str">
        <f t="shared" si="32"/>
        <v>83/1122/09</v>
      </c>
      <c r="Q183" s="10" t="str">
        <f t="shared" si="23"/>
        <v>Thạnh Phú 83/03</v>
      </c>
      <c r="R183" s="10" t="str">
        <f t="shared" si="24"/>
        <v>Lê Văn Điệp - Ấp An Điền, Xã An Điền</v>
      </c>
      <c r="S183" s="10">
        <f t="shared" si="25"/>
        <v>1</v>
      </c>
      <c r="T183" s="10" t="str">
        <f>IFERROR(VLOOKUP(J183,'List+TK'!$D$3:$E$1000,2,0),"-")</f>
        <v>Nhóm Quinolones, Ivermectin, Praziquantel, Trichlorfon, Avermectin B1a</v>
      </c>
      <c r="U183" s="10" t="str">
        <f t="shared" si="33"/>
        <v>30/11/2022</v>
      </c>
      <c r="V183" s="10" t="str">
        <f>IFERROR(VLOOKUP(K183,'List+TK'!$G$3:$H$16,2,0),"-")</f>
        <v>Cao Quang Nguyên</v>
      </c>
      <c r="W183" s="10" t="str">
        <f t="shared" si="27"/>
        <v>Ao 2</v>
      </c>
      <c r="X183" s="4"/>
    </row>
    <row r="184" spans="1:24" ht="49.5" hidden="1" x14ac:dyDescent="0.25">
      <c r="A184" s="5">
        <f>_xlfn.AGGREGATE(3,3,$I$4:I184)</f>
        <v>169</v>
      </c>
      <c r="B184" s="5">
        <v>10</v>
      </c>
      <c r="C184" s="26" t="s">
        <v>211</v>
      </c>
      <c r="D184" s="10" t="s">
        <v>406</v>
      </c>
      <c r="E184" s="10" t="s">
        <v>76</v>
      </c>
      <c r="F184" s="10" t="s">
        <v>6</v>
      </c>
      <c r="G184" s="10">
        <v>11</v>
      </c>
      <c r="H184" s="10">
        <v>29</v>
      </c>
      <c r="I184" s="10" t="s">
        <v>208</v>
      </c>
      <c r="J184" s="10" t="s">
        <v>424</v>
      </c>
      <c r="K184" s="10" t="s">
        <v>243</v>
      </c>
      <c r="L184" s="10" t="str">
        <f t="shared" si="20"/>
        <v>Châu Thành</v>
      </c>
      <c r="M184" s="10" t="str">
        <f>IFERROR(VLOOKUP(L184,'List+TK'!$I$3:$J$9,2,0),"-")</f>
        <v>83/05</v>
      </c>
      <c r="N184" s="10" t="s">
        <v>455</v>
      </c>
      <c r="O184" s="10" t="str">
        <f t="shared" si="21"/>
        <v>Cá tra thương phẩm</v>
      </c>
      <c r="P184" s="10" t="str">
        <f t="shared" si="32"/>
        <v>83/1122/10</v>
      </c>
      <c r="Q184" s="10" t="str">
        <f t="shared" si="23"/>
        <v>Châu Thành 83/05</v>
      </c>
      <c r="R184" s="10" t="str">
        <f t="shared" si="24"/>
        <v>Công ty CP Gò Đàng - Ấp Tiên Thạnh, Xã Tiên Long</v>
      </c>
      <c r="S184" s="10">
        <f t="shared" si="25"/>
        <v>1.5</v>
      </c>
      <c r="T184" s="10" t="str">
        <f>IFERROR(VLOOKUP(J184,'List+TK'!$D$3:$E$1000,2,0),"-")</f>
        <v>Nhóm Quinolones, Ivermectin, Praziquantel, Trichlorfon, Avermectin B1a</v>
      </c>
      <c r="U184" s="10" t="str">
        <f t="shared" si="33"/>
        <v>29/11/2022</v>
      </c>
      <c r="V184" s="10" t="str">
        <f>IFERROR(VLOOKUP(K184,'List+TK'!$G$3:$H$16,2,0),"-")</f>
        <v>Phạm Châu An</v>
      </c>
      <c r="W184" s="10" t="str">
        <f t="shared" si="27"/>
        <v>Ao C2</v>
      </c>
      <c r="X184" s="4"/>
    </row>
    <row r="185" spans="1:24" ht="49.5" hidden="1" x14ac:dyDescent="0.25">
      <c r="A185" s="5">
        <f>_xlfn.AGGREGATE(3,3,$I$4:I185)</f>
        <v>169</v>
      </c>
      <c r="B185" s="5">
        <v>11</v>
      </c>
      <c r="C185" s="26" t="s">
        <v>211</v>
      </c>
      <c r="D185" s="10" t="s">
        <v>406</v>
      </c>
      <c r="E185" s="10" t="s">
        <v>76</v>
      </c>
      <c r="F185" s="10" t="s">
        <v>6</v>
      </c>
      <c r="G185" s="10">
        <v>11</v>
      </c>
      <c r="H185" s="10">
        <v>29</v>
      </c>
      <c r="I185" s="10" t="s">
        <v>208</v>
      </c>
      <c r="J185" s="10" t="s">
        <v>434</v>
      </c>
      <c r="K185" s="10" t="s">
        <v>243</v>
      </c>
      <c r="L185" s="10" t="str">
        <f t="shared" si="20"/>
        <v>Châu Thành</v>
      </c>
      <c r="M185" s="10" t="str">
        <f>IFERROR(VLOOKUP(L185,'List+TK'!$I$3:$J$9,2,0),"-")</f>
        <v>83/05</v>
      </c>
      <c r="N185" s="10" t="s">
        <v>456</v>
      </c>
      <c r="O185" s="10" t="str">
        <f t="shared" si="21"/>
        <v>Cá tra thương phẩm</v>
      </c>
      <c r="P185" s="10" t="str">
        <f t="shared" si="32"/>
        <v>83/1122/11</v>
      </c>
      <c r="Q185" s="10" t="str">
        <f t="shared" si="23"/>
        <v>Châu Thành 83/05</v>
      </c>
      <c r="R185" s="10" t="str">
        <f t="shared" si="24"/>
        <v>Công ty CP Gò Đàng - Ấp Tiên Thạnh, Xã Tiên Long</v>
      </c>
      <c r="S185" s="10">
        <f t="shared" si="25"/>
        <v>1.5</v>
      </c>
      <c r="T185" s="10" t="str">
        <f>IFERROR(VLOOKUP(J185,'List+TK'!$D$3:$E$1000,2,0),"-")</f>
        <v>Pb, Hg, Cd, Chlorpyrifos, Fipronil</v>
      </c>
      <c r="U185" s="10" t="str">
        <f t="shared" si="33"/>
        <v>29/11/2022</v>
      </c>
      <c r="V185" s="10" t="str">
        <f>IFERROR(VLOOKUP(K185,'List+TK'!$G$3:$H$16,2,0),"-")</f>
        <v>Phạm Châu An</v>
      </c>
      <c r="W185" s="10" t="str">
        <f t="shared" si="27"/>
        <v>Ao C4</v>
      </c>
      <c r="X185" s="4"/>
    </row>
    <row r="186" spans="1:24" ht="66" hidden="1" x14ac:dyDescent="0.25">
      <c r="A186" s="5">
        <f>_xlfn.AGGREGATE(3,3,$I$4:I186)</f>
        <v>169</v>
      </c>
      <c r="B186" s="5">
        <v>12</v>
      </c>
      <c r="C186" s="26" t="s">
        <v>211</v>
      </c>
      <c r="D186" s="10" t="s">
        <v>373</v>
      </c>
      <c r="E186" s="10" t="s">
        <v>108</v>
      </c>
      <c r="F186" s="10" t="s">
        <v>8</v>
      </c>
      <c r="G186" s="10">
        <v>11</v>
      </c>
      <c r="H186" s="10">
        <v>30</v>
      </c>
      <c r="I186" s="10" t="s">
        <v>208</v>
      </c>
      <c r="J186" s="10" t="s">
        <v>428</v>
      </c>
      <c r="K186" s="10" t="s">
        <v>245</v>
      </c>
      <c r="L186" s="10" t="str">
        <f t="shared" ref="L186:L249" si="34">IFERROR(IF(F186="Huyện Mỏ Cày Nam","Mỏ Cày",RIGHT(F186,LEN(F186)-6)),"-")</f>
        <v>Giồng Trôm</v>
      </c>
      <c r="M186" s="10" t="str">
        <f>IFERROR(VLOOKUP(L186,'List+TK'!$I$3:$J$9,2,0),"-")</f>
        <v>83/06</v>
      </c>
      <c r="N186" s="10" t="s">
        <v>460</v>
      </c>
      <c r="O186" s="10" t="str">
        <f t="shared" ref="O186:O249" si="35">I186</f>
        <v>Cá tra thương phẩm</v>
      </c>
      <c r="P186" s="10" t="str">
        <f t="shared" si="32"/>
        <v>83/1122/12</v>
      </c>
      <c r="Q186" s="10" t="str">
        <f t="shared" ref="Q186:Q249" si="36">L186&amp;" "&amp;M186</f>
        <v>Giồng Trôm 83/06</v>
      </c>
      <c r="R186" s="10" t="str">
        <f t="shared" ref="R186:R249" si="37">C186&amp;" - "&amp;D186&amp;", "&amp;E186</f>
        <v>Công ty CP Gò Đàng - Ấp 5, Xã Thạnh Phú Đông</v>
      </c>
      <c r="S186" s="10">
        <f t="shared" ref="S186:S249" si="38">IF(OR(I186="Tôm chân trắng nhỏ",I186="Tôm sú nhỏ"),0.5,IF(OR(I186="Cá tra nhỏ",I186="Tôm sú thương phẩm",I186="Tôm chân trắng thương phẩm",I186="Tôm sú quảng canh",I186="Nước ương tôm giống"),1,IF(I186="Cá tra thương phẩm",1.5,0)))</f>
        <v>1.5</v>
      </c>
      <c r="T186" s="10" t="str">
        <f>IFERROR(VLOOKUP(J186,'List+TK'!$D$3:$E$1000,2,0),"-")</f>
        <v>Chloramphenicol, Nhóm Quinolones</v>
      </c>
      <c r="U186" s="10" t="str">
        <f t="shared" si="33"/>
        <v>30/11/2022</v>
      </c>
      <c r="V186" s="10" t="str">
        <f>IFERROR(VLOOKUP(K186,'List+TK'!$G$3:$H$16,2,0),"-")</f>
        <v>Phạm Minh Thuận</v>
      </c>
      <c r="W186" s="10" t="str">
        <f t="shared" ref="W186:W249" si="39">IF(N186="","",IF(I186="Nước ương tôm giống","Bể "&amp;N186,"Ao "&amp;N186))</f>
        <v>Ao G1</v>
      </c>
      <c r="X186" s="4"/>
    </row>
    <row r="187" spans="1:24" ht="66" hidden="1" x14ac:dyDescent="0.25">
      <c r="A187" s="5">
        <f>_xlfn.AGGREGATE(3,3,$I$4:I187)</f>
        <v>169</v>
      </c>
      <c r="B187" s="5">
        <v>13</v>
      </c>
      <c r="C187" s="26" t="s">
        <v>211</v>
      </c>
      <c r="D187" s="10" t="s">
        <v>373</v>
      </c>
      <c r="E187" s="10" t="s">
        <v>108</v>
      </c>
      <c r="F187" s="10" t="s">
        <v>8</v>
      </c>
      <c r="G187" s="10">
        <v>11</v>
      </c>
      <c r="H187" s="10">
        <v>30</v>
      </c>
      <c r="I187" s="10" t="s">
        <v>208</v>
      </c>
      <c r="J187" s="10" t="s">
        <v>436</v>
      </c>
      <c r="K187" s="10" t="s">
        <v>245</v>
      </c>
      <c r="L187" s="10" t="str">
        <f t="shared" si="34"/>
        <v>Giồng Trôm</v>
      </c>
      <c r="M187" s="10" t="str">
        <f>IFERROR(VLOOKUP(L187,'List+TK'!$I$3:$J$9,2,0),"-")</f>
        <v>83/06</v>
      </c>
      <c r="N187" s="10">
        <v>3</v>
      </c>
      <c r="O187" s="10" t="str">
        <f t="shared" si="35"/>
        <v>Cá tra thương phẩm</v>
      </c>
      <c r="P187" s="10" t="str">
        <f t="shared" si="32"/>
        <v>83/1122/13</v>
      </c>
      <c r="Q187" s="10" t="str">
        <f t="shared" si="36"/>
        <v>Giồng Trôm 83/06</v>
      </c>
      <c r="R187" s="10" t="str">
        <f t="shared" si="37"/>
        <v>Công ty CP Gò Đàng - Ấp 5, Xã Thạnh Phú Đông</v>
      </c>
      <c r="S187" s="10">
        <f t="shared" si="38"/>
        <v>1.5</v>
      </c>
      <c r="T187" s="10" t="str">
        <f>IFERROR(VLOOKUP(J187,'List+TK'!$D$3:$E$1000,2,0),"-")</f>
        <v>Ivermectin, Praziquantel, Trichlorfon, Avermectin B1a, Chlorpyrifos, Fipronil</v>
      </c>
      <c r="U187" s="10" t="str">
        <f t="shared" si="33"/>
        <v>30/11/2022</v>
      </c>
      <c r="V187" s="10" t="str">
        <f>IFERROR(VLOOKUP(K187,'List+TK'!$G$3:$H$16,2,0),"-")</f>
        <v>Phạm Minh Thuận</v>
      </c>
      <c r="W187" s="10" t="str">
        <f t="shared" si="39"/>
        <v>Ao 3</v>
      </c>
      <c r="X187" s="4"/>
    </row>
    <row r="188" spans="1:24" ht="66" hidden="1" x14ac:dyDescent="0.25">
      <c r="A188" s="5">
        <f>_xlfn.AGGREGATE(3,3,$I$4:I188)</f>
        <v>169</v>
      </c>
      <c r="B188" s="5">
        <v>14</v>
      </c>
      <c r="C188" s="26" t="s">
        <v>211</v>
      </c>
      <c r="D188" s="10" t="s">
        <v>373</v>
      </c>
      <c r="E188" s="10" t="s">
        <v>108</v>
      </c>
      <c r="F188" s="10" t="s">
        <v>8</v>
      </c>
      <c r="G188" s="10">
        <v>11</v>
      </c>
      <c r="H188" s="10">
        <v>30</v>
      </c>
      <c r="I188" s="10" t="s">
        <v>208</v>
      </c>
      <c r="J188" s="10" t="s">
        <v>438</v>
      </c>
      <c r="K188" s="10" t="s">
        <v>245</v>
      </c>
      <c r="L188" s="10" t="str">
        <f t="shared" si="34"/>
        <v>Giồng Trôm</v>
      </c>
      <c r="M188" s="10" t="str">
        <f>IFERROR(VLOOKUP(L188,'List+TK'!$I$3:$J$9,2,0),"-")</f>
        <v>83/06</v>
      </c>
      <c r="N188" s="10">
        <v>9</v>
      </c>
      <c r="O188" s="10" t="str">
        <f t="shared" si="35"/>
        <v>Cá tra thương phẩm</v>
      </c>
      <c r="P188" s="10" t="str">
        <f t="shared" si="32"/>
        <v>83/1122/14</v>
      </c>
      <c r="Q188" s="10" t="str">
        <f t="shared" si="36"/>
        <v>Giồng Trôm 83/06</v>
      </c>
      <c r="R188" s="10" t="str">
        <f t="shared" si="37"/>
        <v>Công ty CP Gò Đàng - Ấp 5, Xã Thạnh Phú Đông</v>
      </c>
      <c r="S188" s="10">
        <f t="shared" si="38"/>
        <v>1.5</v>
      </c>
      <c r="T188" s="10" t="str">
        <f>IFERROR(VLOOKUP(J188,'List+TK'!$D$3:$E$1000,2,0),"-")</f>
        <v>Pb, Hg, Cd, Malachite Green, Leuco Malachite Green, Crystal Violet, Leuco Crystal Violet</v>
      </c>
      <c r="U188" s="10" t="str">
        <f t="shared" si="33"/>
        <v>30/11/2022</v>
      </c>
      <c r="V188" s="10" t="str">
        <f>IFERROR(VLOOKUP(K188,'List+TK'!$G$3:$H$16,2,0),"-")</f>
        <v>Phạm Minh Thuận</v>
      </c>
      <c r="W188" s="10" t="str">
        <f t="shared" si="39"/>
        <v>Ao 9</v>
      </c>
      <c r="X188" s="4"/>
    </row>
    <row r="189" spans="1:24" ht="66" hidden="1" x14ac:dyDescent="0.25">
      <c r="A189" s="5">
        <f>_xlfn.AGGREGATE(3,3,$I$4:I189)</f>
        <v>169</v>
      </c>
      <c r="B189" s="5">
        <v>15</v>
      </c>
      <c r="C189" s="26" t="s">
        <v>232</v>
      </c>
      <c r="D189" s="10" t="s">
        <v>457</v>
      </c>
      <c r="E189" s="10" t="s">
        <v>86</v>
      </c>
      <c r="F189" s="10" t="s">
        <v>7</v>
      </c>
      <c r="G189" s="10">
        <v>11</v>
      </c>
      <c r="H189" s="10">
        <v>30</v>
      </c>
      <c r="I189" s="10" t="s">
        <v>208</v>
      </c>
      <c r="J189" s="10" t="s">
        <v>426</v>
      </c>
      <c r="K189" s="10" t="s">
        <v>243</v>
      </c>
      <c r="L189" s="10" t="str">
        <f t="shared" si="34"/>
        <v>Chợ Lách</v>
      </c>
      <c r="M189" s="10" t="str">
        <f>IFERROR(VLOOKUP(L189,'List+TK'!$I$3:$J$9,2,0),"-")</f>
        <v>83/07</v>
      </c>
      <c r="N189" s="10">
        <v>11</v>
      </c>
      <c r="O189" s="10" t="str">
        <f t="shared" si="35"/>
        <v>Cá tra thương phẩm</v>
      </c>
      <c r="P189" s="10" t="str">
        <f t="shared" si="32"/>
        <v>83/1122/15</v>
      </c>
      <c r="Q189" s="10" t="str">
        <f t="shared" si="36"/>
        <v>Chợ Lách 83/07</v>
      </c>
      <c r="R189" s="10" t="str">
        <f t="shared" si="37"/>
        <v>Công ty TNHH CBTPXK Vạn Đức Tiền Giang - Cồn Bùn, Xã Tân Thiềng</v>
      </c>
      <c r="S189" s="10">
        <f t="shared" si="38"/>
        <v>1.5</v>
      </c>
      <c r="T189" s="10" t="str">
        <f>IFERROR(VLOOKUP(J189,'List+TK'!$D$3:$E$1000,2,0),"-")</f>
        <v>Chloramphenicol, Nhóm Sulfonamides</v>
      </c>
      <c r="U189" s="10" t="str">
        <f t="shared" si="33"/>
        <v>30/11/2022</v>
      </c>
      <c r="V189" s="10" t="str">
        <f>IFERROR(VLOOKUP(K189,'List+TK'!$G$3:$H$16,2,0),"-")</f>
        <v>Phạm Châu An</v>
      </c>
      <c r="W189" s="10" t="str">
        <f t="shared" si="39"/>
        <v>Ao 11</v>
      </c>
      <c r="X189" s="4"/>
    </row>
    <row r="190" spans="1:24" ht="66" hidden="1" x14ac:dyDescent="0.25">
      <c r="A190" s="5">
        <f>_xlfn.AGGREGATE(3,3,$I$4:I190)</f>
        <v>169</v>
      </c>
      <c r="B190" s="5">
        <v>16</v>
      </c>
      <c r="C190" s="26" t="s">
        <v>232</v>
      </c>
      <c r="D190" s="10" t="s">
        <v>457</v>
      </c>
      <c r="E190" s="10" t="s">
        <v>86</v>
      </c>
      <c r="F190" s="10" t="s">
        <v>7</v>
      </c>
      <c r="G190" s="10">
        <v>11</v>
      </c>
      <c r="H190" s="10">
        <v>30</v>
      </c>
      <c r="I190" s="10" t="s">
        <v>208</v>
      </c>
      <c r="J190" s="10" t="s">
        <v>424</v>
      </c>
      <c r="K190" s="10" t="s">
        <v>243</v>
      </c>
      <c r="L190" s="10" t="str">
        <f t="shared" si="34"/>
        <v>Chợ Lách</v>
      </c>
      <c r="M190" s="10" t="str">
        <f>IFERROR(VLOOKUP(L190,'List+TK'!$I$3:$J$9,2,0),"-")</f>
        <v>83/07</v>
      </c>
      <c r="N190" s="10">
        <v>4</v>
      </c>
      <c r="O190" s="10" t="str">
        <f t="shared" si="35"/>
        <v>Cá tra thương phẩm</v>
      </c>
      <c r="P190" s="10" t="str">
        <f t="shared" si="32"/>
        <v>83/1122/16</v>
      </c>
      <c r="Q190" s="10" t="str">
        <f t="shared" si="36"/>
        <v>Chợ Lách 83/07</v>
      </c>
      <c r="R190" s="10" t="str">
        <f t="shared" si="37"/>
        <v>Công ty TNHH CBTPXK Vạn Đức Tiền Giang - Cồn Bùn, Xã Tân Thiềng</v>
      </c>
      <c r="S190" s="10">
        <f t="shared" si="38"/>
        <v>1.5</v>
      </c>
      <c r="T190" s="10" t="str">
        <f>IFERROR(VLOOKUP(J190,'List+TK'!$D$3:$E$1000,2,0),"-")</f>
        <v>Nhóm Quinolones, Ivermectin, Praziquantel, Trichlorfon, Avermectin B1a</v>
      </c>
      <c r="U190" s="10" t="str">
        <f t="shared" si="33"/>
        <v>30/11/2022</v>
      </c>
      <c r="V190" s="10" t="str">
        <f>IFERROR(VLOOKUP(K190,'List+TK'!$G$3:$H$16,2,0),"-")</f>
        <v>Phạm Châu An</v>
      </c>
      <c r="W190" s="10" t="str">
        <f t="shared" si="39"/>
        <v>Ao 4</v>
      </c>
      <c r="X190" s="4"/>
    </row>
    <row r="191" spans="1:24" ht="66" hidden="1" x14ac:dyDescent="0.25">
      <c r="A191" s="5">
        <f>_xlfn.AGGREGATE(3,3,$I$4:I191)</f>
        <v>169</v>
      </c>
      <c r="B191" s="5">
        <v>17</v>
      </c>
      <c r="C191" s="26" t="s">
        <v>232</v>
      </c>
      <c r="D191" s="10" t="s">
        <v>458</v>
      </c>
      <c r="E191" s="10" t="s">
        <v>86</v>
      </c>
      <c r="F191" s="10" t="s">
        <v>7</v>
      </c>
      <c r="G191" s="10">
        <v>11</v>
      </c>
      <c r="H191" s="10">
        <v>30</v>
      </c>
      <c r="I191" s="10" t="s">
        <v>208</v>
      </c>
      <c r="J191" s="10" t="s">
        <v>288</v>
      </c>
      <c r="K191" s="10" t="s">
        <v>243</v>
      </c>
      <c r="L191" s="10" t="str">
        <f t="shared" si="34"/>
        <v>Chợ Lách</v>
      </c>
      <c r="M191" s="10" t="str">
        <f>IFERROR(VLOOKUP(L191,'List+TK'!$I$3:$J$9,2,0),"-")</f>
        <v>83/07</v>
      </c>
      <c r="N191" s="10">
        <v>6</v>
      </c>
      <c r="O191" s="10" t="str">
        <f t="shared" si="35"/>
        <v>Cá tra thương phẩm</v>
      </c>
      <c r="P191" s="10" t="str">
        <f t="shared" si="32"/>
        <v>83/1122/17</v>
      </c>
      <c r="Q191" s="10" t="str">
        <f t="shared" si="36"/>
        <v>Chợ Lách 83/07</v>
      </c>
      <c r="R191" s="10" t="str">
        <f t="shared" si="37"/>
        <v>Công ty TNHH CBTPXK Vạn Đức Tiền Giang - Cồn Kiếng, Xã Tân Thiềng</v>
      </c>
      <c r="S191" s="10">
        <f t="shared" si="38"/>
        <v>1.5</v>
      </c>
      <c r="T191" s="10" t="str">
        <f>IFERROR(VLOOKUP(J191,'List+TK'!$D$3:$E$1000,2,0),"-")</f>
        <v>Levamisol</v>
      </c>
      <c r="U191" s="10" t="str">
        <f t="shared" si="33"/>
        <v>30/11/2022</v>
      </c>
      <c r="V191" s="10" t="str">
        <f>IFERROR(VLOOKUP(K191,'List+TK'!$G$3:$H$16,2,0),"-")</f>
        <v>Phạm Châu An</v>
      </c>
      <c r="W191" s="10" t="str">
        <f t="shared" si="39"/>
        <v>Ao 6</v>
      </c>
      <c r="X191" s="4"/>
    </row>
    <row r="192" spans="1:24" ht="66" hidden="1" x14ac:dyDescent="0.25">
      <c r="A192" s="5">
        <f>_xlfn.AGGREGATE(3,3,$I$4:I192)</f>
        <v>169</v>
      </c>
      <c r="B192" s="5">
        <v>18</v>
      </c>
      <c r="C192" s="26" t="s">
        <v>232</v>
      </c>
      <c r="D192" s="10" t="s">
        <v>458</v>
      </c>
      <c r="E192" s="10" t="s">
        <v>86</v>
      </c>
      <c r="F192" s="10" t="s">
        <v>7</v>
      </c>
      <c r="G192" s="10">
        <v>11</v>
      </c>
      <c r="H192" s="10">
        <v>30</v>
      </c>
      <c r="I192" s="10" t="s">
        <v>208</v>
      </c>
      <c r="J192" s="10" t="s">
        <v>289</v>
      </c>
      <c r="K192" s="10" t="s">
        <v>243</v>
      </c>
      <c r="L192" s="10" t="str">
        <f t="shared" si="34"/>
        <v>Chợ Lách</v>
      </c>
      <c r="M192" s="10" t="str">
        <f>IFERROR(VLOOKUP(L192,'List+TK'!$I$3:$J$9,2,0),"-")</f>
        <v>83/07</v>
      </c>
      <c r="N192" s="10">
        <v>16</v>
      </c>
      <c r="O192" s="10" t="str">
        <f t="shared" si="35"/>
        <v>Cá tra thương phẩm</v>
      </c>
      <c r="P192" s="10" t="str">
        <f t="shared" si="32"/>
        <v>83/1122/18</v>
      </c>
      <c r="Q192" s="10" t="str">
        <f t="shared" si="36"/>
        <v>Chợ Lách 83/07</v>
      </c>
      <c r="R192" s="10" t="str">
        <f t="shared" si="37"/>
        <v>Công ty TNHH CBTPXK Vạn Đức Tiền Giang - Cồn Kiếng, Xã Tân Thiềng</v>
      </c>
      <c r="S192" s="10">
        <f t="shared" si="38"/>
        <v>1.5</v>
      </c>
      <c r="T192" s="10" t="str">
        <f>IFERROR(VLOOKUP(J192,'List+TK'!$D$3:$E$1000,2,0),"-")</f>
        <v>Fenbendazole</v>
      </c>
      <c r="U192" s="10" t="str">
        <f t="shared" si="33"/>
        <v>30/11/2022</v>
      </c>
      <c r="V192" s="10" t="str">
        <f>IFERROR(VLOOKUP(K192,'List+TK'!$G$3:$H$16,2,0),"-")</f>
        <v>Phạm Châu An</v>
      </c>
      <c r="W192" s="10" t="str">
        <f t="shared" si="39"/>
        <v>Ao 16</v>
      </c>
      <c r="X192" s="4"/>
    </row>
    <row r="193" spans="1:24" ht="66" hidden="1" x14ac:dyDescent="0.25">
      <c r="A193" s="5">
        <f>_xlfn.AGGREGATE(3,3,$I$4:I193)</f>
        <v>169</v>
      </c>
      <c r="B193" s="5">
        <v>19</v>
      </c>
      <c r="C193" s="26" t="s">
        <v>232</v>
      </c>
      <c r="D193" s="10" t="s">
        <v>457</v>
      </c>
      <c r="E193" s="10" t="s">
        <v>86</v>
      </c>
      <c r="F193" s="10" t="s">
        <v>7</v>
      </c>
      <c r="G193" s="10">
        <v>11</v>
      </c>
      <c r="H193" s="10">
        <v>30</v>
      </c>
      <c r="I193" s="10" t="s">
        <v>208</v>
      </c>
      <c r="J193" s="10" t="s">
        <v>293</v>
      </c>
      <c r="K193" s="10" t="s">
        <v>243</v>
      </c>
      <c r="L193" s="10" t="str">
        <f t="shared" si="34"/>
        <v>Chợ Lách</v>
      </c>
      <c r="M193" s="10" t="str">
        <f>IFERROR(VLOOKUP(L193,'List+TK'!$I$3:$J$9,2,0),"-")</f>
        <v>83/07</v>
      </c>
      <c r="N193" s="10">
        <v>3</v>
      </c>
      <c r="O193" s="10" t="str">
        <f t="shared" si="35"/>
        <v>Cá tra thương phẩm</v>
      </c>
      <c r="P193" s="10" t="str">
        <f t="shared" si="32"/>
        <v>83/1122/19</v>
      </c>
      <c r="Q193" s="10" t="str">
        <f t="shared" si="36"/>
        <v>Chợ Lách 83/07</v>
      </c>
      <c r="R193" s="10" t="str">
        <f t="shared" si="37"/>
        <v>Công ty TNHH CBTPXK Vạn Đức Tiền Giang - Cồn Bùn, Xã Tân Thiềng</v>
      </c>
      <c r="S193" s="10">
        <f t="shared" si="38"/>
        <v>1.5</v>
      </c>
      <c r="T193" s="10" t="str">
        <f>IFERROR(VLOOKUP(J193,'List+TK'!$D$3:$E$1000,2,0),"-")</f>
        <v>-</v>
      </c>
      <c r="U193" s="10" t="str">
        <f t="shared" si="33"/>
        <v>30/11/2022</v>
      </c>
      <c r="V193" s="10" t="str">
        <f>IFERROR(VLOOKUP(K193,'List+TK'!$G$3:$H$16,2,0),"-")</f>
        <v>Phạm Châu An</v>
      </c>
      <c r="W193" s="10" t="str">
        <f t="shared" si="39"/>
        <v>Ao 3</v>
      </c>
      <c r="X193" s="4"/>
    </row>
    <row r="194" spans="1:24" ht="66" hidden="1" x14ac:dyDescent="0.25">
      <c r="A194" s="5">
        <f>_xlfn.AGGREGATE(3,3,$I$4:I194)</f>
        <v>169</v>
      </c>
      <c r="B194" s="5">
        <v>20</v>
      </c>
      <c r="C194" s="26" t="s">
        <v>211</v>
      </c>
      <c r="D194" s="10" t="s">
        <v>262</v>
      </c>
      <c r="E194" s="10" t="s">
        <v>43</v>
      </c>
      <c r="F194" s="10" t="s">
        <v>5</v>
      </c>
      <c r="G194" s="10">
        <v>8</v>
      </c>
      <c r="H194" s="10">
        <v>29</v>
      </c>
      <c r="I194" s="10" t="s">
        <v>208</v>
      </c>
      <c r="J194" s="45" t="s">
        <v>278</v>
      </c>
      <c r="K194" s="10" t="s">
        <v>244</v>
      </c>
      <c r="L194" s="10" t="str">
        <f t="shared" si="34"/>
        <v>Bình Đại</v>
      </c>
      <c r="M194" s="10" t="str">
        <f>IFERROR(VLOOKUP(L194,'List+TK'!$I$3:$J$9,2,0),"-")</f>
        <v>83/02</v>
      </c>
      <c r="N194" s="10">
        <v>1</v>
      </c>
      <c r="O194" s="10" t="str">
        <f t="shared" si="35"/>
        <v>Cá tra thương phẩm</v>
      </c>
      <c r="P194" s="10" t="s">
        <v>452</v>
      </c>
      <c r="Q194" s="10" t="str">
        <f t="shared" si="36"/>
        <v>Bình Đại 83/02</v>
      </c>
      <c r="R194" s="10" t="str">
        <f t="shared" si="37"/>
        <v>Công ty CP Gò Đàng - Khu A Lộc Thuận, ấp Lộc Sơn, Xã Lộc Thuận</v>
      </c>
      <c r="S194" s="10">
        <f t="shared" si="38"/>
        <v>1.5</v>
      </c>
      <c r="T194" s="10" t="str">
        <f>IFERROR(VLOOKUP(J194,'List+TK'!$D$3:$E$1000,2,0),"-")</f>
        <v>Nhóm Quinolones</v>
      </c>
      <c r="U194" s="48">
        <v>44894</v>
      </c>
      <c r="V194" s="10" t="str">
        <f>IFERROR(VLOOKUP(K194,'List+TK'!$G$3:$H$16,2,0),"-")</f>
        <v>Cao Quang Nguyên</v>
      </c>
      <c r="W194" s="10" t="str">
        <f t="shared" si="39"/>
        <v>Ao 1</v>
      </c>
      <c r="X194" s="4"/>
    </row>
    <row r="195" spans="1:24" ht="66" hidden="1" x14ac:dyDescent="0.25">
      <c r="A195" s="5">
        <f>_xlfn.AGGREGATE(3,3,$I$4:I195)</f>
        <v>169</v>
      </c>
      <c r="B195" s="5">
        <v>21</v>
      </c>
      <c r="C195" s="26" t="s">
        <v>211</v>
      </c>
      <c r="D195" s="10" t="s">
        <v>262</v>
      </c>
      <c r="E195" s="10" t="s">
        <v>43</v>
      </c>
      <c r="F195" s="10" t="s">
        <v>5</v>
      </c>
      <c r="G195" s="10">
        <v>8</v>
      </c>
      <c r="H195" s="10">
        <v>29</v>
      </c>
      <c r="I195" s="10" t="s">
        <v>208</v>
      </c>
      <c r="J195" s="45" t="s">
        <v>285</v>
      </c>
      <c r="K195" s="10" t="s">
        <v>244</v>
      </c>
      <c r="L195" s="10" t="str">
        <f t="shared" si="34"/>
        <v>Bình Đại</v>
      </c>
      <c r="M195" s="10" t="str">
        <f>IFERROR(VLOOKUP(L195,'List+TK'!$I$3:$J$9,2,0),"-")</f>
        <v>83/02</v>
      </c>
      <c r="N195" s="10">
        <v>4</v>
      </c>
      <c r="O195" s="10" t="str">
        <f t="shared" si="35"/>
        <v>Cá tra thương phẩm</v>
      </c>
      <c r="P195" s="10" t="s">
        <v>453</v>
      </c>
      <c r="Q195" s="10" t="str">
        <f t="shared" si="36"/>
        <v>Bình Đại 83/02</v>
      </c>
      <c r="R195" s="10" t="str">
        <f t="shared" si="37"/>
        <v>Công ty CP Gò Đàng - Khu A Lộc Thuận, ấp Lộc Sơn, Xã Lộc Thuận</v>
      </c>
      <c r="S195" s="10">
        <f t="shared" si="38"/>
        <v>1.5</v>
      </c>
      <c r="T195" s="10" t="str">
        <f>IFERROR(VLOOKUP(J195,'List+TK'!$D$3:$E$1000,2,0),"-")</f>
        <v>Amoxicillin</v>
      </c>
      <c r="U195" s="48">
        <v>44894</v>
      </c>
      <c r="V195" s="10" t="str">
        <f>IFERROR(VLOOKUP(K195,'List+TK'!$G$3:$H$16,2,0),"-")</f>
        <v>Cao Quang Nguyên</v>
      </c>
      <c r="W195" s="10" t="str">
        <f t="shared" si="39"/>
        <v>Ao 4</v>
      </c>
      <c r="X195" s="4"/>
    </row>
    <row r="196" spans="1:24" ht="66" hidden="1" x14ac:dyDescent="0.25">
      <c r="A196" s="5">
        <f>_xlfn.AGGREGATE(3,3,$I$4:I196)</f>
        <v>169</v>
      </c>
      <c r="B196" s="5">
        <v>22</v>
      </c>
      <c r="C196" s="26" t="s">
        <v>211</v>
      </c>
      <c r="D196" s="10" t="s">
        <v>262</v>
      </c>
      <c r="E196" s="10" t="s">
        <v>43</v>
      </c>
      <c r="F196" s="10" t="s">
        <v>5</v>
      </c>
      <c r="G196" s="10">
        <v>8</v>
      </c>
      <c r="H196" s="10">
        <v>29</v>
      </c>
      <c r="I196" s="10" t="s">
        <v>208</v>
      </c>
      <c r="J196" s="45" t="s">
        <v>288</v>
      </c>
      <c r="K196" s="10" t="s">
        <v>244</v>
      </c>
      <c r="L196" s="10" t="str">
        <f t="shared" si="34"/>
        <v>Bình Đại</v>
      </c>
      <c r="M196" s="10" t="str">
        <f>IFERROR(VLOOKUP(L196,'List+TK'!$I$3:$J$9,2,0),"-")</f>
        <v>83/02</v>
      </c>
      <c r="N196" s="10">
        <v>5</v>
      </c>
      <c r="O196" s="10" t="str">
        <f t="shared" si="35"/>
        <v>Cá tra thương phẩm</v>
      </c>
      <c r="P196" s="10" t="s">
        <v>454</v>
      </c>
      <c r="Q196" s="10" t="str">
        <f t="shared" si="36"/>
        <v>Bình Đại 83/02</v>
      </c>
      <c r="R196" s="10" t="str">
        <f t="shared" si="37"/>
        <v>Công ty CP Gò Đàng - Khu A Lộc Thuận, ấp Lộc Sơn, Xã Lộc Thuận</v>
      </c>
      <c r="S196" s="10">
        <f t="shared" si="38"/>
        <v>1.5</v>
      </c>
      <c r="T196" s="10" t="str">
        <f>IFERROR(VLOOKUP(J196,'List+TK'!$D$3:$E$1000,2,0),"-")</f>
        <v>Levamisol</v>
      </c>
      <c r="U196" s="48">
        <v>44894</v>
      </c>
      <c r="V196" s="10" t="str">
        <f>IFERROR(VLOOKUP(K196,'List+TK'!$G$3:$H$16,2,0),"-")</f>
        <v>Cao Quang Nguyên</v>
      </c>
      <c r="W196" s="10" t="str">
        <f t="shared" si="39"/>
        <v>Ao 5</v>
      </c>
      <c r="X196" s="4"/>
    </row>
    <row r="197" spans="1:24" ht="33" hidden="1" x14ac:dyDescent="0.25">
      <c r="A197" s="5">
        <f>_xlfn.AGGREGATE(3,3,$I$4:I197)</f>
        <v>169</v>
      </c>
      <c r="B197" s="5">
        <v>1</v>
      </c>
      <c r="C197" s="26" t="s">
        <v>471</v>
      </c>
      <c r="D197" s="10" t="s">
        <v>254</v>
      </c>
      <c r="E197" s="10" t="s">
        <v>21</v>
      </c>
      <c r="F197" s="10" t="s">
        <v>4</v>
      </c>
      <c r="G197" s="10">
        <v>12</v>
      </c>
      <c r="H197" s="10">
        <v>13</v>
      </c>
      <c r="I197" s="10" t="s">
        <v>241</v>
      </c>
      <c r="J197" s="10" t="s">
        <v>428</v>
      </c>
      <c r="K197" s="10" t="s">
        <v>245</v>
      </c>
      <c r="L197" s="10" t="str">
        <f t="shared" si="34"/>
        <v>Ba Tri</v>
      </c>
      <c r="M197" s="10" t="str">
        <f>IFERROR(VLOOKUP(L197,'List+TK'!$I$3:$J$9,2,0),"-")</f>
        <v>83/01</v>
      </c>
      <c r="N197" s="10">
        <v>1</v>
      </c>
      <c r="O197" s="10" t="str">
        <f t="shared" si="35"/>
        <v>Tôm chân trắng thương phẩm</v>
      </c>
      <c r="P197" s="10" t="str">
        <f t="shared" ref="P197:P212" si="40">"83/"&amp;IF(LEN(G197)=1,"0"&amp;G197,G197)&amp;"22/"&amp;IF(LEN(B197)=1,"0"&amp;B197,B197)</f>
        <v>83/1222/01</v>
      </c>
      <c r="Q197" s="10" t="str">
        <f t="shared" si="36"/>
        <v>Ba Tri 83/01</v>
      </c>
      <c r="R197" s="10" t="str">
        <f t="shared" si="37"/>
        <v>Phạm Văn Ba - Ấp 7, Xã An Thủy</v>
      </c>
      <c r="S197" s="10">
        <f t="shared" si="38"/>
        <v>1</v>
      </c>
      <c r="T197" s="10" t="str">
        <f>IFERROR(VLOOKUP(J197,'List+TK'!$D$3:$E$1000,2,0),"-")</f>
        <v>Chloramphenicol, Nhóm Quinolones</v>
      </c>
      <c r="U197" s="10" t="str">
        <f t="shared" ref="U197:U212" si="41">H197&amp;"/"&amp;IF(LEN(G197)=1,"0"&amp;G197,G197)&amp;"/2022"</f>
        <v>13/12/2022</v>
      </c>
      <c r="V197" s="10" t="str">
        <f>IFERROR(VLOOKUP(K197,'List+TK'!$G$3:$H$16,2,0),"-")</f>
        <v>Phạm Minh Thuận</v>
      </c>
      <c r="W197" s="10" t="str">
        <f t="shared" si="39"/>
        <v>Ao 1</v>
      </c>
      <c r="X197" s="4"/>
    </row>
    <row r="198" spans="1:24" ht="33" hidden="1" x14ac:dyDescent="0.25">
      <c r="A198" s="5">
        <f>_xlfn.AGGREGATE(3,3,$I$4:I198)</f>
        <v>169</v>
      </c>
      <c r="B198" s="5">
        <v>2</v>
      </c>
      <c r="C198" s="26" t="s">
        <v>471</v>
      </c>
      <c r="D198" s="10" t="s">
        <v>254</v>
      </c>
      <c r="E198" s="10" t="s">
        <v>21</v>
      </c>
      <c r="F198" s="10" t="s">
        <v>4</v>
      </c>
      <c r="G198" s="10">
        <v>12</v>
      </c>
      <c r="H198" s="10">
        <v>13</v>
      </c>
      <c r="I198" s="10" t="s">
        <v>241</v>
      </c>
      <c r="J198" s="10" t="s">
        <v>409</v>
      </c>
      <c r="K198" s="10" t="s">
        <v>245</v>
      </c>
      <c r="L198" s="10" t="str">
        <f t="shared" si="34"/>
        <v>Ba Tri</v>
      </c>
      <c r="M198" s="10" t="str">
        <f>IFERROR(VLOOKUP(L198,'List+TK'!$I$3:$J$9,2,0),"-")</f>
        <v>83/01</v>
      </c>
      <c r="N198" s="10">
        <v>2</v>
      </c>
      <c r="O198" s="10" t="str">
        <f t="shared" si="35"/>
        <v>Tôm chân trắng thương phẩm</v>
      </c>
      <c r="P198" s="10" t="str">
        <f t="shared" si="40"/>
        <v>83/1222/02</v>
      </c>
      <c r="Q198" s="10" t="str">
        <f t="shared" si="36"/>
        <v>Ba Tri 83/01</v>
      </c>
      <c r="R198" s="10" t="str">
        <f t="shared" si="37"/>
        <v>Phạm Văn Ba - Ấp 7, Xã An Thủy</v>
      </c>
      <c r="S198" s="10">
        <f t="shared" si="38"/>
        <v>1</v>
      </c>
      <c r="T198" s="10" t="str">
        <f>IFERROR(VLOOKUP(J198,'List+TK'!$D$3:$E$1000,2,0),"-")</f>
        <v>Thuốc trừ sâu gốc Chlor hữu cơ, Pb, Hg, Cd</v>
      </c>
      <c r="U198" s="10" t="str">
        <f t="shared" si="41"/>
        <v>13/12/2022</v>
      </c>
      <c r="V198" s="10" t="str">
        <f>IFERROR(VLOOKUP(K198,'List+TK'!$G$3:$H$16,2,0),"-")</f>
        <v>Phạm Minh Thuận</v>
      </c>
      <c r="W198" s="10" t="str">
        <f t="shared" si="39"/>
        <v>Ao 2</v>
      </c>
      <c r="X198" s="4"/>
    </row>
    <row r="199" spans="1:24" ht="49.5" hidden="1" x14ac:dyDescent="0.25">
      <c r="A199" s="5">
        <f>_xlfn.AGGREGATE(3,3,$I$4:I199)</f>
        <v>169</v>
      </c>
      <c r="B199" s="5">
        <v>3</v>
      </c>
      <c r="C199" s="26" t="s">
        <v>474</v>
      </c>
      <c r="D199" s="10" t="s">
        <v>260</v>
      </c>
      <c r="E199" s="10" t="s">
        <v>39</v>
      </c>
      <c r="F199" s="10" t="s">
        <v>5</v>
      </c>
      <c r="G199" s="10">
        <v>12</v>
      </c>
      <c r="H199" s="10">
        <v>13</v>
      </c>
      <c r="I199" s="10" t="s">
        <v>241</v>
      </c>
      <c r="J199" s="10" t="s">
        <v>428</v>
      </c>
      <c r="K199" s="10" t="s">
        <v>244</v>
      </c>
      <c r="L199" s="10" t="str">
        <f t="shared" si="34"/>
        <v>Bình Đại</v>
      </c>
      <c r="M199" s="10" t="str">
        <f>IFERROR(VLOOKUP(L199,'List+TK'!$I$3:$J$9,2,0),"-")</f>
        <v>83/02</v>
      </c>
      <c r="N199" s="10">
        <v>1</v>
      </c>
      <c r="O199" s="10" t="str">
        <f t="shared" si="35"/>
        <v>Tôm chân trắng thương phẩm</v>
      </c>
      <c r="P199" s="10" t="str">
        <f t="shared" si="40"/>
        <v>83/1222/03</v>
      </c>
      <c r="Q199" s="10" t="str">
        <f t="shared" si="36"/>
        <v>Bình Đại 83/02</v>
      </c>
      <c r="R199" s="10" t="str">
        <f t="shared" si="37"/>
        <v>Võ Huỳnh Tiến Nghĩa  - Ấp 4, Xã Bình Thới</v>
      </c>
      <c r="S199" s="10">
        <f t="shared" si="38"/>
        <v>1</v>
      </c>
      <c r="T199" s="10" t="str">
        <f>IFERROR(VLOOKUP(J199,'List+TK'!$D$3:$E$1000,2,0),"-")</f>
        <v>Chloramphenicol, Nhóm Quinolones</v>
      </c>
      <c r="U199" s="10" t="str">
        <f t="shared" si="41"/>
        <v>13/12/2022</v>
      </c>
      <c r="V199" s="10" t="str">
        <f>IFERROR(VLOOKUP(K199,'List+TK'!$G$3:$H$16,2,0),"-")</f>
        <v>Cao Quang Nguyên</v>
      </c>
      <c r="W199" s="10" t="str">
        <f t="shared" si="39"/>
        <v>Ao 1</v>
      </c>
      <c r="X199" s="4"/>
    </row>
    <row r="200" spans="1:24" ht="49.5" hidden="1" x14ac:dyDescent="0.25">
      <c r="A200" s="5">
        <f>_xlfn.AGGREGATE(3,3,$I$4:I200)</f>
        <v>169</v>
      </c>
      <c r="B200" s="5">
        <v>4</v>
      </c>
      <c r="C200" s="26" t="s">
        <v>474</v>
      </c>
      <c r="D200" s="10" t="s">
        <v>260</v>
      </c>
      <c r="E200" s="10" t="s">
        <v>39</v>
      </c>
      <c r="F200" s="10" t="s">
        <v>5</v>
      </c>
      <c r="G200" s="10">
        <v>12</v>
      </c>
      <c r="H200" s="10">
        <v>13</v>
      </c>
      <c r="I200" s="10" t="s">
        <v>241</v>
      </c>
      <c r="J200" s="10" t="s">
        <v>409</v>
      </c>
      <c r="K200" s="10" t="s">
        <v>244</v>
      </c>
      <c r="L200" s="10" t="str">
        <f t="shared" si="34"/>
        <v>Bình Đại</v>
      </c>
      <c r="M200" s="10" t="str">
        <f>IFERROR(VLOOKUP(L200,'List+TK'!$I$3:$J$9,2,0),"-")</f>
        <v>83/02</v>
      </c>
      <c r="N200" s="10">
        <v>2</v>
      </c>
      <c r="O200" s="10" t="str">
        <f t="shared" si="35"/>
        <v>Tôm chân trắng thương phẩm</v>
      </c>
      <c r="P200" s="10" t="str">
        <f t="shared" si="40"/>
        <v>83/1222/04</v>
      </c>
      <c r="Q200" s="10" t="str">
        <f t="shared" si="36"/>
        <v>Bình Đại 83/02</v>
      </c>
      <c r="R200" s="10" t="str">
        <f t="shared" si="37"/>
        <v>Võ Huỳnh Tiến Nghĩa  - Ấp 4, Xã Bình Thới</v>
      </c>
      <c r="S200" s="10">
        <f t="shared" si="38"/>
        <v>1</v>
      </c>
      <c r="T200" s="10" t="str">
        <f>IFERROR(VLOOKUP(J200,'List+TK'!$D$3:$E$1000,2,0),"-")</f>
        <v>Thuốc trừ sâu gốc Chlor hữu cơ, Pb, Hg, Cd</v>
      </c>
      <c r="U200" s="10" t="str">
        <f t="shared" si="41"/>
        <v>13/12/2022</v>
      </c>
      <c r="V200" s="10" t="str">
        <f>IFERROR(VLOOKUP(K200,'List+TK'!$G$3:$H$16,2,0),"-")</f>
        <v>Cao Quang Nguyên</v>
      </c>
      <c r="W200" s="10" t="str">
        <f t="shared" si="39"/>
        <v>Ao 2</v>
      </c>
      <c r="X200" s="4"/>
    </row>
    <row r="201" spans="1:24" ht="49.5" hidden="1" x14ac:dyDescent="0.25">
      <c r="A201" s="5">
        <f>_xlfn.AGGREGATE(3,3,$I$4:I201)</f>
        <v>169</v>
      </c>
      <c r="B201" s="5">
        <v>5</v>
      </c>
      <c r="C201" s="26" t="s">
        <v>472</v>
      </c>
      <c r="D201" s="10" t="s">
        <v>473</v>
      </c>
      <c r="E201" s="10" t="s">
        <v>154</v>
      </c>
      <c r="F201" s="10" t="s">
        <v>11</v>
      </c>
      <c r="G201" s="10">
        <v>12</v>
      </c>
      <c r="H201" s="10">
        <v>14</v>
      </c>
      <c r="I201" s="10" t="s">
        <v>241</v>
      </c>
      <c r="J201" s="10" t="s">
        <v>428</v>
      </c>
      <c r="K201" s="10" t="s">
        <v>244</v>
      </c>
      <c r="L201" s="10" t="str">
        <f t="shared" si="34"/>
        <v>Thạnh Phú</v>
      </c>
      <c r="M201" s="10" t="str">
        <f>IFERROR(VLOOKUP(L201,'List+TK'!$I$3:$J$9,2,0),"-")</f>
        <v>83/03</v>
      </c>
      <c r="N201" s="10">
        <v>1</v>
      </c>
      <c r="O201" s="10" t="str">
        <f t="shared" si="35"/>
        <v>Tôm chân trắng thương phẩm</v>
      </c>
      <c r="P201" s="10" t="str">
        <f t="shared" si="40"/>
        <v>83/1222/05</v>
      </c>
      <c r="Q201" s="10" t="str">
        <f t="shared" si="36"/>
        <v>Thạnh Phú 83/03</v>
      </c>
      <c r="R201" s="10" t="str">
        <f t="shared" si="37"/>
        <v>Trần Văn Tần  - Ấp Thạnh Thới B, Xã Thạnh Hải</v>
      </c>
      <c r="S201" s="10">
        <f t="shared" si="38"/>
        <v>1</v>
      </c>
      <c r="T201" s="10" t="str">
        <f>IFERROR(VLOOKUP(J201,'List+TK'!$D$3:$E$1000,2,0),"-")</f>
        <v>Chloramphenicol, Nhóm Quinolones</v>
      </c>
      <c r="U201" s="10" t="str">
        <f t="shared" si="41"/>
        <v>14/12/2022</v>
      </c>
      <c r="V201" s="10" t="str">
        <f>IFERROR(VLOOKUP(K201,'List+TK'!$G$3:$H$16,2,0),"-")</f>
        <v>Cao Quang Nguyên</v>
      </c>
      <c r="W201" s="10" t="str">
        <f t="shared" si="39"/>
        <v>Ao 1</v>
      </c>
      <c r="X201" s="4"/>
    </row>
    <row r="202" spans="1:24" ht="49.5" hidden="1" x14ac:dyDescent="0.25">
      <c r="A202" s="5">
        <f>_xlfn.AGGREGATE(3,3,$I$4:I202)</f>
        <v>169</v>
      </c>
      <c r="B202" s="5">
        <v>6</v>
      </c>
      <c r="C202" s="26" t="s">
        <v>472</v>
      </c>
      <c r="D202" s="10" t="s">
        <v>473</v>
      </c>
      <c r="E202" s="10" t="s">
        <v>154</v>
      </c>
      <c r="F202" s="10" t="s">
        <v>11</v>
      </c>
      <c r="G202" s="10">
        <v>12</v>
      </c>
      <c r="H202" s="10">
        <v>14</v>
      </c>
      <c r="I202" s="10" t="s">
        <v>241</v>
      </c>
      <c r="J202" s="10" t="s">
        <v>409</v>
      </c>
      <c r="K202" s="10" t="s">
        <v>244</v>
      </c>
      <c r="L202" s="10" t="str">
        <f t="shared" si="34"/>
        <v>Thạnh Phú</v>
      </c>
      <c r="M202" s="10" t="str">
        <f>IFERROR(VLOOKUP(L202,'List+TK'!$I$3:$J$9,2,0),"-")</f>
        <v>83/03</v>
      </c>
      <c r="N202" s="10">
        <v>2</v>
      </c>
      <c r="O202" s="10" t="str">
        <f t="shared" si="35"/>
        <v>Tôm chân trắng thương phẩm</v>
      </c>
      <c r="P202" s="10" t="str">
        <f t="shared" si="40"/>
        <v>83/1222/06</v>
      </c>
      <c r="Q202" s="10" t="str">
        <f t="shared" si="36"/>
        <v>Thạnh Phú 83/03</v>
      </c>
      <c r="R202" s="10" t="str">
        <f t="shared" si="37"/>
        <v>Trần Văn Tần  - Ấp Thạnh Thới B, Xã Thạnh Hải</v>
      </c>
      <c r="S202" s="10">
        <f t="shared" si="38"/>
        <v>1</v>
      </c>
      <c r="T202" s="10" t="str">
        <f>IFERROR(VLOOKUP(J202,'List+TK'!$D$3:$E$1000,2,0),"-")</f>
        <v>Thuốc trừ sâu gốc Chlor hữu cơ, Pb, Hg, Cd</v>
      </c>
      <c r="U202" s="10" t="str">
        <f t="shared" si="41"/>
        <v>14/12/2022</v>
      </c>
      <c r="V202" s="10" t="str">
        <f>IFERROR(VLOOKUP(K202,'List+TK'!$G$3:$H$16,2,0),"-")</f>
        <v>Cao Quang Nguyên</v>
      </c>
      <c r="W202" s="10" t="str">
        <f t="shared" si="39"/>
        <v>Ao 2</v>
      </c>
      <c r="X202" s="4"/>
    </row>
    <row r="203" spans="1:24" ht="33" hidden="1" x14ac:dyDescent="0.25">
      <c r="A203" s="5">
        <f>_xlfn.AGGREGATE(3,3,$I$4:I203)</f>
        <v>169</v>
      </c>
      <c r="B203" s="5">
        <v>7</v>
      </c>
      <c r="C203" s="26" t="s">
        <v>211</v>
      </c>
      <c r="D203" s="10" t="s">
        <v>468</v>
      </c>
      <c r="E203" s="10" t="s">
        <v>73</v>
      </c>
      <c r="F203" s="10" t="s">
        <v>6</v>
      </c>
      <c r="G203" s="10">
        <v>12</v>
      </c>
      <c r="H203" s="10">
        <v>13</v>
      </c>
      <c r="I203" s="10" t="s">
        <v>208</v>
      </c>
      <c r="J203" s="10" t="s">
        <v>428</v>
      </c>
      <c r="K203" s="10" t="s">
        <v>243</v>
      </c>
      <c r="L203" s="10" t="str">
        <f t="shared" si="34"/>
        <v>Châu Thành</v>
      </c>
      <c r="M203" s="10" t="str">
        <f>IFERROR(VLOOKUP(L203,'List+TK'!$I$3:$J$9,2,0),"-")</f>
        <v>83/05</v>
      </c>
      <c r="N203" s="10">
        <v>4</v>
      </c>
      <c r="O203" s="10" t="str">
        <f t="shared" si="35"/>
        <v>Cá tra thương phẩm</v>
      </c>
      <c r="P203" s="10" t="str">
        <f t="shared" si="40"/>
        <v>83/1222/07</v>
      </c>
      <c r="Q203" s="10" t="str">
        <f t="shared" si="36"/>
        <v>Châu Thành 83/05</v>
      </c>
      <c r="R203" s="10" t="str">
        <f t="shared" si="37"/>
        <v>Công ty CP Gò Đàng - ấp Tân Tây, Xã Tân Phú</v>
      </c>
      <c r="S203" s="10">
        <f t="shared" si="38"/>
        <v>1.5</v>
      </c>
      <c r="T203" s="10" t="str">
        <f>IFERROR(VLOOKUP(J203,'List+TK'!$D$3:$E$1000,2,0),"-")</f>
        <v>Chloramphenicol, Nhóm Quinolones</v>
      </c>
      <c r="U203" s="10" t="str">
        <f t="shared" si="41"/>
        <v>13/12/2022</v>
      </c>
      <c r="V203" s="10" t="str">
        <f>IFERROR(VLOOKUP(K203,'List+TK'!$G$3:$H$16,2,0),"-")</f>
        <v>Phạm Châu An</v>
      </c>
      <c r="W203" s="10" t="str">
        <f t="shared" si="39"/>
        <v>Ao 4</v>
      </c>
      <c r="X203" s="4"/>
    </row>
    <row r="204" spans="1:24" ht="99" hidden="1" x14ac:dyDescent="0.25">
      <c r="A204" s="5">
        <f>_xlfn.AGGREGATE(3,3,$I$4:I204)</f>
        <v>169</v>
      </c>
      <c r="B204" s="5">
        <v>8</v>
      </c>
      <c r="C204" s="26" t="s">
        <v>211</v>
      </c>
      <c r="D204" s="10" t="s">
        <v>468</v>
      </c>
      <c r="E204" s="10" t="s">
        <v>73</v>
      </c>
      <c r="F204" s="10" t="s">
        <v>6</v>
      </c>
      <c r="G204" s="10">
        <v>12</v>
      </c>
      <c r="H204" s="10">
        <v>13</v>
      </c>
      <c r="I204" s="10" t="s">
        <v>208</v>
      </c>
      <c r="J204" s="10" t="s">
        <v>461</v>
      </c>
      <c r="K204" s="10" t="s">
        <v>243</v>
      </c>
      <c r="L204" s="10" t="str">
        <f t="shared" si="34"/>
        <v>Châu Thành</v>
      </c>
      <c r="M204" s="10" t="str">
        <f>IFERROR(VLOOKUP(L204,'List+TK'!$I$3:$J$9,2,0),"-")</f>
        <v>83/05</v>
      </c>
      <c r="N204" s="10">
        <v>5</v>
      </c>
      <c r="O204" s="10" t="str">
        <f t="shared" si="35"/>
        <v>Cá tra thương phẩm</v>
      </c>
      <c r="P204" s="10" t="str">
        <f t="shared" si="40"/>
        <v>83/1222/08</v>
      </c>
      <c r="Q204" s="10" t="str">
        <f t="shared" si="36"/>
        <v>Châu Thành 83/05</v>
      </c>
      <c r="R204" s="10" t="str">
        <f t="shared" si="37"/>
        <v>Công ty CP Gò Đàng - ấp Tân Tây, Xã Tân Phú</v>
      </c>
      <c r="S204" s="10">
        <f t="shared" si="38"/>
        <v>1.5</v>
      </c>
      <c r="T204" s="10" t="str">
        <f>IFERROR(VLOOKUP(J204,'List+TK'!$D$3:$E$1000,2,0),"-")</f>
        <v>Ivermectin, Praziquantel, Trichlorfon, Avermectin B1a, Malachite Green, Leuco Malachite Green, Crystal Violet, Leuco Crystal Violet</v>
      </c>
      <c r="U204" s="10" t="str">
        <f t="shared" si="41"/>
        <v>13/12/2022</v>
      </c>
      <c r="V204" s="10" t="str">
        <f>IFERROR(VLOOKUP(K204,'List+TK'!$G$3:$H$16,2,0),"-")</f>
        <v>Phạm Châu An</v>
      </c>
      <c r="W204" s="10" t="str">
        <f t="shared" si="39"/>
        <v>Ao 5</v>
      </c>
      <c r="X204" s="4"/>
    </row>
    <row r="205" spans="1:24" ht="49.5" hidden="1" x14ac:dyDescent="0.25">
      <c r="A205" s="5">
        <f>_xlfn.AGGREGATE(3,3,$I$4:I205)</f>
        <v>169</v>
      </c>
      <c r="B205" s="5">
        <v>9</v>
      </c>
      <c r="C205" s="26" t="s">
        <v>211</v>
      </c>
      <c r="D205" s="10" t="s">
        <v>255</v>
      </c>
      <c r="E205" s="10" t="s">
        <v>103</v>
      </c>
      <c r="F205" s="10" t="s">
        <v>8</v>
      </c>
      <c r="G205" s="10">
        <v>12</v>
      </c>
      <c r="H205" s="10">
        <v>14</v>
      </c>
      <c r="I205" s="10" t="s">
        <v>208</v>
      </c>
      <c r="J205" s="10" t="s">
        <v>428</v>
      </c>
      <c r="K205" s="10" t="s">
        <v>245</v>
      </c>
      <c r="L205" s="10" t="str">
        <f t="shared" si="34"/>
        <v>Giồng Trôm</v>
      </c>
      <c r="M205" s="10" t="str">
        <f>IFERROR(VLOOKUP(L205,'List+TK'!$I$3:$J$9,2,0),"-")</f>
        <v>83/06</v>
      </c>
      <c r="N205" s="10">
        <v>1</v>
      </c>
      <c r="O205" s="10" t="str">
        <f t="shared" si="35"/>
        <v>Cá tra thương phẩm</v>
      </c>
      <c r="P205" s="10" t="str">
        <f t="shared" si="40"/>
        <v>83/1222/09</v>
      </c>
      <c r="Q205" s="10" t="str">
        <f t="shared" si="36"/>
        <v>Giồng Trôm 83/06</v>
      </c>
      <c r="R205" s="10" t="str">
        <f t="shared" si="37"/>
        <v>Công ty CP Gò Đàng - Ấp 8, Xã Phước Long</v>
      </c>
      <c r="S205" s="10">
        <f t="shared" si="38"/>
        <v>1.5</v>
      </c>
      <c r="T205" s="10" t="str">
        <f>IFERROR(VLOOKUP(J205,'List+TK'!$D$3:$E$1000,2,0),"-")</f>
        <v>Chloramphenicol, Nhóm Quinolones</v>
      </c>
      <c r="U205" s="10" t="str">
        <f t="shared" si="41"/>
        <v>14/12/2022</v>
      </c>
      <c r="V205" s="10" t="str">
        <f>IFERROR(VLOOKUP(K205,'List+TK'!$G$3:$H$16,2,0),"-")</f>
        <v>Phạm Minh Thuận</v>
      </c>
      <c r="W205" s="10" t="str">
        <f t="shared" si="39"/>
        <v>Ao 1</v>
      </c>
      <c r="X205" s="4"/>
    </row>
    <row r="206" spans="1:24" ht="49.5" hidden="1" x14ac:dyDescent="0.25">
      <c r="A206" s="5">
        <f>_xlfn.AGGREGATE(3,3,$I$4:I206)</f>
        <v>169</v>
      </c>
      <c r="B206" s="5">
        <v>10</v>
      </c>
      <c r="C206" s="26" t="s">
        <v>211</v>
      </c>
      <c r="D206" s="10" t="s">
        <v>255</v>
      </c>
      <c r="E206" s="10" t="s">
        <v>103</v>
      </c>
      <c r="F206" s="10" t="s">
        <v>8</v>
      </c>
      <c r="G206" s="10">
        <v>12</v>
      </c>
      <c r="H206" s="10">
        <v>14</v>
      </c>
      <c r="I206" s="10" t="s">
        <v>208</v>
      </c>
      <c r="J206" s="10" t="s">
        <v>286</v>
      </c>
      <c r="K206" s="10" t="s">
        <v>245</v>
      </c>
      <c r="L206" s="10" t="str">
        <f t="shared" si="34"/>
        <v>Giồng Trôm</v>
      </c>
      <c r="M206" s="10" t="str">
        <f>IFERROR(VLOOKUP(L206,'List+TK'!$I$3:$J$9,2,0),"-")</f>
        <v>83/06</v>
      </c>
      <c r="N206" s="10">
        <v>2</v>
      </c>
      <c r="O206" s="10" t="str">
        <f t="shared" si="35"/>
        <v>Cá tra thương phẩm</v>
      </c>
      <c r="P206" s="10" t="str">
        <f t="shared" si="40"/>
        <v>83/1222/10</v>
      </c>
      <c r="Q206" s="10" t="str">
        <f t="shared" si="36"/>
        <v>Giồng Trôm 83/06</v>
      </c>
      <c r="R206" s="10" t="str">
        <f t="shared" si="37"/>
        <v>Công ty CP Gò Đàng - Ấp 8, Xã Phước Long</v>
      </c>
      <c r="S206" s="10">
        <f t="shared" si="38"/>
        <v>1.5</v>
      </c>
      <c r="T206" s="10" t="str">
        <f>IFERROR(VLOOKUP(J206,'List+TK'!$D$3:$E$1000,2,0),"-")</f>
        <v>-</v>
      </c>
      <c r="U206" s="10" t="str">
        <f t="shared" si="41"/>
        <v>14/12/2022</v>
      </c>
      <c r="V206" s="10" t="str">
        <f>IFERROR(VLOOKUP(K206,'List+TK'!$G$3:$H$16,2,0),"-")</f>
        <v>Phạm Minh Thuận</v>
      </c>
      <c r="W206" s="10" t="str">
        <f t="shared" si="39"/>
        <v>Ao 2</v>
      </c>
      <c r="X206" s="4"/>
    </row>
    <row r="207" spans="1:24" ht="49.5" hidden="1" x14ac:dyDescent="0.25">
      <c r="A207" s="5">
        <f>_xlfn.AGGREGATE(3,3,$I$4:I207)</f>
        <v>169</v>
      </c>
      <c r="B207" s="5">
        <v>11</v>
      </c>
      <c r="C207" s="26" t="s">
        <v>211</v>
      </c>
      <c r="D207" s="10" t="s">
        <v>255</v>
      </c>
      <c r="E207" s="10" t="s">
        <v>103</v>
      </c>
      <c r="F207" s="10" t="s">
        <v>8</v>
      </c>
      <c r="G207" s="10">
        <v>12</v>
      </c>
      <c r="H207" s="10">
        <v>14</v>
      </c>
      <c r="I207" s="10" t="s">
        <v>208</v>
      </c>
      <c r="J207" s="10" t="s">
        <v>293</v>
      </c>
      <c r="K207" s="10" t="s">
        <v>245</v>
      </c>
      <c r="L207" s="10" t="str">
        <f t="shared" si="34"/>
        <v>Giồng Trôm</v>
      </c>
      <c r="M207" s="10" t="str">
        <f>IFERROR(VLOOKUP(L207,'List+TK'!$I$3:$J$9,2,0),"-")</f>
        <v>83/06</v>
      </c>
      <c r="N207" s="10">
        <v>5</v>
      </c>
      <c r="O207" s="10" t="str">
        <f t="shared" si="35"/>
        <v>Cá tra thương phẩm</v>
      </c>
      <c r="P207" s="10" t="str">
        <f t="shared" si="40"/>
        <v>83/1222/11</v>
      </c>
      <c r="Q207" s="10" t="str">
        <f t="shared" si="36"/>
        <v>Giồng Trôm 83/06</v>
      </c>
      <c r="R207" s="10" t="str">
        <f t="shared" si="37"/>
        <v>Công ty CP Gò Đàng - Ấp 8, Xã Phước Long</v>
      </c>
      <c r="S207" s="10">
        <f t="shared" si="38"/>
        <v>1.5</v>
      </c>
      <c r="T207" s="10" t="str">
        <f>IFERROR(VLOOKUP(J207,'List+TK'!$D$3:$E$1000,2,0),"-")</f>
        <v>-</v>
      </c>
      <c r="U207" s="10" t="str">
        <f t="shared" si="41"/>
        <v>14/12/2022</v>
      </c>
      <c r="V207" s="10" t="str">
        <f>IFERROR(VLOOKUP(K207,'List+TK'!$G$3:$H$16,2,0),"-")</f>
        <v>Phạm Minh Thuận</v>
      </c>
      <c r="W207" s="10" t="str">
        <f t="shared" si="39"/>
        <v>Ao 5</v>
      </c>
      <c r="X207" s="4"/>
    </row>
    <row r="208" spans="1:24" ht="66" hidden="1" x14ac:dyDescent="0.25">
      <c r="A208" s="5">
        <f>_xlfn.AGGREGATE(3,3,$I$4:I208)</f>
        <v>169</v>
      </c>
      <c r="B208" s="5">
        <v>12</v>
      </c>
      <c r="C208" s="26" t="s">
        <v>232</v>
      </c>
      <c r="D208" s="10" t="s">
        <v>469</v>
      </c>
      <c r="E208" s="10" t="s">
        <v>87</v>
      </c>
      <c r="F208" s="10" t="s">
        <v>7</v>
      </c>
      <c r="G208" s="10">
        <v>12</v>
      </c>
      <c r="H208" s="10">
        <v>14</v>
      </c>
      <c r="I208" s="10" t="s">
        <v>208</v>
      </c>
      <c r="J208" s="10" t="s">
        <v>423</v>
      </c>
      <c r="K208" s="10" t="s">
        <v>243</v>
      </c>
      <c r="L208" s="10" t="str">
        <f t="shared" si="34"/>
        <v>Chợ Lách</v>
      </c>
      <c r="M208" s="10" t="str">
        <f>IFERROR(VLOOKUP(L208,'List+TK'!$I$3:$J$9,2,0),"-")</f>
        <v>83/07</v>
      </c>
      <c r="N208" s="10">
        <v>20</v>
      </c>
      <c r="O208" s="10" t="str">
        <f t="shared" si="35"/>
        <v>Cá tra thương phẩm</v>
      </c>
      <c r="P208" s="10" t="str">
        <f t="shared" si="40"/>
        <v>83/1222/12</v>
      </c>
      <c r="Q208" s="10" t="str">
        <f t="shared" si="36"/>
        <v>Chợ Lách 83/07</v>
      </c>
      <c r="R208" s="10" t="str">
        <f t="shared" si="37"/>
        <v>Công ty TNHH CBTPXK Vạn Đức Tiền Giang - ấp Phú Bình, Xã Vĩnh Bình</v>
      </c>
      <c r="S208" s="10">
        <f t="shared" si="38"/>
        <v>1.5</v>
      </c>
      <c r="T208" s="10" t="str">
        <f>IFERROR(VLOOKUP(J208,'List+TK'!$D$3:$E$1000,2,0),"-")</f>
        <v>-</v>
      </c>
      <c r="U208" s="10" t="str">
        <f t="shared" si="41"/>
        <v>14/12/2022</v>
      </c>
      <c r="V208" s="10" t="str">
        <f>IFERROR(VLOOKUP(K208,'List+TK'!$G$3:$H$16,2,0),"-")</f>
        <v>Phạm Châu An</v>
      </c>
      <c r="W208" s="10" t="str">
        <f t="shared" si="39"/>
        <v>Ao 20</v>
      </c>
      <c r="X208" s="4"/>
    </row>
    <row r="209" spans="1:24" ht="66" hidden="1" x14ac:dyDescent="0.25">
      <c r="A209" s="5">
        <f>_xlfn.AGGREGATE(3,3,$I$4:I209)</f>
        <v>169</v>
      </c>
      <c r="B209" s="5">
        <v>13</v>
      </c>
      <c r="C209" s="26" t="s">
        <v>232</v>
      </c>
      <c r="D209" s="10" t="s">
        <v>470</v>
      </c>
      <c r="E209" s="10" t="s">
        <v>80</v>
      </c>
      <c r="F209" s="10" t="s">
        <v>7</v>
      </c>
      <c r="G209" s="10">
        <v>12</v>
      </c>
      <c r="H209" s="10">
        <v>14</v>
      </c>
      <c r="I209" s="10" t="s">
        <v>208</v>
      </c>
      <c r="J209" s="10" t="s">
        <v>424</v>
      </c>
      <c r="K209" s="10" t="s">
        <v>243</v>
      </c>
      <c r="L209" s="10" t="str">
        <f t="shared" si="34"/>
        <v>Chợ Lách</v>
      </c>
      <c r="M209" s="10" t="str">
        <f>IFERROR(VLOOKUP(L209,'List+TK'!$I$3:$J$9,2,0),"-")</f>
        <v>83/07</v>
      </c>
      <c r="N209" s="10">
        <v>13</v>
      </c>
      <c r="O209" s="10" t="str">
        <f t="shared" si="35"/>
        <v>Cá tra thương phẩm</v>
      </c>
      <c r="P209" s="10" t="str">
        <f t="shared" si="40"/>
        <v>83/1222/13</v>
      </c>
      <c r="Q209" s="10" t="str">
        <f t="shared" si="36"/>
        <v>Chợ Lách 83/07</v>
      </c>
      <c r="R209" s="10" t="str">
        <f t="shared" si="37"/>
        <v>Công ty TNHH CBTPXK Vạn Đức Tiền Giang - ấp Bình An, Xã Hòa Nghĩa</v>
      </c>
      <c r="S209" s="10">
        <f t="shared" si="38"/>
        <v>1.5</v>
      </c>
      <c r="T209" s="10" t="str">
        <f>IFERROR(VLOOKUP(J209,'List+TK'!$D$3:$E$1000,2,0),"-")</f>
        <v>Nhóm Quinolones, Ivermectin, Praziquantel, Trichlorfon, Avermectin B1a</v>
      </c>
      <c r="U209" s="10" t="str">
        <f t="shared" si="41"/>
        <v>14/12/2022</v>
      </c>
      <c r="V209" s="10" t="str">
        <f>IFERROR(VLOOKUP(K209,'List+TK'!$G$3:$H$16,2,0),"-")</f>
        <v>Phạm Châu An</v>
      </c>
      <c r="W209" s="10" t="str">
        <f t="shared" si="39"/>
        <v>Ao 13</v>
      </c>
      <c r="X209" s="4"/>
    </row>
    <row r="210" spans="1:24" ht="66" hidden="1" x14ac:dyDescent="0.25">
      <c r="A210" s="5">
        <f>_xlfn.AGGREGATE(3,3,$I$4:I210)</f>
        <v>169</v>
      </c>
      <c r="B210" s="5">
        <v>14</v>
      </c>
      <c r="C210" s="26" t="s">
        <v>232</v>
      </c>
      <c r="D210" s="10" t="s">
        <v>469</v>
      </c>
      <c r="E210" s="10" t="s">
        <v>87</v>
      </c>
      <c r="F210" s="10" t="s">
        <v>7</v>
      </c>
      <c r="G210" s="10">
        <v>12</v>
      </c>
      <c r="H210" s="10">
        <v>14</v>
      </c>
      <c r="I210" s="10" t="s">
        <v>208</v>
      </c>
      <c r="J210" s="10" t="s">
        <v>290</v>
      </c>
      <c r="K210" s="10" t="s">
        <v>243</v>
      </c>
      <c r="L210" s="10" t="str">
        <f t="shared" si="34"/>
        <v>Chợ Lách</v>
      </c>
      <c r="M210" s="10" t="str">
        <f>IFERROR(VLOOKUP(L210,'List+TK'!$I$3:$J$9,2,0),"-")</f>
        <v>83/07</v>
      </c>
      <c r="N210" s="10">
        <v>17</v>
      </c>
      <c r="O210" s="10" t="str">
        <f t="shared" si="35"/>
        <v>Cá tra thương phẩm</v>
      </c>
      <c r="P210" s="10" t="str">
        <f t="shared" si="40"/>
        <v>83/1222/14</v>
      </c>
      <c r="Q210" s="10" t="str">
        <f t="shared" si="36"/>
        <v>Chợ Lách 83/07</v>
      </c>
      <c r="R210" s="10" t="str">
        <f t="shared" si="37"/>
        <v>Công ty TNHH CBTPXK Vạn Đức Tiền Giang - ấp Phú Bình, Xã Vĩnh Bình</v>
      </c>
      <c r="S210" s="10">
        <f t="shared" si="38"/>
        <v>1.5</v>
      </c>
      <c r="T210" s="10" t="str">
        <f>IFERROR(VLOOKUP(J210,'List+TK'!$D$3:$E$1000,2,0),"-")</f>
        <v>-</v>
      </c>
      <c r="U210" s="10" t="str">
        <f t="shared" si="41"/>
        <v>14/12/2022</v>
      </c>
      <c r="V210" s="10" t="str">
        <f>IFERROR(VLOOKUP(K210,'List+TK'!$G$3:$H$16,2,0),"-")</f>
        <v>Phạm Châu An</v>
      </c>
      <c r="W210" s="10" t="str">
        <f t="shared" si="39"/>
        <v>Ao 17</v>
      </c>
      <c r="X210" s="4"/>
    </row>
    <row r="211" spans="1:24" ht="66" hidden="1" x14ac:dyDescent="0.25">
      <c r="A211" s="5">
        <f>_xlfn.AGGREGATE(3,3,$I$4:I211)</f>
        <v>169</v>
      </c>
      <c r="B211" s="5">
        <v>15</v>
      </c>
      <c r="C211" s="26" t="s">
        <v>232</v>
      </c>
      <c r="D211" s="10" t="s">
        <v>470</v>
      </c>
      <c r="E211" s="10" t="s">
        <v>80</v>
      </c>
      <c r="F211" s="10" t="s">
        <v>7</v>
      </c>
      <c r="G211" s="10">
        <v>12</v>
      </c>
      <c r="H211" s="10">
        <v>14</v>
      </c>
      <c r="I211" s="10" t="s">
        <v>208</v>
      </c>
      <c r="J211" s="10" t="s">
        <v>291</v>
      </c>
      <c r="K211" s="10" t="s">
        <v>243</v>
      </c>
      <c r="L211" s="10" t="str">
        <f t="shared" si="34"/>
        <v>Chợ Lách</v>
      </c>
      <c r="M211" s="10" t="str">
        <f>IFERROR(VLOOKUP(L211,'List+TK'!$I$3:$J$9,2,0),"-")</f>
        <v>83/07</v>
      </c>
      <c r="N211" s="10">
        <v>5</v>
      </c>
      <c r="O211" s="10" t="str">
        <f t="shared" si="35"/>
        <v>Cá tra thương phẩm</v>
      </c>
      <c r="P211" s="10" t="str">
        <f t="shared" si="40"/>
        <v>83/1222/15</v>
      </c>
      <c r="Q211" s="10" t="str">
        <f t="shared" si="36"/>
        <v>Chợ Lách 83/07</v>
      </c>
      <c r="R211" s="10" t="str">
        <f t="shared" si="37"/>
        <v>Công ty TNHH CBTPXK Vạn Đức Tiền Giang - ấp Bình An, Xã Hòa Nghĩa</v>
      </c>
      <c r="S211" s="10">
        <f t="shared" si="38"/>
        <v>1.5</v>
      </c>
      <c r="T211" s="10" t="str">
        <f>IFERROR(VLOOKUP(J211,'List+TK'!$D$3:$E$1000,2,0),"-")</f>
        <v>-</v>
      </c>
      <c r="U211" s="10" t="str">
        <f t="shared" si="41"/>
        <v>14/12/2022</v>
      </c>
      <c r="V211" s="10" t="str">
        <f>IFERROR(VLOOKUP(K211,'List+TK'!$G$3:$H$16,2,0),"-")</f>
        <v>Phạm Châu An</v>
      </c>
      <c r="W211" s="10" t="str">
        <f t="shared" si="39"/>
        <v>Ao 5</v>
      </c>
      <c r="X211" s="4"/>
    </row>
    <row r="212" spans="1:24" ht="66" hidden="1" x14ac:dyDescent="0.25">
      <c r="A212" s="5">
        <f>_xlfn.AGGREGATE(3,3,$I$4:I212)</f>
        <v>169</v>
      </c>
      <c r="B212" s="5">
        <v>16</v>
      </c>
      <c r="C212" s="26" t="s">
        <v>232</v>
      </c>
      <c r="D212" s="10" t="s">
        <v>469</v>
      </c>
      <c r="E212" s="10" t="s">
        <v>87</v>
      </c>
      <c r="F212" s="10" t="s">
        <v>7</v>
      </c>
      <c r="G212" s="10">
        <v>12</v>
      </c>
      <c r="H212" s="10">
        <v>14</v>
      </c>
      <c r="I212" s="10" t="s">
        <v>208</v>
      </c>
      <c r="J212" s="10" t="s">
        <v>293</v>
      </c>
      <c r="K212" s="10" t="s">
        <v>243</v>
      </c>
      <c r="L212" s="10" t="str">
        <f t="shared" si="34"/>
        <v>Chợ Lách</v>
      </c>
      <c r="M212" s="10" t="str">
        <f>IFERROR(VLOOKUP(L212,'List+TK'!$I$3:$J$9,2,0),"-")</f>
        <v>83/07</v>
      </c>
      <c r="N212" s="10">
        <v>21</v>
      </c>
      <c r="O212" s="10" t="str">
        <f t="shared" si="35"/>
        <v>Cá tra thương phẩm</v>
      </c>
      <c r="P212" s="10" t="str">
        <f t="shared" si="40"/>
        <v>83/1222/16</v>
      </c>
      <c r="Q212" s="10" t="str">
        <f t="shared" si="36"/>
        <v>Chợ Lách 83/07</v>
      </c>
      <c r="R212" s="10" t="str">
        <f t="shared" si="37"/>
        <v>Công ty TNHH CBTPXK Vạn Đức Tiền Giang - ấp Phú Bình, Xã Vĩnh Bình</v>
      </c>
      <c r="S212" s="10">
        <f t="shared" si="38"/>
        <v>1.5</v>
      </c>
      <c r="T212" s="10" t="str">
        <f>IFERROR(VLOOKUP(J212,'List+TK'!$D$3:$E$1000,2,0),"-")</f>
        <v>-</v>
      </c>
      <c r="U212" s="10" t="str">
        <f t="shared" si="41"/>
        <v>14/12/2022</v>
      </c>
      <c r="V212" s="10" t="str">
        <f>IFERROR(VLOOKUP(K212,'List+TK'!$G$3:$H$16,2,0),"-")</f>
        <v>Phạm Châu An</v>
      </c>
      <c r="W212" s="10" t="str">
        <f t="shared" si="39"/>
        <v>Ao 21</v>
      </c>
      <c r="X212" s="4"/>
    </row>
    <row r="213" spans="1:24" ht="33" hidden="1" x14ac:dyDescent="0.25">
      <c r="A213" s="5">
        <f>_xlfn.AGGREGATE(3,3,$I$4:I213)</f>
        <v>169</v>
      </c>
      <c r="B213" s="5">
        <v>17</v>
      </c>
      <c r="C213" s="26" t="s">
        <v>211</v>
      </c>
      <c r="D213" s="10" t="s">
        <v>450</v>
      </c>
      <c r="E213" s="10" t="s">
        <v>34</v>
      </c>
      <c r="F213" s="10" t="s">
        <v>4</v>
      </c>
      <c r="G213" s="10">
        <v>9</v>
      </c>
      <c r="H213" s="10">
        <v>13</v>
      </c>
      <c r="I213" s="10" t="s">
        <v>208</v>
      </c>
      <c r="J213" s="45" t="s">
        <v>291</v>
      </c>
      <c r="K213" s="10" t="s">
        <v>245</v>
      </c>
      <c r="L213" s="10" t="str">
        <f t="shared" si="34"/>
        <v>Ba Tri</v>
      </c>
      <c r="M213" s="10" t="str">
        <f>IFERROR(VLOOKUP(L213,'List+TK'!$I$3:$J$9,2,0),"-")</f>
        <v>83/01</v>
      </c>
      <c r="N213" s="10">
        <v>4</v>
      </c>
      <c r="O213" s="10" t="str">
        <f t="shared" si="35"/>
        <v>Cá tra thương phẩm</v>
      </c>
      <c r="P213" s="10" t="s">
        <v>463</v>
      </c>
      <c r="Q213" s="10" t="str">
        <f t="shared" si="36"/>
        <v>Ba Tri 83/01</v>
      </c>
      <c r="R213" s="10" t="str">
        <f t="shared" si="37"/>
        <v>Công ty CP Gò Đàng - ấp 4, Xã Tân Xuân</v>
      </c>
      <c r="S213" s="10">
        <f t="shared" si="38"/>
        <v>1.5</v>
      </c>
      <c r="T213" s="10" t="str">
        <f>IFERROR(VLOOKUP(J213,'List+TK'!$D$3:$E$1000,2,0),"-")</f>
        <v>-</v>
      </c>
      <c r="U213" s="48">
        <v>44908</v>
      </c>
      <c r="V213" s="10" t="str">
        <f>IFERROR(VLOOKUP(K213,'List+TK'!$G$3:$H$16,2,0),"-")</f>
        <v>Phạm Minh Thuận</v>
      </c>
      <c r="W213" s="10" t="str">
        <f t="shared" si="39"/>
        <v>Ao 4</v>
      </c>
      <c r="X213" s="4" t="s">
        <v>479</v>
      </c>
    </row>
    <row r="214" spans="1:24" ht="66" hidden="1" x14ac:dyDescent="0.25">
      <c r="A214" s="5">
        <f>_xlfn.AGGREGATE(3,3,$I$4:I214)</f>
        <v>169</v>
      </c>
      <c r="B214" s="5">
        <v>18</v>
      </c>
      <c r="C214" s="26" t="s">
        <v>211</v>
      </c>
      <c r="D214" s="10" t="s">
        <v>262</v>
      </c>
      <c r="E214" s="10" t="s">
        <v>43</v>
      </c>
      <c r="F214" s="10" t="s">
        <v>5</v>
      </c>
      <c r="G214" s="10">
        <v>9</v>
      </c>
      <c r="H214" s="10">
        <v>13</v>
      </c>
      <c r="I214" s="10" t="s">
        <v>208</v>
      </c>
      <c r="J214" s="45" t="s">
        <v>273</v>
      </c>
      <c r="K214" s="10" t="s">
        <v>244</v>
      </c>
      <c r="L214" s="10" t="str">
        <f t="shared" si="34"/>
        <v>Bình Đại</v>
      </c>
      <c r="M214" s="10" t="str">
        <f>IFERROR(VLOOKUP(L214,'List+TK'!$I$3:$J$9,2,0),"-")</f>
        <v>83/02</v>
      </c>
      <c r="N214" s="10" t="s">
        <v>480</v>
      </c>
      <c r="O214" s="10" t="str">
        <f t="shared" si="35"/>
        <v>Cá tra thương phẩm</v>
      </c>
      <c r="P214" s="10" t="s">
        <v>464</v>
      </c>
      <c r="Q214" s="10" t="str">
        <f t="shared" si="36"/>
        <v>Bình Đại 83/02</v>
      </c>
      <c r="R214" s="10" t="str">
        <f t="shared" si="37"/>
        <v>Công ty CP Gò Đàng - Khu A Lộc Thuận, ấp Lộc Sơn, Xã Lộc Thuận</v>
      </c>
      <c r="S214" s="10">
        <f t="shared" si="38"/>
        <v>1.5</v>
      </c>
      <c r="T214" s="10" t="str">
        <f>IFERROR(VLOOKUP(J214,'List+TK'!$D$3:$E$1000,2,0),"-")</f>
        <v>Chloramphenicol</v>
      </c>
      <c r="U214" s="48">
        <v>44908</v>
      </c>
      <c r="V214" s="10" t="str">
        <f>IFERROR(VLOOKUP(K214,'List+TK'!$G$3:$H$16,2,0),"-")</f>
        <v>Cao Quang Nguyên</v>
      </c>
      <c r="W214" s="10" t="str">
        <f t="shared" si="39"/>
        <v>Ao B8</v>
      </c>
      <c r="X214" s="4" t="s">
        <v>479</v>
      </c>
    </row>
    <row r="215" spans="1:24" ht="66" hidden="1" x14ac:dyDescent="0.25">
      <c r="A215" s="5">
        <f>_xlfn.AGGREGATE(3,3,$I$4:I215)</f>
        <v>169</v>
      </c>
      <c r="B215" s="5">
        <v>19</v>
      </c>
      <c r="C215" s="26" t="s">
        <v>211</v>
      </c>
      <c r="D215" s="10" t="s">
        <v>262</v>
      </c>
      <c r="E215" s="10" t="s">
        <v>43</v>
      </c>
      <c r="F215" s="10" t="s">
        <v>5</v>
      </c>
      <c r="G215" s="10">
        <v>9</v>
      </c>
      <c r="H215" s="10">
        <v>13</v>
      </c>
      <c r="I215" s="10" t="s">
        <v>208</v>
      </c>
      <c r="J215" s="45" t="s">
        <v>286</v>
      </c>
      <c r="K215" s="10" t="s">
        <v>244</v>
      </c>
      <c r="L215" s="10" t="str">
        <f t="shared" si="34"/>
        <v>Bình Đại</v>
      </c>
      <c r="M215" s="10" t="str">
        <f>IFERROR(VLOOKUP(L215,'List+TK'!$I$3:$J$9,2,0),"-")</f>
        <v>83/02</v>
      </c>
      <c r="N215" s="10">
        <v>3</v>
      </c>
      <c r="O215" s="10" t="str">
        <f t="shared" si="35"/>
        <v>Cá tra thương phẩm</v>
      </c>
      <c r="P215" s="10" t="s">
        <v>465</v>
      </c>
      <c r="Q215" s="10" t="str">
        <f t="shared" si="36"/>
        <v>Bình Đại 83/02</v>
      </c>
      <c r="R215" s="10" t="str">
        <f t="shared" si="37"/>
        <v>Công ty CP Gò Đàng - Khu A Lộc Thuận, ấp Lộc Sơn, Xã Lộc Thuận</v>
      </c>
      <c r="S215" s="10">
        <f t="shared" si="38"/>
        <v>1.5</v>
      </c>
      <c r="T215" s="10" t="str">
        <f>IFERROR(VLOOKUP(J215,'List+TK'!$D$3:$E$1000,2,0),"-")</f>
        <v>-</v>
      </c>
      <c r="U215" s="48">
        <v>44908</v>
      </c>
      <c r="V215" s="10" t="str">
        <f>IFERROR(VLOOKUP(K215,'List+TK'!$G$3:$H$16,2,0),"-")</f>
        <v>Cao Quang Nguyên</v>
      </c>
      <c r="W215" s="10" t="str">
        <f t="shared" si="39"/>
        <v>Ao 3</v>
      </c>
      <c r="X215" s="4" t="s">
        <v>479</v>
      </c>
    </row>
    <row r="216" spans="1:24" ht="66" hidden="1" x14ac:dyDescent="0.25">
      <c r="A216" s="5">
        <f>_xlfn.AGGREGATE(3,3,$I$4:I216)</f>
        <v>169</v>
      </c>
      <c r="B216" s="5">
        <v>20</v>
      </c>
      <c r="C216" s="26" t="s">
        <v>211</v>
      </c>
      <c r="D216" s="10" t="s">
        <v>262</v>
      </c>
      <c r="E216" s="10" t="s">
        <v>43</v>
      </c>
      <c r="F216" s="10" t="s">
        <v>5</v>
      </c>
      <c r="G216" s="10">
        <v>9</v>
      </c>
      <c r="H216" s="10">
        <v>13</v>
      </c>
      <c r="I216" s="10" t="s">
        <v>208</v>
      </c>
      <c r="J216" s="45" t="s">
        <v>289</v>
      </c>
      <c r="K216" s="10" t="s">
        <v>244</v>
      </c>
      <c r="L216" s="10" t="str">
        <f t="shared" si="34"/>
        <v>Bình Đại</v>
      </c>
      <c r="M216" s="10" t="str">
        <f>IFERROR(VLOOKUP(L216,'List+TK'!$I$3:$J$9,2,0),"-")</f>
        <v>83/02</v>
      </c>
      <c r="N216" s="10">
        <v>6</v>
      </c>
      <c r="O216" s="10" t="str">
        <f t="shared" si="35"/>
        <v>Cá tra thương phẩm</v>
      </c>
      <c r="P216" s="10" t="s">
        <v>466</v>
      </c>
      <c r="Q216" s="10" t="str">
        <f t="shared" si="36"/>
        <v>Bình Đại 83/02</v>
      </c>
      <c r="R216" s="10" t="str">
        <f t="shared" si="37"/>
        <v>Công ty CP Gò Đàng - Khu A Lộc Thuận, ấp Lộc Sơn, Xã Lộc Thuận</v>
      </c>
      <c r="S216" s="10">
        <f t="shared" si="38"/>
        <v>1.5</v>
      </c>
      <c r="T216" s="10" t="str">
        <f>IFERROR(VLOOKUP(J216,'List+TK'!$D$3:$E$1000,2,0),"-")</f>
        <v>Fenbendazole</v>
      </c>
      <c r="U216" s="48">
        <v>44908</v>
      </c>
      <c r="V216" s="10" t="str">
        <f>IFERROR(VLOOKUP(K216,'List+TK'!$G$3:$H$16,2,0),"-")</f>
        <v>Cao Quang Nguyên</v>
      </c>
      <c r="W216" s="10" t="str">
        <f t="shared" si="39"/>
        <v>Ao 6</v>
      </c>
      <c r="X216" s="4" t="s">
        <v>479</v>
      </c>
    </row>
    <row r="217" spans="1:24" hidden="1" x14ac:dyDescent="0.25">
      <c r="A217" s="5">
        <f>_xlfn.AGGREGATE(3,3,$I$4:I217)</f>
        <v>169</v>
      </c>
      <c r="B217" s="5"/>
      <c r="C217" s="26"/>
      <c r="D217" s="10"/>
      <c r="E217" s="10"/>
      <c r="F217" s="10"/>
      <c r="G217" s="10">
        <v>10</v>
      </c>
      <c r="H217" s="10"/>
      <c r="I217" s="10"/>
      <c r="J217" s="10"/>
      <c r="K217" s="10"/>
      <c r="L217" s="10" t="str">
        <f t="shared" si="34"/>
        <v>-</v>
      </c>
      <c r="M217" s="10" t="str">
        <f>IFERROR(VLOOKUP(L217,'List+TK'!$I$3:$J$9,2,0),"-")</f>
        <v>-</v>
      </c>
      <c r="N217" s="10"/>
      <c r="O217" s="10">
        <f t="shared" si="35"/>
        <v>0</v>
      </c>
      <c r="P217" s="10" t="str">
        <f t="shared" ref="P217:P248" si="42">"83/"&amp;IF(LEN(G217)=1,"0"&amp;G217,G217)&amp;"22/"&amp;IF(LEN(B217)=1,"0"&amp;B217,B217)</f>
        <v>83/1022/</v>
      </c>
      <c r="Q217" s="10" t="str">
        <f t="shared" si="36"/>
        <v>- -</v>
      </c>
      <c r="R217" s="10" t="str">
        <f t="shared" si="37"/>
        <v xml:space="preserve"> - , </v>
      </c>
      <c r="S217" s="10">
        <f t="shared" si="38"/>
        <v>0</v>
      </c>
      <c r="T217" s="10" t="str">
        <f>IFERROR(VLOOKUP(J217,'List+TK'!$D$3:$E$1000,2,0),"-")</f>
        <v>-</v>
      </c>
      <c r="U217" s="10" t="str">
        <f t="shared" ref="U217:U248" si="43">H217&amp;"/"&amp;IF(LEN(G217)=1,"0"&amp;G217,G217)&amp;"/2022"</f>
        <v>/10/2022</v>
      </c>
      <c r="V217" s="10" t="str">
        <f>IFERROR(VLOOKUP(K217,'List+TK'!$G$3:$H$16,2,0),"-")</f>
        <v>-</v>
      </c>
      <c r="W217" s="10" t="str">
        <f t="shared" si="39"/>
        <v/>
      </c>
      <c r="X217" s="4"/>
    </row>
    <row r="218" spans="1:24" hidden="1" x14ac:dyDescent="0.25">
      <c r="A218" s="5">
        <f>_xlfn.AGGREGATE(3,3,$I$4:I218)</f>
        <v>169</v>
      </c>
      <c r="B218" s="5"/>
      <c r="C218" s="26"/>
      <c r="D218" s="10"/>
      <c r="E218" s="10"/>
      <c r="F218" s="10"/>
      <c r="G218" s="10">
        <v>10</v>
      </c>
      <c r="H218" s="10"/>
      <c r="I218" s="10"/>
      <c r="J218" s="10"/>
      <c r="K218" s="10"/>
      <c r="L218" s="10" t="str">
        <f t="shared" si="34"/>
        <v>-</v>
      </c>
      <c r="M218" s="10" t="str">
        <f>IFERROR(VLOOKUP(L218,'List+TK'!$I$3:$J$9,2,0),"-")</f>
        <v>-</v>
      </c>
      <c r="N218" s="10"/>
      <c r="O218" s="10">
        <f t="shared" si="35"/>
        <v>0</v>
      </c>
      <c r="P218" s="10" t="str">
        <f t="shared" si="42"/>
        <v>83/1022/</v>
      </c>
      <c r="Q218" s="10" t="str">
        <f t="shared" si="36"/>
        <v>- -</v>
      </c>
      <c r="R218" s="10" t="str">
        <f t="shared" si="37"/>
        <v xml:space="preserve"> - , </v>
      </c>
      <c r="S218" s="10">
        <f t="shared" si="38"/>
        <v>0</v>
      </c>
      <c r="T218" s="10" t="str">
        <f>IFERROR(VLOOKUP(J218,'List+TK'!$D$3:$E$1000,2,0),"-")</f>
        <v>-</v>
      </c>
      <c r="U218" s="10" t="str">
        <f t="shared" si="43"/>
        <v>/10/2022</v>
      </c>
      <c r="V218" s="10" t="str">
        <f>IFERROR(VLOOKUP(K218,'List+TK'!$G$3:$H$16,2,0),"-")</f>
        <v>-</v>
      </c>
      <c r="W218" s="10" t="str">
        <f t="shared" si="39"/>
        <v/>
      </c>
      <c r="X218" s="4"/>
    </row>
    <row r="219" spans="1:24" hidden="1" x14ac:dyDescent="0.25">
      <c r="A219" s="5">
        <f>_xlfn.AGGREGATE(3,3,$I$4:I219)</f>
        <v>169</v>
      </c>
      <c r="B219" s="5"/>
      <c r="C219" s="26"/>
      <c r="D219" s="10"/>
      <c r="E219" s="10"/>
      <c r="F219" s="10"/>
      <c r="G219" s="10">
        <v>10</v>
      </c>
      <c r="H219" s="10"/>
      <c r="I219" s="10"/>
      <c r="J219" s="10"/>
      <c r="K219" s="10"/>
      <c r="L219" s="10" t="str">
        <f t="shared" si="34"/>
        <v>-</v>
      </c>
      <c r="M219" s="10" t="str">
        <f>IFERROR(VLOOKUP(L219,'List+TK'!$I$3:$J$9,2,0),"-")</f>
        <v>-</v>
      </c>
      <c r="N219" s="10"/>
      <c r="O219" s="10">
        <f t="shared" si="35"/>
        <v>0</v>
      </c>
      <c r="P219" s="10" t="str">
        <f t="shared" si="42"/>
        <v>83/1022/</v>
      </c>
      <c r="Q219" s="10" t="str">
        <f t="shared" si="36"/>
        <v>- -</v>
      </c>
      <c r="R219" s="10" t="str">
        <f t="shared" si="37"/>
        <v xml:space="preserve"> - , </v>
      </c>
      <c r="S219" s="10">
        <f t="shared" si="38"/>
        <v>0</v>
      </c>
      <c r="T219" s="10" t="str">
        <f>IFERROR(VLOOKUP(J219,'List+TK'!$D$3:$E$1000,2,0),"-")</f>
        <v>-</v>
      </c>
      <c r="U219" s="10" t="str">
        <f t="shared" si="43"/>
        <v>/10/2022</v>
      </c>
      <c r="V219" s="10" t="str">
        <f>IFERROR(VLOOKUP(K219,'List+TK'!$G$3:$H$16,2,0),"-")</f>
        <v>-</v>
      </c>
      <c r="W219" s="10" t="str">
        <f t="shared" si="39"/>
        <v/>
      </c>
      <c r="X219" s="4"/>
    </row>
    <row r="220" spans="1:24" hidden="1" x14ac:dyDescent="0.25">
      <c r="A220" s="5">
        <f>_xlfn.AGGREGATE(3,3,$I$4:I220)</f>
        <v>169</v>
      </c>
      <c r="B220" s="5"/>
      <c r="C220" s="26"/>
      <c r="D220" s="10"/>
      <c r="E220" s="10"/>
      <c r="F220" s="10"/>
      <c r="G220" s="10">
        <v>10</v>
      </c>
      <c r="H220" s="10"/>
      <c r="I220" s="10"/>
      <c r="J220" s="10"/>
      <c r="K220" s="10"/>
      <c r="L220" s="10" t="str">
        <f t="shared" si="34"/>
        <v>-</v>
      </c>
      <c r="M220" s="10" t="str">
        <f>IFERROR(VLOOKUP(L220,'List+TK'!$I$3:$J$9,2,0),"-")</f>
        <v>-</v>
      </c>
      <c r="N220" s="10"/>
      <c r="O220" s="10">
        <f t="shared" si="35"/>
        <v>0</v>
      </c>
      <c r="P220" s="10" t="str">
        <f t="shared" si="42"/>
        <v>83/1022/</v>
      </c>
      <c r="Q220" s="10" t="str">
        <f t="shared" si="36"/>
        <v>- -</v>
      </c>
      <c r="R220" s="10" t="str">
        <f t="shared" si="37"/>
        <v xml:space="preserve"> - , </v>
      </c>
      <c r="S220" s="10">
        <f t="shared" si="38"/>
        <v>0</v>
      </c>
      <c r="T220" s="10" t="str">
        <f>IFERROR(VLOOKUP(J220,'List+TK'!$D$3:$E$1000,2,0),"-")</f>
        <v>-</v>
      </c>
      <c r="U220" s="10" t="str">
        <f t="shared" si="43"/>
        <v>/10/2022</v>
      </c>
      <c r="V220" s="10" t="str">
        <f>IFERROR(VLOOKUP(K220,'List+TK'!$G$3:$H$16,2,0),"-")</f>
        <v>-</v>
      </c>
      <c r="W220" s="10" t="str">
        <f t="shared" si="39"/>
        <v/>
      </c>
      <c r="X220" s="4"/>
    </row>
    <row r="221" spans="1:24" hidden="1" x14ac:dyDescent="0.25">
      <c r="A221" s="5">
        <f>_xlfn.AGGREGATE(3,3,$I$4:I221)</f>
        <v>169</v>
      </c>
      <c r="B221" s="5"/>
      <c r="C221" s="26"/>
      <c r="D221" s="10"/>
      <c r="E221" s="10"/>
      <c r="F221" s="10"/>
      <c r="G221" s="10">
        <v>10</v>
      </c>
      <c r="H221" s="10"/>
      <c r="I221" s="10"/>
      <c r="J221" s="10"/>
      <c r="K221" s="10"/>
      <c r="L221" s="10" t="str">
        <f t="shared" si="34"/>
        <v>-</v>
      </c>
      <c r="M221" s="10" t="str">
        <f>IFERROR(VLOOKUP(L221,'List+TK'!$I$3:$J$9,2,0),"-")</f>
        <v>-</v>
      </c>
      <c r="N221" s="10"/>
      <c r="O221" s="10">
        <f t="shared" si="35"/>
        <v>0</v>
      </c>
      <c r="P221" s="10" t="str">
        <f t="shared" si="42"/>
        <v>83/1022/</v>
      </c>
      <c r="Q221" s="10" t="str">
        <f t="shared" si="36"/>
        <v>- -</v>
      </c>
      <c r="R221" s="10" t="str">
        <f t="shared" si="37"/>
        <v xml:space="preserve"> - , </v>
      </c>
      <c r="S221" s="10">
        <f t="shared" si="38"/>
        <v>0</v>
      </c>
      <c r="T221" s="10" t="str">
        <f>IFERROR(VLOOKUP(J221,'List+TK'!$D$3:$E$1000,2,0),"-")</f>
        <v>-</v>
      </c>
      <c r="U221" s="10" t="str">
        <f t="shared" si="43"/>
        <v>/10/2022</v>
      </c>
      <c r="V221" s="10" t="str">
        <f>IFERROR(VLOOKUP(K221,'List+TK'!$G$3:$H$16,2,0),"-")</f>
        <v>-</v>
      </c>
      <c r="W221" s="10" t="str">
        <f t="shared" si="39"/>
        <v/>
      </c>
      <c r="X221" s="4"/>
    </row>
    <row r="222" spans="1:24" hidden="1" x14ac:dyDescent="0.25">
      <c r="A222" s="5">
        <f>_xlfn.AGGREGATE(3,3,$I$4:I222)</f>
        <v>169</v>
      </c>
      <c r="B222" s="5"/>
      <c r="C222" s="26"/>
      <c r="D222" s="10"/>
      <c r="E222" s="10"/>
      <c r="F222" s="10"/>
      <c r="G222" s="10">
        <v>10</v>
      </c>
      <c r="H222" s="10"/>
      <c r="I222" s="10"/>
      <c r="J222" s="10"/>
      <c r="K222" s="10"/>
      <c r="L222" s="10" t="str">
        <f t="shared" si="34"/>
        <v>-</v>
      </c>
      <c r="M222" s="10" t="str">
        <f>IFERROR(VLOOKUP(L222,'List+TK'!$I$3:$J$9,2,0),"-")</f>
        <v>-</v>
      </c>
      <c r="N222" s="10"/>
      <c r="O222" s="10">
        <f t="shared" si="35"/>
        <v>0</v>
      </c>
      <c r="P222" s="10" t="str">
        <f t="shared" si="42"/>
        <v>83/1022/</v>
      </c>
      <c r="Q222" s="10" t="str">
        <f t="shared" si="36"/>
        <v>- -</v>
      </c>
      <c r="R222" s="10" t="str">
        <f t="shared" si="37"/>
        <v xml:space="preserve"> - , </v>
      </c>
      <c r="S222" s="10">
        <f t="shared" si="38"/>
        <v>0</v>
      </c>
      <c r="T222" s="10" t="str">
        <f>IFERROR(VLOOKUP(J222,'List+TK'!$D$3:$E$1000,2,0),"-")</f>
        <v>-</v>
      </c>
      <c r="U222" s="10" t="str">
        <f t="shared" si="43"/>
        <v>/10/2022</v>
      </c>
      <c r="V222" s="10" t="str">
        <f>IFERROR(VLOOKUP(K222,'List+TK'!$G$3:$H$16,2,0),"-")</f>
        <v>-</v>
      </c>
      <c r="W222" s="10" t="str">
        <f t="shared" si="39"/>
        <v/>
      </c>
      <c r="X222" s="4"/>
    </row>
    <row r="223" spans="1:24" hidden="1" x14ac:dyDescent="0.25">
      <c r="A223" s="5">
        <f>_xlfn.AGGREGATE(3,3,$I$4:I223)</f>
        <v>169</v>
      </c>
      <c r="B223" s="5"/>
      <c r="C223" s="26"/>
      <c r="D223" s="10"/>
      <c r="E223" s="10"/>
      <c r="F223" s="10"/>
      <c r="G223" s="10">
        <v>10</v>
      </c>
      <c r="H223" s="10"/>
      <c r="I223" s="10"/>
      <c r="J223" s="10"/>
      <c r="K223" s="10"/>
      <c r="L223" s="10" t="str">
        <f t="shared" si="34"/>
        <v>-</v>
      </c>
      <c r="M223" s="10" t="str">
        <f>IFERROR(VLOOKUP(L223,'List+TK'!$I$3:$J$9,2,0),"-")</f>
        <v>-</v>
      </c>
      <c r="N223" s="10"/>
      <c r="O223" s="10">
        <f t="shared" si="35"/>
        <v>0</v>
      </c>
      <c r="P223" s="10" t="str">
        <f t="shared" si="42"/>
        <v>83/1022/</v>
      </c>
      <c r="Q223" s="10" t="str">
        <f t="shared" si="36"/>
        <v>- -</v>
      </c>
      <c r="R223" s="10" t="str">
        <f t="shared" si="37"/>
        <v xml:space="preserve"> - , </v>
      </c>
      <c r="S223" s="10">
        <f t="shared" si="38"/>
        <v>0</v>
      </c>
      <c r="T223" s="10" t="str">
        <f>IFERROR(VLOOKUP(J223,'List+TK'!$D$3:$E$1000,2,0),"-")</f>
        <v>-</v>
      </c>
      <c r="U223" s="10" t="str">
        <f t="shared" si="43"/>
        <v>/10/2022</v>
      </c>
      <c r="V223" s="10" t="str">
        <f>IFERROR(VLOOKUP(K223,'List+TK'!$G$3:$H$16,2,0),"-")</f>
        <v>-</v>
      </c>
      <c r="W223" s="10" t="str">
        <f t="shared" si="39"/>
        <v/>
      </c>
      <c r="X223" s="4"/>
    </row>
    <row r="224" spans="1:24" hidden="1" x14ac:dyDescent="0.25">
      <c r="A224" s="5">
        <f>_xlfn.AGGREGATE(3,3,$I$4:I224)</f>
        <v>169</v>
      </c>
      <c r="B224" s="5"/>
      <c r="C224" s="26"/>
      <c r="D224" s="10"/>
      <c r="E224" s="10"/>
      <c r="F224" s="10"/>
      <c r="G224" s="10">
        <v>10</v>
      </c>
      <c r="H224" s="10"/>
      <c r="I224" s="10"/>
      <c r="J224" s="10"/>
      <c r="K224" s="10"/>
      <c r="L224" s="10" t="str">
        <f t="shared" si="34"/>
        <v>-</v>
      </c>
      <c r="M224" s="10" t="str">
        <f>IFERROR(VLOOKUP(L224,'List+TK'!$I$3:$J$9,2,0),"-")</f>
        <v>-</v>
      </c>
      <c r="N224" s="10"/>
      <c r="O224" s="10">
        <f t="shared" si="35"/>
        <v>0</v>
      </c>
      <c r="P224" s="10" t="str">
        <f t="shared" si="42"/>
        <v>83/1022/</v>
      </c>
      <c r="Q224" s="10" t="str">
        <f t="shared" si="36"/>
        <v>- -</v>
      </c>
      <c r="R224" s="10" t="str">
        <f t="shared" si="37"/>
        <v xml:space="preserve"> - , </v>
      </c>
      <c r="S224" s="10">
        <f t="shared" si="38"/>
        <v>0</v>
      </c>
      <c r="T224" s="10" t="str">
        <f>IFERROR(VLOOKUP(J224,'List+TK'!$D$3:$E$1000,2,0),"-")</f>
        <v>-</v>
      </c>
      <c r="U224" s="10" t="str">
        <f t="shared" si="43"/>
        <v>/10/2022</v>
      </c>
      <c r="V224" s="10" t="str">
        <f>IFERROR(VLOOKUP(K224,'List+TK'!$G$3:$H$16,2,0),"-")</f>
        <v>-</v>
      </c>
      <c r="W224" s="10" t="str">
        <f t="shared" si="39"/>
        <v/>
      </c>
      <c r="X224" s="4"/>
    </row>
    <row r="225" spans="1:24" hidden="1" x14ac:dyDescent="0.25">
      <c r="A225" s="5">
        <f>_xlfn.AGGREGATE(3,3,$I$4:I225)</f>
        <v>169</v>
      </c>
      <c r="B225" s="5"/>
      <c r="C225" s="26"/>
      <c r="D225" s="10"/>
      <c r="E225" s="10"/>
      <c r="F225" s="10"/>
      <c r="G225" s="10">
        <v>10</v>
      </c>
      <c r="H225" s="10"/>
      <c r="I225" s="10"/>
      <c r="J225" s="10"/>
      <c r="K225" s="10"/>
      <c r="L225" s="10" t="str">
        <f t="shared" si="34"/>
        <v>-</v>
      </c>
      <c r="M225" s="10" t="str">
        <f>IFERROR(VLOOKUP(L225,'List+TK'!$I$3:$J$9,2,0),"-")</f>
        <v>-</v>
      </c>
      <c r="N225" s="10"/>
      <c r="O225" s="10">
        <f t="shared" si="35"/>
        <v>0</v>
      </c>
      <c r="P225" s="10" t="str">
        <f t="shared" si="42"/>
        <v>83/1022/</v>
      </c>
      <c r="Q225" s="10" t="str">
        <f t="shared" si="36"/>
        <v>- -</v>
      </c>
      <c r="R225" s="10" t="str">
        <f t="shared" si="37"/>
        <v xml:space="preserve"> - , </v>
      </c>
      <c r="S225" s="10">
        <f t="shared" si="38"/>
        <v>0</v>
      </c>
      <c r="T225" s="10" t="str">
        <f>IFERROR(VLOOKUP(J225,'List+TK'!$D$3:$E$1000,2,0),"-")</f>
        <v>-</v>
      </c>
      <c r="U225" s="10" t="str">
        <f t="shared" si="43"/>
        <v>/10/2022</v>
      </c>
      <c r="V225" s="10" t="str">
        <f>IFERROR(VLOOKUP(K225,'List+TK'!$G$3:$H$16,2,0),"-")</f>
        <v>-</v>
      </c>
      <c r="W225" s="10" t="str">
        <f t="shared" si="39"/>
        <v/>
      </c>
      <c r="X225" s="4"/>
    </row>
    <row r="226" spans="1:24" hidden="1" x14ac:dyDescent="0.25">
      <c r="A226" s="5">
        <f>_xlfn.AGGREGATE(3,3,$I$4:I226)</f>
        <v>169</v>
      </c>
      <c r="B226" s="5"/>
      <c r="C226" s="26"/>
      <c r="D226" s="10"/>
      <c r="E226" s="10"/>
      <c r="F226" s="10"/>
      <c r="G226" s="10">
        <v>10</v>
      </c>
      <c r="H226" s="10"/>
      <c r="I226" s="10"/>
      <c r="J226" s="10"/>
      <c r="K226" s="10"/>
      <c r="L226" s="10" t="str">
        <f t="shared" si="34"/>
        <v>-</v>
      </c>
      <c r="M226" s="10" t="str">
        <f>IFERROR(VLOOKUP(L226,'List+TK'!$I$3:$J$9,2,0),"-")</f>
        <v>-</v>
      </c>
      <c r="N226" s="10"/>
      <c r="O226" s="10">
        <f t="shared" si="35"/>
        <v>0</v>
      </c>
      <c r="P226" s="10" t="str">
        <f t="shared" si="42"/>
        <v>83/1022/</v>
      </c>
      <c r="Q226" s="10" t="str">
        <f t="shared" si="36"/>
        <v>- -</v>
      </c>
      <c r="R226" s="10" t="str">
        <f t="shared" si="37"/>
        <v xml:space="preserve"> - , </v>
      </c>
      <c r="S226" s="10">
        <f t="shared" si="38"/>
        <v>0</v>
      </c>
      <c r="T226" s="10" t="str">
        <f>IFERROR(VLOOKUP(J226,'List+TK'!$D$3:$E$1000,2,0),"-")</f>
        <v>-</v>
      </c>
      <c r="U226" s="10" t="str">
        <f t="shared" si="43"/>
        <v>/10/2022</v>
      </c>
      <c r="V226" s="10" t="str">
        <f>IFERROR(VLOOKUP(K226,'List+TK'!$G$3:$H$16,2,0),"-")</f>
        <v>-</v>
      </c>
      <c r="W226" s="10" t="str">
        <f t="shared" si="39"/>
        <v/>
      </c>
      <c r="X226" s="4"/>
    </row>
    <row r="227" spans="1:24" hidden="1" x14ac:dyDescent="0.25">
      <c r="A227" s="5">
        <f>_xlfn.AGGREGATE(3,3,$I$4:I227)</f>
        <v>169</v>
      </c>
      <c r="B227" s="5"/>
      <c r="C227" s="26"/>
      <c r="D227" s="10"/>
      <c r="E227" s="10"/>
      <c r="F227" s="10"/>
      <c r="G227" s="10">
        <v>10</v>
      </c>
      <c r="H227" s="10"/>
      <c r="I227" s="10"/>
      <c r="J227" s="10"/>
      <c r="K227" s="10"/>
      <c r="L227" s="10" t="str">
        <f t="shared" si="34"/>
        <v>-</v>
      </c>
      <c r="M227" s="10" t="str">
        <f>IFERROR(VLOOKUP(L227,'List+TK'!$I$3:$J$9,2,0),"-")</f>
        <v>-</v>
      </c>
      <c r="N227" s="10"/>
      <c r="O227" s="10">
        <f t="shared" si="35"/>
        <v>0</v>
      </c>
      <c r="P227" s="10" t="str">
        <f t="shared" si="42"/>
        <v>83/1022/</v>
      </c>
      <c r="Q227" s="10" t="str">
        <f t="shared" si="36"/>
        <v>- -</v>
      </c>
      <c r="R227" s="10" t="str">
        <f t="shared" si="37"/>
        <v xml:space="preserve"> - , </v>
      </c>
      <c r="S227" s="10">
        <f t="shared" si="38"/>
        <v>0</v>
      </c>
      <c r="T227" s="10" t="str">
        <f>IFERROR(VLOOKUP(J227,'List+TK'!$D$3:$E$1000,2,0),"-")</f>
        <v>-</v>
      </c>
      <c r="U227" s="10" t="str">
        <f t="shared" si="43"/>
        <v>/10/2022</v>
      </c>
      <c r="V227" s="10" t="str">
        <f>IFERROR(VLOOKUP(K227,'List+TK'!$G$3:$H$16,2,0),"-")</f>
        <v>-</v>
      </c>
      <c r="W227" s="10" t="str">
        <f t="shared" si="39"/>
        <v/>
      </c>
      <c r="X227" s="4"/>
    </row>
    <row r="228" spans="1:24" hidden="1" x14ac:dyDescent="0.25">
      <c r="A228" s="5">
        <f>_xlfn.AGGREGATE(3,3,$I$4:I228)</f>
        <v>169</v>
      </c>
      <c r="B228" s="5"/>
      <c r="C228" s="26"/>
      <c r="D228" s="10"/>
      <c r="E228" s="10"/>
      <c r="F228" s="10"/>
      <c r="G228" s="10">
        <v>10</v>
      </c>
      <c r="H228" s="10"/>
      <c r="I228" s="10"/>
      <c r="J228" s="10"/>
      <c r="K228" s="10"/>
      <c r="L228" s="10" t="str">
        <f t="shared" si="34"/>
        <v>-</v>
      </c>
      <c r="M228" s="10" t="str">
        <f>IFERROR(VLOOKUP(L228,'List+TK'!$I$3:$J$9,2,0),"-")</f>
        <v>-</v>
      </c>
      <c r="N228" s="10"/>
      <c r="O228" s="10">
        <f t="shared" si="35"/>
        <v>0</v>
      </c>
      <c r="P228" s="10" t="str">
        <f t="shared" si="42"/>
        <v>83/1022/</v>
      </c>
      <c r="Q228" s="10" t="str">
        <f t="shared" si="36"/>
        <v>- -</v>
      </c>
      <c r="R228" s="10" t="str">
        <f t="shared" si="37"/>
        <v xml:space="preserve"> - , </v>
      </c>
      <c r="S228" s="10">
        <f t="shared" si="38"/>
        <v>0</v>
      </c>
      <c r="T228" s="10" t="str">
        <f>IFERROR(VLOOKUP(J228,'List+TK'!$D$3:$E$1000,2,0),"-")</f>
        <v>-</v>
      </c>
      <c r="U228" s="10" t="str">
        <f t="shared" si="43"/>
        <v>/10/2022</v>
      </c>
      <c r="V228" s="10" t="str">
        <f>IFERROR(VLOOKUP(K228,'List+TK'!$G$3:$H$16,2,0),"-")</f>
        <v>-</v>
      </c>
      <c r="W228" s="10" t="str">
        <f t="shared" si="39"/>
        <v/>
      </c>
      <c r="X228" s="4"/>
    </row>
    <row r="229" spans="1:24" hidden="1" x14ac:dyDescent="0.25">
      <c r="A229" s="5">
        <f>_xlfn.AGGREGATE(3,3,$I$4:I229)</f>
        <v>169</v>
      </c>
      <c r="B229" s="5"/>
      <c r="C229" s="26"/>
      <c r="D229" s="10"/>
      <c r="E229" s="10"/>
      <c r="F229" s="10"/>
      <c r="G229" s="10">
        <v>10</v>
      </c>
      <c r="H229" s="10"/>
      <c r="I229" s="10"/>
      <c r="J229" s="10"/>
      <c r="K229" s="10"/>
      <c r="L229" s="10" t="str">
        <f t="shared" si="34"/>
        <v>-</v>
      </c>
      <c r="M229" s="10" t="str">
        <f>IFERROR(VLOOKUP(L229,'List+TK'!$I$3:$J$9,2,0),"-")</f>
        <v>-</v>
      </c>
      <c r="N229" s="10"/>
      <c r="O229" s="10">
        <f t="shared" si="35"/>
        <v>0</v>
      </c>
      <c r="P229" s="10" t="str">
        <f t="shared" si="42"/>
        <v>83/1022/</v>
      </c>
      <c r="Q229" s="10" t="str">
        <f t="shared" si="36"/>
        <v>- -</v>
      </c>
      <c r="R229" s="10" t="str">
        <f t="shared" si="37"/>
        <v xml:space="preserve"> - , </v>
      </c>
      <c r="S229" s="10">
        <f t="shared" si="38"/>
        <v>0</v>
      </c>
      <c r="T229" s="10" t="str">
        <f>IFERROR(VLOOKUP(J229,'List+TK'!$D$3:$E$1000,2,0),"-")</f>
        <v>-</v>
      </c>
      <c r="U229" s="10" t="str">
        <f t="shared" si="43"/>
        <v>/10/2022</v>
      </c>
      <c r="V229" s="10" t="str">
        <f>IFERROR(VLOOKUP(K229,'List+TK'!$G$3:$H$16,2,0),"-")</f>
        <v>-</v>
      </c>
      <c r="W229" s="10" t="str">
        <f t="shared" si="39"/>
        <v/>
      </c>
      <c r="X229" s="4"/>
    </row>
    <row r="230" spans="1:24" hidden="1" x14ac:dyDescent="0.25">
      <c r="A230" s="5">
        <f>_xlfn.AGGREGATE(3,3,$I$4:I230)</f>
        <v>169</v>
      </c>
      <c r="B230" s="5"/>
      <c r="C230" s="26"/>
      <c r="D230" s="10"/>
      <c r="E230" s="10"/>
      <c r="F230" s="10"/>
      <c r="G230" s="10">
        <v>10</v>
      </c>
      <c r="H230" s="10"/>
      <c r="I230" s="10"/>
      <c r="J230" s="10"/>
      <c r="K230" s="10"/>
      <c r="L230" s="10" t="str">
        <f t="shared" si="34"/>
        <v>-</v>
      </c>
      <c r="M230" s="10" t="str">
        <f>IFERROR(VLOOKUP(L230,'List+TK'!$I$3:$J$9,2,0),"-")</f>
        <v>-</v>
      </c>
      <c r="N230" s="10"/>
      <c r="O230" s="10">
        <f t="shared" si="35"/>
        <v>0</v>
      </c>
      <c r="P230" s="10" t="str">
        <f t="shared" si="42"/>
        <v>83/1022/</v>
      </c>
      <c r="Q230" s="10" t="str">
        <f t="shared" si="36"/>
        <v>- -</v>
      </c>
      <c r="R230" s="10" t="str">
        <f t="shared" si="37"/>
        <v xml:space="preserve"> - , </v>
      </c>
      <c r="S230" s="10">
        <f t="shared" si="38"/>
        <v>0</v>
      </c>
      <c r="T230" s="10" t="str">
        <f>IFERROR(VLOOKUP(J230,'List+TK'!$D$3:$E$1000,2,0),"-")</f>
        <v>-</v>
      </c>
      <c r="U230" s="10" t="str">
        <f t="shared" si="43"/>
        <v>/10/2022</v>
      </c>
      <c r="V230" s="10" t="str">
        <f>IFERROR(VLOOKUP(K230,'List+TK'!$G$3:$H$16,2,0),"-")</f>
        <v>-</v>
      </c>
      <c r="W230" s="10" t="str">
        <f t="shared" si="39"/>
        <v/>
      </c>
      <c r="X230" s="4"/>
    </row>
    <row r="231" spans="1:24" hidden="1" x14ac:dyDescent="0.25">
      <c r="A231" s="5">
        <f>_xlfn.AGGREGATE(3,3,$I$4:I231)</f>
        <v>169</v>
      </c>
      <c r="B231" s="5"/>
      <c r="C231" s="26"/>
      <c r="D231" s="10"/>
      <c r="E231" s="10"/>
      <c r="F231" s="10"/>
      <c r="G231" s="10">
        <v>10</v>
      </c>
      <c r="H231" s="10"/>
      <c r="I231" s="10"/>
      <c r="J231" s="10"/>
      <c r="K231" s="10"/>
      <c r="L231" s="10" t="str">
        <f t="shared" si="34"/>
        <v>-</v>
      </c>
      <c r="M231" s="10" t="str">
        <f>IFERROR(VLOOKUP(L231,'List+TK'!$I$3:$J$9,2,0),"-")</f>
        <v>-</v>
      </c>
      <c r="N231" s="10"/>
      <c r="O231" s="10">
        <f t="shared" si="35"/>
        <v>0</v>
      </c>
      <c r="P231" s="10" t="str">
        <f t="shared" si="42"/>
        <v>83/1022/</v>
      </c>
      <c r="Q231" s="10" t="str">
        <f t="shared" si="36"/>
        <v>- -</v>
      </c>
      <c r="R231" s="10" t="str">
        <f t="shared" si="37"/>
        <v xml:space="preserve"> - , </v>
      </c>
      <c r="S231" s="10">
        <f t="shared" si="38"/>
        <v>0</v>
      </c>
      <c r="T231" s="10" t="str">
        <f>IFERROR(VLOOKUP(J231,'List+TK'!$D$3:$E$1000,2,0),"-")</f>
        <v>-</v>
      </c>
      <c r="U231" s="10" t="str">
        <f t="shared" si="43"/>
        <v>/10/2022</v>
      </c>
      <c r="V231" s="10" t="str">
        <f>IFERROR(VLOOKUP(K231,'List+TK'!$G$3:$H$16,2,0),"-")</f>
        <v>-</v>
      </c>
      <c r="W231" s="10" t="str">
        <f t="shared" si="39"/>
        <v/>
      </c>
      <c r="X231" s="4"/>
    </row>
    <row r="232" spans="1:24" hidden="1" x14ac:dyDescent="0.25">
      <c r="A232" s="5">
        <f>_xlfn.AGGREGATE(3,3,$I$4:I232)</f>
        <v>169</v>
      </c>
      <c r="B232" s="5"/>
      <c r="C232" s="26"/>
      <c r="D232" s="10"/>
      <c r="E232" s="10"/>
      <c r="F232" s="10"/>
      <c r="G232" s="10">
        <v>10</v>
      </c>
      <c r="H232" s="10"/>
      <c r="I232" s="10"/>
      <c r="J232" s="10"/>
      <c r="K232" s="10"/>
      <c r="L232" s="10" t="str">
        <f t="shared" si="34"/>
        <v>-</v>
      </c>
      <c r="M232" s="10" t="str">
        <f>IFERROR(VLOOKUP(L232,'List+TK'!$I$3:$J$9,2,0),"-")</f>
        <v>-</v>
      </c>
      <c r="N232" s="10"/>
      <c r="O232" s="10">
        <f t="shared" si="35"/>
        <v>0</v>
      </c>
      <c r="P232" s="10" t="str">
        <f t="shared" si="42"/>
        <v>83/1022/</v>
      </c>
      <c r="Q232" s="10" t="str">
        <f t="shared" si="36"/>
        <v>- -</v>
      </c>
      <c r="R232" s="10" t="str">
        <f t="shared" si="37"/>
        <v xml:space="preserve"> - , </v>
      </c>
      <c r="S232" s="10">
        <f t="shared" si="38"/>
        <v>0</v>
      </c>
      <c r="T232" s="10" t="str">
        <f>IFERROR(VLOOKUP(J232,'List+TK'!$D$3:$E$1000,2,0),"-")</f>
        <v>-</v>
      </c>
      <c r="U232" s="10" t="str">
        <f t="shared" si="43"/>
        <v>/10/2022</v>
      </c>
      <c r="V232" s="10" t="str">
        <f>IFERROR(VLOOKUP(K232,'List+TK'!$G$3:$H$16,2,0),"-")</f>
        <v>-</v>
      </c>
      <c r="W232" s="10" t="str">
        <f t="shared" si="39"/>
        <v/>
      </c>
      <c r="X232" s="4"/>
    </row>
    <row r="233" spans="1:24" hidden="1" x14ac:dyDescent="0.25">
      <c r="A233" s="5">
        <f>_xlfn.AGGREGATE(3,3,$I$4:I233)</f>
        <v>169</v>
      </c>
      <c r="B233" s="5"/>
      <c r="C233" s="26"/>
      <c r="D233" s="10"/>
      <c r="E233" s="10"/>
      <c r="F233" s="10"/>
      <c r="G233" s="10">
        <v>10</v>
      </c>
      <c r="H233" s="10"/>
      <c r="I233" s="10"/>
      <c r="J233" s="10"/>
      <c r="K233" s="10"/>
      <c r="L233" s="10" t="str">
        <f t="shared" si="34"/>
        <v>-</v>
      </c>
      <c r="M233" s="10" t="str">
        <f>IFERROR(VLOOKUP(L233,'List+TK'!$I$3:$J$9,2,0),"-")</f>
        <v>-</v>
      </c>
      <c r="N233" s="10"/>
      <c r="O233" s="10">
        <f t="shared" si="35"/>
        <v>0</v>
      </c>
      <c r="P233" s="10" t="str">
        <f t="shared" si="42"/>
        <v>83/1022/</v>
      </c>
      <c r="Q233" s="10" t="str">
        <f t="shared" si="36"/>
        <v>- -</v>
      </c>
      <c r="R233" s="10" t="str">
        <f t="shared" si="37"/>
        <v xml:space="preserve"> - , </v>
      </c>
      <c r="S233" s="10">
        <f t="shared" si="38"/>
        <v>0</v>
      </c>
      <c r="T233" s="10" t="str">
        <f>IFERROR(VLOOKUP(J233,'List+TK'!$D$3:$E$1000,2,0),"-")</f>
        <v>-</v>
      </c>
      <c r="U233" s="10" t="str">
        <f t="shared" si="43"/>
        <v>/10/2022</v>
      </c>
      <c r="V233" s="10" t="str">
        <f>IFERROR(VLOOKUP(K233,'List+TK'!$G$3:$H$16,2,0),"-")</f>
        <v>-</v>
      </c>
      <c r="W233" s="10" t="str">
        <f t="shared" si="39"/>
        <v/>
      </c>
      <c r="X233" s="4"/>
    </row>
    <row r="234" spans="1:24" hidden="1" x14ac:dyDescent="0.25">
      <c r="A234" s="5">
        <f>_xlfn.AGGREGATE(3,3,$I$4:I234)</f>
        <v>169</v>
      </c>
      <c r="B234" s="5"/>
      <c r="C234" s="26"/>
      <c r="D234" s="10"/>
      <c r="E234" s="10"/>
      <c r="F234" s="10"/>
      <c r="G234" s="10">
        <v>10</v>
      </c>
      <c r="H234" s="10"/>
      <c r="I234" s="10"/>
      <c r="J234" s="10"/>
      <c r="K234" s="10"/>
      <c r="L234" s="10" t="str">
        <f t="shared" si="34"/>
        <v>-</v>
      </c>
      <c r="M234" s="10" t="str">
        <f>IFERROR(VLOOKUP(L234,'List+TK'!$I$3:$J$9,2,0),"-")</f>
        <v>-</v>
      </c>
      <c r="N234" s="10"/>
      <c r="O234" s="10">
        <f t="shared" si="35"/>
        <v>0</v>
      </c>
      <c r="P234" s="10" t="str">
        <f t="shared" si="42"/>
        <v>83/1022/</v>
      </c>
      <c r="Q234" s="10" t="str">
        <f t="shared" si="36"/>
        <v>- -</v>
      </c>
      <c r="R234" s="10" t="str">
        <f t="shared" si="37"/>
        <v xml:space="preserve"> - , </v>
      </c>
      <c r="S234" s="10">
        <f t="shared" si="38"/>
        <v>0</v>
      </c>
      <c r="T234" s="10" t="str">
        <f>IFERROR(VLOOKUP(J234,'List+TK'!$D$3:$E$1000,2,0),"-")</f>
        <v>-</v>
      </c>
      <c r="U234" s="10" t="str">
        <f t="shared" si="43"/>
        <v>/10/2022</v>
      </c>
      <c r="V234" s="10" t="str">
        <f>IFERROR(VLOOKUP(K234,'List+TK'!$G$3:$H$16,2,0),"-")</f>
        <v>-</v>
      </c>
      <c r="W234" s="10" t="str">
        <f t="shared" si="39"/>
        <v/>
      </c>
      <c r="X234" s="4"/>
    </row>
    <row r="235" spans="1:24" hidden="1" x14ac:dyDescent="0.25">
      <c r="A235" s="5">
        <f>_xlfn.AGGREGATE(3,3,$I$4:I235)</f>
        <v>169</v>
      </c>
      <c r="B235" s="5"/>
      <c r="C235" s="26"/>
      <c r="D235" s="10"/>
      <c r="E235" s="10"/>
      <c r="F235" s="10"/>
      <c r="G235" s="10">
        <v>10</v>
      </c>
      <c r="H235" s="10"/>
      <c r="I235" s="10"/>
      <c r="J235" s="10"/>
      <c r="K235" s="10"/>
      <c r="L235" s="10" t="str">
        <f t="shared" si="34"/>
        <v>-</v>
      </c>
      <c r="M235" s="10" t="str">
        <f>IFERROR(VLOOKUP(L235,'List+TK'!$I$3:$J$9,2,0),"-")</f>
        <v>-</v>
      </c>
      <c r="N235" s="10"/>
      <c r="O235" s="10">
        <f t="shared" si="35"/>
        <v>0</v>
      </c>
      <c r="P235" s="10" t="str">
        <f t="shared" si="42"/>
        <v>83/1022/</v>
      </c>
      <c r="Q235" s="10" t="str">
        <f t="shared" si="36"/>
        <v>- -</v>
      </c>
      <c r="R235" s="10" t="str">
        <f t="shared" si="37"/>
        <v xml:space="preserve"> - , </v>
      </c>
      <c r="S235" s="10">
        <f t="shared" si="38"/>
        <v>0</v>
      </c>
      <c r="T235" s="10" t="str">
        <f>IFERROR(VLOOKUP(J235,'List+TK'!$D$3:$E$1000,2,0),"-")</f>
        <v>-</v>
      </c>
      <c r="U235" s="10" t="str">
        <f t="shared" si="43"/>
        <v>/10/2022</v>
      </c>
      <c r="V235" s="10" t="str">
        <f>IFERROR(VLOOKUP(K235,'List+TK'!$G$3:$H$16,2,0),"-")</f>
        <v>-</v>
      </c>
      <c r="W235" s="10" t="str">
        <f t="shared" si="39"/>
        <v/>
      </c>
      <c r="X235" s="4"/>
    </row>
    <row r="236" spans="1:24" hidden="1" x14ac:dyDescent="0.25">
      <c r="A236" s="5">
        <f>_xlfn.AGGREGATE(3,3,$I$4:I236)</f>
        <v>169</v>
      </c>
      <c r="B236" s="5"/>
      <c r="C236" s="26"/>
      <c r="D236" s="10"/>
      <c r="E236" s="10"/>
      <c r="F236" s="10"/>
      <c r="G236" s="10">
        <v>10</v>
      </c>
      <c r="H236" s="10"/>
      <c r="I236" s="10"/>
      <c r="J236" s="10"/>
      <c r="K236" s="10"/>
      <c r="L236" s="10" t="str">
        <f t="shared" si="34"/>
        <v>-</v>
      </c>
      <c r="M236" s="10" t="str">
        <f>IFERROR(VLOOKUP(L236,'List+TK'!$I$3:$J$9,2,0),"-")</f>
        <v>-</v>
      </c>
      <c r="N236" s="10"/>
      <c r="O236" s="10">
        <f t="shared" si="35"/>
        <v>0</v>
      </c>
      <c r="P236" s="10" t="str">
        <f t="shared" si="42"/>
        <v>83/1022/</v>
      </c>
      <c r="Q236" s="10" t="str">
        <f t="shared" si="36"/>
        <v>- -</v>
      </c>
      <c r="R236" s="10" t="str">
        <f t="shared" si="37"/>
        <v xml:space="preserve"> - , </v>
      </c>
      <c r="S236" s="10">
        <f t="shared" si="38"/>
        <v>0</v>
      </c>
      <c r="T236" s="10" t="str">
        <f>IFERROR(VLOOKUP(J236,'List+TK'!$D$3:$E$1000,2,0),"-")</f>
        <v>-</v>
      </c>
      <c r="U236" s="10" t="str">
        <f t="shared" si="43"/>
        <v>/10/2022</v>
      </c>
      <c r="V236" s="10" t="str">
        <f>IFERROR(VLOOKUP(K236,'List+TK'!$G$3:$H$16,2,0),"-")</f>
        <v>-</v>
      </c>
      <c r="W236" s="10" t="str">
        <f t="shared" si="39"/>
        <v/>
      </c>
      <c r="X236" s="4"/>
    </row>
    <row r="237" spans="1:24" hidden="1" x14ac:dyDescent="0.25">
      <c r="A237" s="5">
        <f>_xlfn.AGGREGATE(3,3,$I$4:I237)</f>
        <v>169</v>
      </c>
      <c r="B237" s="5"/>
      <c r="C237" s="26"/>
      <c r="D237" s="10"/>
      <c r="E237" s="10"/>
      <c r="F237" s="10"/>
      <c r="G237" s="10">
        <v>10</v>
      </c>
      <c r="H237" s="10"/>
      <c r="I237" s="10"/>
      <c r="J237" s="10"/>
      <c r="K237" s="10"/>
      <c r="L237" s="10" t="str">
        <f t="shared" si="34"/>
        <v>-</v>
      </c>
      <c r="M237" s="10" t="str">
        <f>IFERROR(VLOOKUP(L237,'List+TK'!$I$3:$J$9,2,0),"-")</f>
        <v>-</v>
      </c>
      <c r="N237" s="10"/>
      <c r="O237" s="10">
        <f t="shared" si="35"/>
        <v>0</v>
      </c>
      <c r="P237" s="10" t="str">
        <f t="shared" si="42"/>
        <v>83/1022/</v>
      </c>
      <c r="Q237" s="10" t="str">
        <f t="shared" si="36"/>
        <v>- -</v>
      </c>
      <c r="R237" s="10" t="str">
        <f t="shared" si="37"/>
        <v xml:space="preserve"> - , </v>
      </c>
      <c r="S237" s="10">
        <f t="shared" si="38"/>
        <v>0</v>
      </c>
      <c r="T237" s="10" t="str">
        <f>IFERROR(VLOOKUP(J237,'List+TK'!$D$3:$E$1000,2,0),"-")</f>
        <v>-</v>
      </c>
      <c r="U237" s="10" t="str">
        <f t="shared" si="43"/>
        <v>/10/2022</v>
      </c>
      <c r="V237" s="10" t="str">
        <f>IFERROR(VLOOKUP(K237,'List+TK'!$G$3:$H$16,2,0),"-")</f>
        <v>-</v>
      </c>
      <c r="W237" s="10" t="str">
        <f t="shared" si="39"/>
        <v/>
      </c>
      <c r="X237" s="4"/>
    </row>
    <row r="238" spans="1:24" hidden="1" x14ac:dyDescent="0.25">
      <c r="A238" s="5">
        <f>_xlfn.AGGREGATE(3,3,$I$4:I238)</f>
        <v>169</v>
      </c>
      <c r="B238" s="5"/>
      <c r="C238" s="26"/>
      <c r="D238" s="10"/>
      <c r="E238" s="10"/>
      <c r="F238" s="10"/>
      <c r="G238" s="10">
        <v>10</v>
      </c>
      <c r="H238" s="10"/>
      <c r="I238" s="10"/>
      <c r="J238" s="10"/>
      <c r="K238" s="10"/>
      <c r="L238" s="10" t="str">
        <f t="shared" si="34"/>
        <v>-</v>
      </c>
      <c r="M238" s="10" t="str">
        <f>IFERROR(VLOOKUP(L238,'List+TK'!$I$3:$J$9,2,0),"-")</f>
        <v>-</v>
      </c>
      <c r="N238" s="10"/>
      <c r="O238" s="10">
        <f t="shared" si="35"/>
        <v>0</v>
      </c>
      <c r="P238" s="10" t="str">
        <f t="shared" si="42"/>
        <v>83/1022/</v>
      </c>
      <c r="Q238" s="10" t="str">
        <f t="shared" si="36"/>
        <v>- -</v>
      </c>
      <c r="R238" s="10" t="str">
        <f t="shared" si="37"/>
        <v xml:space="preserve"> - , </v>
      </c>
      <c r="S238" s="10">
        <f t="shared" si="38"/>
        <v>0</v>
      </c>
      <c r="T238" s="10" t="str">
        <f>IFERROR(VLOOKUP(J238,'List+TK'!$D$3:$E$1000,2,0),"-")</f>
        <v>-</v>
      </c>
      <c r="U238" s="10" t="str">
        <f t="shared" si="43"/>
        <v>/10/2022</v>
      </c>
      <c r="V238" s="10" t="str">
        <f>IFERROR(VLOOKUP(K238,'List+TK'!$G$3:$H$16,2,0),"-")</f>
        <v>-</v>
      </c>
      <c r="W238" s="10" t="str">
        <f t="shared" si="39"/>
        <v/>
      </c>
      <c r="X238" s="4"/>
    </row>
    <row r="239" spans="1:24" hidden="1" x14ac:dyDescent="0.25">
      <c r="A239" s="5">
        <f>_xlfn.AGGREGATE(3,3,$I$4:I239)</f>
        <v>169</v>
      </c>
      <c r="B239" s="5"/>
      <c r="C239" s="26"/>
      <c r="D239" s="10"/>
      <c r="E239" s="10"/>
      <c r="F239" s="10"/>
      <c r="G239" s="10">
        <v>10</v>
      </c>
      <c r="H239" s="10"/>
      <c r="I239" s="10"/>
      <c r="J239" s="10"/>
      <c r="K239" s="10"/>
      <c r="L239" s="10" t="str">
        <f t="shared" si="34"/>
        <v>-</v>
      </c>
      <c r="M239" s="10" t="str">
        <f>IFERROR(VLOOKUP(L239,'List+TK'!$I$3:$J$9,2,0),"-")</f>
        <v>-</v>
      </c>
      <c r="N239" s="10"/>
      <c r="O239" s="10">
        <f t="shared" si="35"/>
        <v>0</v>
      </c>
      <c r="P239" s="10" t="str">
        <f t="shared" si="42"/>
        <v>83/1022/</v>
      </c>
      <c r="Q239" s="10" t="str">
        <f t="shared" si="36"/>
        <v>- -</v>
      </c>
      <c r="R239" s="10" t="str">
        <f t="shared" si="37"/>
        <v xml:space="preserve"> - , </v>
      </c>
      <c r="S239" s="10">
        <f t="shared" si="38"/>
        <v>0</v>
      </c>
      <c r="T239" s="10" t="str">
        <f>IFERROR(VLOOKUP(J239,'List+TK'!$D$3:$E$1000,2,0),"-")</f>
        <v>-</v>
      </c>
      <c r="U239" s="10" t="str">
        <f t="shared" si="43"/>
        <v>/10/2022</v>
      </c>
      <c r="V239" s="10" t="str">
        <f>IFERROR(VLOOKUP(K239,'List+TK'!$G$3:$H$16,2,0),"-")</f>
        <v>-</v>
      </c>
      <c r="W239" s="10" t="str">
        <f t="shared" si="39"/>
        <v/>
      </c>
      <c r="X239" s="4"/>
    </row>
    <row r="240" spans="1:24" hidden="1" x14ac:dyDescent="0.25">
      <c r="A240" s="5">
        <f>_xlfn.AGGREGATE(3,3,$I$4:I240)</f>
        <v>169</v>
      </c>
      <c r="B240" s="5"/>
      <c r="C240" s="26"/>
      <c r="D240" s="10"/>
      <c r="E240" s="10"/>
      <c r="F240" s="10"/>
      <c r="G240" s="10">
        <v>10</v>
      </c>
      <c r="H240" s="10"/>
      <c r="I240" s="10"/>
      <c r="J240" s="10"/>
      <c r="K240" s="10"/>
      <c r="L240" s="10" t="str">
        <f t="shared" si="34"/>
        <v>-</v>
      </c>
      <c r="M240" s="10" t="str">
        <f>IFERROR(VLOOKUP(L240,'List+TK'!$I$3:$J$9,2,0),"-")</f>
        <v>-</v>
      </c>
      <c r="N240" s="10"/>
      <c r="O240" s="10">
        <f t="shared" si="35"/>
        <v>0</v>
      </c>
      <c r="P240" s="10" t="str">
        <f t="shared" si="42"/>
        <v>83/1022/</v>
      </c>
      <c r="Q240" s="10" t="str">
        <f t="shared" si="36"/>
        <v>- -</v>
      </c>
      <c r="R240" s="10" t="str">
        <f t="shared" si="37"/>
        <v xml:space="preserve"> - , </v>
      </c>
      <c r="S240" s="10">
        <f t="shared" si="38"/>
        <v>0</v>
      </c>
      <c r="T240" s="10" t="str">
        <f>IFERROR(VLOOKUP(J240,'List+TK'!$D$3:$E$1000,2,0),"-")</f>
        <v>-</v>
      </c>
      <c r="U240" s="10" t="str">
        <f t="shared" si="43"/>
        <v>/10/2022</v>
      </c>
      <c r="V240" s="10" t="str">
        <f>IFERROR(VLOOKUP(K240,'List+TK'!$G$3:$H$16,2,0),"-")</f>
        <v>-</v>
      </c>
      <c r="W240" s="10" t="str">
        <f t="shared" si="39"/>
        <v/>
      </c>
      <c r="X240" s="4"/>
    </row>
    <row r="241" spans="1:24" hidden="1" x14ac:dyDescent="0.25">
      <c r="A241" s="5">
        <f>_xlfn.AGGREGATE(3,3,$I$4:I241)</f>
        <v>169</v>
      </c>
      <c r="B241" s="5"/>
      <c r="C241" s="26"/>
      <c r="D241" s="10"/>
      <c r="E241" s="10"/>
      <c r="F241" s="10"/>
      <c r="G241" s="10">
        <v>10</v>
      </c>
      <c r="H241" s="10"/>
      <c r="I241" s="10"/>
      <c r="J241" s="10"/>
      <c r="K241" s="10"/>
      <c r="L241" s="10" t="str">
        <f t="shared" si="34"/>
        <v>-</v>
      </c>
      <c r="M241" s="10" t="str">
        <f>IFERROR(VLOOKUP(L241,'List+TK'!$I$3:$J$9,2,0),"-")</f>
        <v>-</v>
      </c>
      <c r="N241" s="10"/>
      <c r="O241" s="10">
        <f t="shared" si="35"/>
        <v>0</v>
      </c>
      <c r="P241" s="10" t="str">
        <f t="shared" si="42"/>
        <v>83/1022/</v>
      </c>
      <c r="Q241" s="10" t="str">
        <f t="shared" si="36"/>
        <v>- -</v>
      </c>
      <c r="R241" s="10" t="str">
        <f t="shared" si="37"/>
        <v xml:space="preserve"> - , </v>
      </c>
      <c r="S241" s="10">
        <f t="shared" si="38"/>
        <v>0</v>
      </c>
      <c r="T241" s="10" t="str">
        <f>IFERROR(VLOOKUP(J241,'List+TK'!$D$3:$E$1000,2,0),"-")</f>
        <v>-</v>
      </c>
      <c r="U241" s="10" t="str">
        <f t="shared" si="43"/>
        <v>/10/2022</v>
      </c>
      <c r="V241" s="10" t="str">
        <f>IFERROR(VLOOKUP(K241,'List+TK'!$G$3:$H$16,2,0),"-")</f>
        <v>-</v>
      </c>
      <c r="W241" s="10" t="str">
        <f t="shared" si="39"/>
        <v/>
      </c>
      <c r="X241" s="4"/>
    </row>
    <row r="242" spans="1:24" hidden="1" x14ac:dyDescent="0.25">
      <c r="A242" s="5">
        <f>_xlfn.AGGREGATE(3,3,$I$4:I242)</f>
        <v>169</v>
      </c>
      <c r="B242" s="5"/>
      <c r="C242" s="26"/>
      <c r="D242" s="10"/>
      <c r="E242" s="10"/>
      <c r="F242" s="10"/>
      <c r="G242" s="10">
        <v>10</v>
      </c>
      <c r="H242" s="10"/>
      <c r="I242" s="10"/>
      <c r="J242" s="10"/>
      <c r="K242" s="10"/>
      <c r="L242" s="10" t="str">
        <f t="shared" si="34"/>
        <v>-</v>
      </c>
      <c r="M242" s="10" t="str">
        <f>IFERROR(VLOOKUP(L242,'List+TK'!$I$3:$J$9,2,0),"-")</f>
        <v>-</v>
      </c>
      <c r="N242" s="10"/>
      <c r="O242" s="10">
        <f t="shared" si="35"/>
        <v>0</v>
      </c>
      <c r="P242" s="10" t="str">
        <f t="shared" si="42"/>
        <v>83/1022/</v>
      </c>
      <c r="Q242" s="10" t="str">
        <f t="shared" si="36"/>
        <v>- -</v>
      </c>
      <c r="R242" s="10" t="str">
        <f t="shared" si="37"/>
        <v xml:space="preserve"> - , </v>
      </c>
      <c r="S242" s="10">
        <f t="shared" si="38"/>
        <v>0</v>
      </c>
      <c r="T242" s="10" t="str">
        <f>IFERROR(VLOOKUP(J242,'List+TK'!$D$3:$E$1000,2,0),"-")</f>
        <v>-</v>
      </c>
      <c r="U242" s="10" t="str">
        <f t="shared" si="43"/>
        <v>/10/2022</v>
      </c>
      <c r="V242" s="10" t="str">
        <f>IFERROR(VLOOKUP(K242,'List+TK'!$G$3:$H$16,2,0),"-")</f>
        <v>-</v>
      </c>
      <c r="W242" s="10" t="str">
        <f t="shared" si="39"/>
        <v/>
      </c>
      <c r="X242" s="4"/>
    </row>
    <row r="243" spans="1:24" hidden="1" x14ac:dyDescent="0.25">
      <c r="A243" s="5">
        <f>_xlfn.AGGREGATE(3,3,$I$4:I243)</f>
        <v>169</v>
      </c>
      <c r="B243" s="5"/>
      <c r="C243" s="26"/>
      <c r="D243" s="10"/>
      <c r="E243" s="10"/>
      <c r="F243" s="10"/>
      <c r="G243" s="10">
        <v>10</v>
      </c>
      <c r="H243" s="10"/>
      <c r="I243" s="10"/>
      <c r="J243" s="10"/>
      <c r="K243" s="10"/>
      <c r="L243" s="10" t="str">
        <f t="shared" si="34"/>
        <v>-</v>
      </c>
      <c r="M243" s="10" t="str">
        <f>IFERROR(VLOOKUP(L243,'List+TK'!$I$3:$J$9,2,0),"-")</f>
        <v>-</v>
      </c>
      <c r="N243" s="10"/>
      <c r="O243" s="10">
        <f t="shared" si="35"/>
        <v>0</v>
      </c>
      <c r="P243" s="10" t="str">
        <f t="shared" si="42"/>
        <v>83/1022/</v>
      </c>
      <c r="Q243" s="10" t="str">
        <f t="shared" si="36"/>
        <v>- -</v>
      </c>
      <c r="R243" s="10" t="str">
        <f t="shared" si="37"/>
        <v xml:space="preserve"> - , </v>
      </c>
      <c r="S243" s="10">
        <f t="shared" si="38"/>
        <v>0</v>
      </c>
      <c r="T243" s="10" t="str">
        <f>IFERROR(VLOOKUP(J243,'List+TK'!$D$3:$E$1000,2,0),"-")</f>
        <v>-</v>
      </c>
      <c r="U243" s="10" t="str">
        <f t="shared" si="43"/>
        <v>/10/2022</v>
      </c>
      <c r="V243" s="10" t="str">
        <f>IFERROR(VLOOKUP(K243,'List+TK'!$G$3:$H$16,2,0),"-")</f>
        <v>-</v>
      </c>
      <c r="W243" s="10" t="str">
        <f t="shared" si="39"/>
        <v/>
      </c>
      <c r="X243" s="4"/>
    </row>
    <row r="244" spans="1:24" hidden="1" x14ac:dyDescent="0.25">
      <c r="A244" s="5">
        <f>_xlfn.AGGREGATE(3,3,$I$4:I244)</f>
        <v>169</v>
      </c>
      <c r="B244" s="5"/>
      <c r="C244" s="26"/>
      <c r="D244" s="10"/>
      <c r="E244" s="10"/>
      <c r="F244" s="10"/>
      <c r="G244" s="10">
        <v>10</v>
      </c>
      <c r="H244" s="10"/>
      <c r="I244" s="10"/>
      <c r="J244" s="10"/>
      <c r="K244" s="10"/>
      <c r="L244" s="10" t="str">
        <f t="shared" si="34"/>
        <v>-</v>
      </c>
      <c r="M244" s="10" t="str">
        <f>IFERROR(VLOOKUP(L244,'List+TK'!$I$3:$J$9,2,0),"-")</f>
        <v>-</v>
      </c>
      <c r="N244" s="10"/>
      <c r="O244" s="10">
        <f t="shared" si="35"/>
        <v>0</v>
      </c>
      <c r="P244" s="10" t="str">
        <f t="shared" si="42"/>
        <v>83/1022/</v>
      </c>
      <c r="Q244" s="10" t="str">
        <f t="shared" si="36"/>
        <v>- -</v>
      </c>
      <c r="R244" s="10" t="str">
        <f t="shared" si="37"/>
        <v xml:space="preserve"> - , </v>
      </c>
      <c r="S244" s="10">
        <f t="shared" si="38"/>
        <v>0</v>
      </c>
      <c r="T244" s="10" t="str">
        <f>IFERROR(VLOOKUP(J244,'List+TK'!$D$3:$E$1000,2,0),"-")</f>
        <v>-</v>
      </c>
      <c r="U244" s="10" t="str">
        <f t="shared" si="43"/>
        <v>/10/2022</v>
      </c>
      <c r="V244" s="10" t="str">
        <f>IFERROR(VLOOKUP(K244,'List+TK'!$G$3:$H$16,2,0),"-")</f>
        <v>-</v>
      </c>
      <c r="W244" s="10" t="str">
        <f t="shared" si="39"/>
        <v/>
      </c>
      <c r="X244" s="4"/>
    </row>
    <row r="245" spans="1:24" hidden="1" x14ac:dyDescent="0.25">
      <c r="A245" s="5">
        <f>_xlfn.AGGREGATE(3,3,$I$4:I245)</f>
        <v>169</v>
      </c>
      <c r="B245" s="5"/>
      <c r="C245" s="26"/>
      <c r="D245" s="10"/>
      <c r="E245" s="10"/>
      <c r="F245" s="10"/>
      <c r="G245" s="10">
        <v>10</v>
      </c>
      <c r="H245" s="10"/>
      <c r="I245" s="10"/>
      <c r="J245" s="10"/>
      <c r="K245" s="10"/>
      <c r="L245" s="10" t="str">
        <f t="shared" si="34"/>
        <v>-</v>
      </c>
      <c r="M245" s="10" t="str">
        <f>IFERROR(VLOOKUP(L245,'List+TK'!$I$3:$J$9,2,0),"-")</f>
        <v>-</v>
      </c>
      <c r="N245" s="10"/>
      <c r="O245" s="10">
        <f t="shared" si="35"/>
        <v>0</v>
      </c>
      <c r="P245" s="10" t="str">
        <f t="shared" si="42"/>
        <v>83/1022/</v>
      </c>
      <c r="Q245" s="10" t="str">
        <f t="shared" si="36"/>
        <v>- -</v>
      </c>
      <c r="R245" s="10" t="str">
        <f t="shared" si="37"/>
        <v xml:space="preserve"> - , </v>
      </c>
      <c r="S245" s="10">
        <f t="shared" si="38"/>
        <v>0</v>
      </c>
      <c r="T245" s="10" t="str">
        <f>IFERROR(VLOOKUP(J245,'List+TK'!$D$3:$E$1000,2,0),"-")</f>
        <v>-</v>
      </c>
      <c r="U245" s="10" t="str">
        <f t="shared" si="43"/>
        <v>/10/2022</v>
      </c>
      <c r="V245" s="10" t="str">
        <f>IFERROR(VLOOKUP(K245,'List+TK'!$G$3:$H$16,2,0),"-")</f>
        <v>-</v>
      </c>
      <c r="W245" s="10" t="str">
        <f t="shared" si="39"/>
        <v/>
      </c>
      <c r="X245" s="4"/>
    </row>
    <row r="246" spans="1:24" hidden="1" x14ac:dyDescent="0.25">
      <c r="A246" s="5">
        <f>_xlfn.AGGREGATE(3,3,$I$4:I246)</f>
        <v>169</v>
      </c>
      <c r="B246" s="5"/>
      <c r="C246" s="26"/>
      <c r="D246" s="10"/>
      <c r="E246" s="10"/>
      <c r="F246" s="10"/>
      <c r="G246" s="10">
        <v>10</v>
      </c>
      <c r="H246" s="10"/>
      <c r="I246" s="10"/>
      <c r="J246" s="10"/>
      <c r="K246" s="10"/>
      <c r="L246" s="10" t="str">
        <f t="shared" si="34"/>
        <v>-</v>
      </c>
      <c r="M246" s="10" t="str">
        <f>IFERROR(VLOOKUP(L246,'List+TK'!$I$3:$J$9,2,0),"-")</f>
        <v>-</v>
      </c>
      <c r="N246" s="10"/>
      <c r="O246" s="10">
        <f t="shared" si="35"/>
        <v>0</v>
      </c>
      <c r="P246" s="10" t="str">
        <f t="shared" si="42"/>
        <v>83/1022/</v>
      </c>
      <c r="Q246" s="10" t="str">
        <f t="shared" si="36"/>
        <v>- -</v>
      </c>
      <c r="R246" s="10" t="str">
        <f t="shared" si="37"/>
        <v xml:space="preserve"> - , </v>
      </c>
      <c r="S246" s="10">
        <f t="shared" si="38"/>
        <v>0</v>
      </c>
      <c r="T246" s="10" t="str">
        <f>IFERROR(VLOOKUP(J246,'List+TK'!$D$3:$E$1000,2,0),"-")</f>
        <v>-</v>
      </c>
      <c r="U246" s="10" t="str">
        <f t="shared" si="43"/>
        <v>/10/2022</v>
      </c>
      <c r="V246" s="10" t="str">
        <f>IFERROR(VLOOKUP(K246,'List+TK'!$G$3:$H$16,2,0),"-")</f>
        <v>-</v>
      </c>
      <c r="W246" s="10" t="str">
        <f t="shared" si="39"/>
        <v/>
      </c>
      <c r="X246" s="4"/>
    </row>
    <row r="247" spans="1:24" hidden="1" x14ac:dyDescent="0.25">
      <c r="A247" s="5">
        <f>_xlfn.AGGREGATE(3,3,$I$4:I247)</f>
        <v>169</v>
      </c>
      <c r="B247" s="5"/>
      <c r="C247" s="26"/>
      <c r="D247" s="10"/>
      <c r="E247" s="10"/>
      <c r="F247" s="10"/>
      <c r="G247" s="10">
        <v>10</v>
      </c>
      <c r="H247" s="10"/>
      <c r="I247" s="10"/>
      <c r="J247" s="10"/>
      <c r="K247" s="10"/>
      <c r="L247" s="10" t="str">
        <f t="shared" si="34"/>
        <v>-</v>
      </c>
      <c r="M247" s="10" t="str">
        <f>IFERROR(VLOOKUP(L247,'List+TK'!$I$3:$J$9,2,0),"-")</f>
        <v>-</v>
      </c>
      <c r="N247" s="10"/>
      <c r="O247" s="10">
        <f t="shared" si="35"/>
        <v>0</v>
      </c>
      <c r="P247" s="10" t="str">
        <f t="shared" si="42"/>
        <v>83/1022/</v>
      </c>
      <c r="Q247" s="10" t="str">
        <f t="shared" si="36"/>
        <v>- -</v>
      </c>
      <c r="R247" s="10" t="str">
        <f t="shared" si="37"/>
        <v xml:space="preserve"> - , </v>
      </c>
      <c r="S247" s="10">
        <f t="shared" si="38"/>
        <v>0</v>
      </c>
      <c r="T247" s="10" t="str">
        <f>IFERROR(VLOOKUP(J247,'List+TK'!$D$3:$E$1000,2,0),"-")</f>
        <v>-</v>
      </c>
      <c r="U247" s="10" t="str">
        <f t="shared" si="43"/>
        <v>/10/2022</v>
      </c>
      <c r="V247" s="10" t="str">
        <f>IFERROR(VLOOKUP(K247,'List+TK'!$G$3:$H$16,2,0),"-")</f>
        <v>-</v>
      </c>
      <c r="W247" s="10" t="str">
        <f t="shared" si="39"/>
        <v/>
      </c>
      <c r="X247" s="4"/>
    </row>
    <row r="248" spans="1:24" hidden="1" x14ac:dyDescent="0.25">
      <c r="A248" s="5">
        <f>_xlfn.AGGREGATE(3,3,$I$4:I248)</f>
        <v>169</v>
      </c>
      <c r="B248" s="5"/>
      <c r="C248" s="26"/>
      <c r="D248" s="10"/>
      <c r="E248" s="10"/>
      <c r="F248" s="10"/>
      <c r="G248" s="10">
        <v>10</v>
      </c>
      <c r="H248" s="10"/>
      <c r="I248" s="10"/>
      <c r="J248" s="10"/>
      <c r="K248" s="10"/>
      <c r="L248" s="10" t="str">
        <f t="shared" si="34"/>
        <v>-</v>
      </c>
      <c r="M248" s="10" t="str">
        <f>IFERROR(VLOOKUP(L248,'List+TK'!$I$3:$J$9,2,0),"-")</f>
        <v>-</v>
      </c>
      <c r="N248" s="10"/>
      <c r="O248" s="10">
        <f t="shared" si="35"/>
        <v>0</v>
      </c>
      <c r="P248" s="10" t="str">
        <f t="shared" si="42"/>
        <v>83/1022/</v>
      </c>
      <c r="Q248" s="10" t="str">
        <f t="shared" si="36"/>
        <v>- -</v>
      </c>
      <c r="R248" s="10" t="str">
        <f t="shared" si="37"/>
        <v xml:space="preserve"> - , </v>
      </c>
      <c r="S248" s="10">
        <f t="shared" si="38"/>
        <v>0</v>
      </c>
      <c r="T248" s="10" t="str">
        <f>IFERROR(VLOOKUP(J248,'List+TK'!$D$3:$E$1000,2,0),"-")</f>
        <v>-</v>
      </c>
      <c r="U248" s="10" t="str">
        <f t="shared" si="43"/>
        <v>/10/2022</v>
      </c>
      <c r="V248" s="10" t="str">
        <f>IFERROR(VLOOKUP(K248,'List+TK'!$G$3:$H$16,2,0),"-")</f>
        <v>-</v>
      </c>
      <c r="W248" s="10" t="str">
        <f t="shared" si="39"/>
        <v/>
      </c>
      <c r="X248" s="4"/>
    </row>
    <row r="249" spans="1:24" hidden="1" x14ac:dyDescent="0.25">
      <c r="A249" s="5">
        <f>_xlfn.AGGREGATE(3,3,$I$4:I249)</f>
        <v>169</v>
      </c>
      <c r="B249" s="5"/>
      <c r="C249" s="26"/>
      <c r="D249" s="10"/>
      <c r="E249" s="10"/>
      <c r="F249" s="10"/>
      <c r="G249" s="10">
        <v>10</v>
      </c>
      <c r="H249" s="10"/>
      <c r="I249" s="10"/>
      <c r="J249" s="10"/>
      <c r="K249" s="10"/>
      <c r="L249" s="10" t="str">
        <f t="shared" si="34"/>
        <v>-</v>
      </c>
      <c r="M249" s="10" t="str">
        <f>IFERROR(VLOOKUP(L249,'List+TK'!$I$3:$J$9,2,0),"-")</f>
        <v>-</v>
      </c>
      <c r="N249" s="10"/>
      <c r="O249" s="10">
        <f t="shared" si="35"/>
        <v>0</v>
      </c>
      <c r="P249" s="10" t="str">
        <f t="shared" ref="P249:P280" si="44">"83/"&amp;IF(LEN(G249)=1,"0"&amp;G249,G249)&amp;"22/"&amp;IF(LEN(B249)=1,"0"&amp;B249,B249)</f>
        <v>83/1022/</v>
      </c>
      <c r="Q249" s="10" t="str">
        <f t="shared" si="36"/>
        <v>- -</v>
      </c>
      <c r="R249" s="10" t="str">
        <f t="shared" si="37"/>
        <v xml:space="preserve"> - , </v>
      </c>
      <c r="S249" s="10">
        <f t="shared" si="38"/>
        <v>0</v>
      </c>
      <c r="T249" s="10" t="str">
        <f>IFERROR(VLOOKUP(J249,'List+TK'!$D$3:$E$1000,2,0),"-")</f>
        <v>-</v>
      </c>
      <c r="U249" s="10" t="str">
        <f t="shared" ref="U249:U280" si="45">H249&amp;"/"&amp;IF(LEN(G249)=1,"0"&amp;G249,G249)&amp;"/2022"</f>
        <v>/10/2022</v>
      </c>
      <c r="V249" s="10" t="str">
        <f>IFERROR(VLOOKUP(K249,'List+TK'!$G$3:$H$16,2,0),"-")</f>
        <v>-</v>
      </c>
      <c r="W249" s="10" t="str">
        <f t="shared" si="39"/>
        <v/>
      </c>
      <c r="X249" s="4"/>
    </row>
    <row r="250" spans="1:24" hidden="1" x14ac:dyDescent="0.25">
      <c r="A250" s="5">
        <f>_xlfn.AGGREGATE(3,3,$I$4:I250)</f>
        <v>169</v>
      </c>
      <c r="B250" s="5"/>
      <c r="C250" s="26"/>
      <c r="D250" s="10"/>
      <c r="E250" s="10"/>
      <c r="F250" s="10"/>
      <c r="G250" s="10">
        <v>10</v>
      </c>
      <c r="H250" s="10"/>
      <c r="I250" s="10"/>
      <c r="J250" s="10"/>
      <c r="K250" s="10"/>
      <c r="L250" s="10" t="str">
        <f t="shared" ref="L250:L313" si="46">IFERROR(IF(F250="Huyện Mỏ Cày Nam","Mỏ Cày",RIGHT(F250,LEN(F250)-6)),"-")</f>
        <v>-</v>
      </c>
      <c r="M250" s="10" t="str">
        <f>IFERROR(VLOOKUP(L250,'List+TK'!$I$3:$J$9,2,0),"-")</f>
        <v>-</v>
      </c>
      <c r="N250" s="10"/>
      <c r="O250" s="10">
        <f t="shared" ref="O250:O313" si="47">I250</f>
        <v>0</v>
      </c>
      <c r="P250" s="10" t="str">
        <f t="shared" si="44"/>
        <v>83/1022/</v>
      </c>
      <c r="Q250" s="10" t="str">
        <f t="shared" ref="Q250:Q313" si="48">L250&amp;" "&amp;M250</f>
        <v>- -</v>
      </c>
      <c r="R250" s="10" t="str">
        <f t="shared" ref="R250:R313" si="49">C250&amp;" - "&amp;D250&amp;", "&amp;E250</f>
        <v xml:space="preserve"> - , </v>
      </c>
      <c r="S250" s="10">
        <f t="shared" ref="S250:S313" si="50">IF(OR(I250="Tôm chân trắng nhỏ",I250="Tôm sú nhỏ"),0.5,IF(OR(I250="Cá tra nhỏ",I250="Tôm sú thương phẩm",I250="Tôm chân trắng thương phẩm",I250="Tôm sú quảng canh",I250="Nước ương tôm giống"),1,IF(I250="Cá tra thương phẩm",1.5,0)))</f>
        <v>0</v>
      </c>
      <c r="T250" s="10" t="str">
        <f>IFERROR(VLOOKUP(J250,'List+TK'!$D$3:$E$1000,2,0),"-")</f>
        <v>-</v>
      </c>
      <c r="U250" s="10" t="str">
        <f t="shared" si="45"/>
        <v>/10/2022</v>
      </c>
      <c r="V250" s="10" t="str">
        <f>IFERROR(VLOOKUP(K250,'List+TK'!$G$3:$H$16,2,0),"-")</f>
        <v>-</v>
      </c>
      <c r="W250" s="10" t="str">
        <f t="shared" ref="W250:W313" si="51">IF(N250="","",IF(I250="Nước ương tôm giống","Bể "&amp;N250,"Ao "&amp;N250))</f>
        <v/>
      </c>
      <c r="X250" s="4"/>
    </row>
    <row r="251" spans="1:24" hidden="1" x14ac:dyDescent="0.25">
      <c r="A251" s="5">
        <f>_xlfn.AGGREGATE(3,3,$I$4:I251)</f>
        <v>169</v>
      </c>
      <c r="B251" s="5"/>
      <c r="C251" s="26"/>
      <c r="D251" s="10"/>
      <c r="E251" s="10"/>
      <c r="F251" s="10"/>
      <c r="G251" s="10">
        <v>10</v>
      </c>
      <c r="H251" s="10"/>
      <c r="I251" s="10"/>
      <c r="J251" s="10"/>
      <c r="K251" s="10"/>
      <c r="L251" s="10" t="str">
        <f t="shared" si="46"/>
        <v>-</v>
      </c>
      <c r="M251" s="10" t="str">
        <f>IFERROR(VLOOKUP(L251,'List+TK'!$I$3:$J$9,2,0),"-")</f>
        <v>-</v>
      </c>
      <c r="N251" s="10"/>
      <c r="O251" s="10">
        <f t="shared" si="47"/>
        <v>0</v>
      </c>
      <c r="P251" s="10" t="str">
        <f t="shared" si="44"/>
        <v>83/1022/</v>
      </c>
      <c r="Q251" s="10" t="str">
        <f t="shared" si="48"/>
        <v>- -</v>
      </c>
      <c r="R251" s="10" t="str">
        <f t="shared" si="49"/>
        <v xml:space="preserve"> - , </v>
      </c>
      <c r="S251" s="10">
        <f t="shared" si="50"/>
        <v>0</v>
      </c>
      <c r="T251" s="10" t="str">
        <f>IFERROR(VLOOKUP(J251,'List+TK'!$D$3:$E$1000,2,0),"-")</f>
        <v>-</v>
      </c>
      <c r="U251" s="10" t="str">
        <f t="shared" si="45"/>
        <v>/10/2022</v>
      </c>
      <c r="V251" s="10" t="str">
        <f>IFERROR(VLOOKUP(K251,'List+TK'!$G$3:$H$16,2,0),"-")</f>
        <v>-</v>
      </c>
      <c r="W251" s="10" t="str">
        <f t="shared" si="51"/>
        <v/>
      </c>
      <c r="X251" s="4"/>
    </row>
    <row r="252" spans="1:24" hidden="1" x14ac:dyDescent="0.25">
      <c r="A252" s="5">
        <f>_xlfn.AGGREGATE(3,3,$I$4:I252)</f>
        <v>169</v>
      </c>
      <c r="B252" s="5"/>
      <c r="C252" s="26"/>
      <c r="D252" s="10"/>
      <c r="E252" s="10"/>
      <c r="F252" s="10"/>
      <c r="G252" s="10">
        <v>10</v>
      </c>
      <c r="H252" s="10"/>
      <c r="I252" s="10"/>
      <c r="J252" s="10"/>
      <c r="K252" s="10"/>
      <c r="L252" s="10" t="str">
        <f t="shared" si="46"/>
        <v>-</v>
      </c>
      <c r="M252" s="10" t="str">
        <f>IFERROR(VLOOKUP(L252,'List+TK'!$I$3:$J$9,2,0),"-")</f>
        <v>-</v>
      </c>
      <c r="N252" s="10"/>
      <c r="O252" s="10">
        <f t="shared" si="47"/>
        <v>0</v>
      </c>
      <c r="P252" s="10" t="str">
        <f t="shared" si="44"/>
        <v>83/1022/</v>
      </c>
      <c r="Q252" s="10" t="str">
        <f t="shared" si="48"/>
        <v>- -</v>
      </c>
      <c r="R252" s="10" t="str">
        <f t="shared" si="49"/>
        <v xml:space="preserve"> - , </v>
      </c>
      <c r="S252" s="10">
        <f t="shared" si="50"/>
        <v>0</v>
      </c>
      <c r="T252" s="10" t="str">
        <f>IFERROR(VLOOKUP(J252,'List+TK'!$D$3:$E$1000,2,0),"-")</f>
        <v>-</v>
      </c>
      <c r="U252" s="10" t="str">
        <f t="shared" si="45"/>
        <v>/10/2022</v>
      </c>
      <c r="V252" s="10" t="str">
        <f>IFERROR(VLOOKUP(K252,'List+TK'!$G$3:$H$16,2,0),"-")</f>
        <v>-</v>
      </c>
      <c r="W252" s="10" t="str">
        <f t="shared" si="51"/>
        <v/>
      </c>
      <c r="X252" s="4"/>
    </row>
    <row r="253" spans="1:24" hidden="1" x14ac:dyDescent="0.25">
      <c r="A253" s="5">
        <f>_xlfn.AGGREGATE(3,3,$I$4:I253)</f>
        <v>169</v>
      </c>
      <c r="B253" s="5"/>
      <c r="C253" s="26"/>
      <c r="D253" s="10"/>
      <c r="E253" s="10"/>
      <c r="F253" s="10"/>
      <c r="G253" s="10">
        <v>10</v>
      </c>
      <c r="H253" s="10"/>
      <c r="I253" s="10"/>
      <c r="J253" s="10"/>
      <c r="K253" s="10"/>
      <c r="L253" s="10" t="str">
        <f t="shared" si="46"/>
        <v>-</v>
      </c>
      <c r="M253" s="10" t="str">
        <f>IFERROR(VLOOKUP(L253,'List+TK'!$I$3:$J$9,2,0),"-")</f>
        <v>-</v>
      </c>
      <c r="N253" s="10"/>
      <c r="O253" s="10">
        <f t="shared" si="47"/>
        <v>0</v>
      </c>
      <c r="P253" s="10" t="str">
        <f t="shared" si="44"/>
        <v>83/1022/</v>
      </c>
      <c r="Q253" s="10" t="str">
        <f t="shared" si="48"/>
        <v>- -</v>
      </c>
      <c r="R253" s="10" t="str">
        <f t="shared" si="49"/>
        <v xml:space="preserve"> - , </v>
      </c>
      <c r="S253" s="10">
        <f t="shared" si="50"/>
        <v>0</v>
      </c>
      <c r="T253" s="10" t="str">
        <f>IFERROR(VLOOKUP(J253,'List+TK'!$D$3:$E$1000,2,0),"-")</f>
        <v>-</v>
      </c>
      <c r="U253" s="10" t="str">
        <f t="shared" si="45"/>
        <v>/10/2022</v>
      </c>
      <c r="V253" s="10" t="str">
        <f>IFERROR(VLOOKUP(K253,'List+TK'!$G$3:$H$16,2,0),"-")</f>
        <v>-</v>
      </c>
      <c r="W253" s="10" t="str">
        <f t="shared" si="51"/>
        <v/>
      </c>
      <c r="X253" s="4"/>
    </row>
    <row r="254" spans="1:24" hidden="1" x14ac:dyDescent="0.25">
      <c r="A254" s="5">
        <f>_xlfn.AGGREGATE(3,3,$I$4:I254)</f>
        <v>169</v>
      </c>
      <c r="B254" s="5"/>
      <c r="C254" s="26"/>
      <c r="D254" s="10"/>
      <c r="E254" s="10"/>
      <c r="F254" s="10"/>
      <c r="G254" s="10">
        <v>10</v>
      </c>
      <c r="H254" s="10"/>
      <c r="I254" s="10"/>
      <c r="J254" s="10"/>
      <c r="K254" s="10"/>
      <c r="L254" s="10" t="str">
        <f t="shared" si="46"/>
        <v>-</v>
      </c>
      <c r="M254" s="10" t="str">
        <f>IFERROR(VLOOKUP(L254,'List+TK'!$I$3:$J$9,2,0),"-")</f>
        <v>-</v>
      </c>
      <c r="N254" s="10"/>
      <c r="O254" s="10">
        <f t="shared" si="47"/>
        <v>0</v>
      </c>
      <c r="P254" s="10" t="str">
        <f t="shared" si="44"/>
        <v>83/1022/</v>
      </c>
      <c r="Q254" s="10" t="str">
        <f t="shared" si="48"/>
        <v>- -</v>
      </c>
      <c r="R254" s="10" t="str">
        <f t="shared" si="49"/>
        <v xml:space="preserve"> - , </v>
      </c>
      <c r="S254" s="10">
        <f t="shared" si="50"/>
        <v>0</v>
      </c>
      <c r="T254" s="10" t="str">
        <f>IFERROR(VLOOKUP(J254,'List+TK'!$D$3:$E$1000,2,0),"-")</f>
        <v>-</v>
      </c>
      <c r="U254" s="10" t="str">
        <f t="shared" si="45"/>
        <v>/10/2022</v>
      </c>
      <c r="V254" s="10" t="str">
        <f>IFERROR(VLOOKUP(K254,'List+TK'!$G$3:$H$16,2,0),"-")</f>
        <v>-</v>
      </c>
      <c r="W254" s="10" t="str">
        <f t="shared" si="51"/>
        <v/>
      </c>
      <c r="X254" s="4"/>
    </row>
    <row r="255" spans="1:24" hidden="1" x14ac:dyDescent="0.25">
      <c r="A255" s="5">
        <f>_xlfn.AGGREGATE(3,3,$I$4:I255)</f>
        <v>169</v>
      </c>
      <c r="B255" s="5"/>
      <c r="C255" s="26"/>
      <c r="D255" s="10"/>
      <c r="E255" s="10"/>
      <c r="F255" s="10"/>
      <c r="G255" s="10">
        <v>10</v>
      </c>
      <c r="H255" s="10"/>
      <c r="I255" s="10"/>
      <c r="J255" s="10"/>
      <c r="K255" s="10"/>
      <c r="L255" s="10" t="str">
        <f t="shared" si="46"/>
        <v>-</v>
      </c>
      <c r="M255" s="10" t="str">
        <f>IFERROR(VLOOKUP(L255,'List+TK'!$I$3:$J$9,2,0),"-")</f>
        <v>-</v>
      </c>
      <c r="N255" s="10"/>
      <c r="O255" s="10">
        <f t="shared" si="47"/>
        <v>0</v>
      </c>
      <c r="P255" s="10" t="str">
        <f t="shared" si="44"/>
        <v>83/1022/</v>
      </c>
      <c r="Q255" s="10" t="str">
        <f t="shared" si="48"/>
        <v>- -</v>
      </c>
      <c r="R255" s="10" t="str">
        <f t="shared" si="49"/>
        <v xml:space="preserve"> - , </v>
      </c>
      <c r="S255" s="10">
        <f t="shared" si="50"/>
        <v>0</v>
      </c>
      <c r="T255" s="10" t="str">
        <f>IFERROR(VLOOKUP(J255,'List+TK'!$D$3:$E$1000,2,0),"-")</f>
        <v>-</v>
      </c>
      <c r="U255" s="10" t="str">
        <f t="shared" si="45"/>
        <v>/10/2022</v>
      </c>
      <c r="V255" s="10" t="str">
        <f>IFERROR(VLOOKUP(K255,'List+TK'!$G$3:$H$16,2,0),"-")</f>
        <v>-</v>
      </c>
      <c r="W255" s="10" t="str">
        <f t="shared" si="51"/>
        <v/>
      </c>
      <c r="X255" s="4"/>
    </row>
    <row r="256" spans="1:24" hidden="1" x14ac:dyDescent="0.25">
      <c r="A256" s="5">
        <f>_xlfn.AGGREGATE(3,3,$I$4:I256)</f>
        <v>169</v>
      </c>
      <c r="B256" s="5"/>
      <c r="C256" s="26"/>
      <c r="D256" s="10"/>
      <c r="E256" s="10"/>
      <c r="F256" s="10"/>
      <c r="G256" s="10">
        <v>10</v>
      </c>
      <c r="H256" s="10"/>
      <c r="I256" s="10"/>
      <c r="J256" s="10"/>
      <c r="K256" s="10"/>
      <c r="L256" s="10" t="str">
        <f t="shared" si="46"/>
        <v>-</v>
      </c>
      <c r="M256" s="10" t="str">
        <f>IFERROR(VLOOKUP(L256,'List+TK'!$I$3:$J$9,2,0),"-")</f>
        <v>-</v>
      </c>
      <c r="N256" s="10"/>
      <c r="O256" s="10">
        <f t="shared" si="47"/>
        <v>0</v>
      </c>
      <c r="P256" s="10" t="str">
        <f t="shared" si="44"/>
        <v>83/1022/</v>
      </c>
      <c r="Q256" s="10" t="str">
        <f t="shared" si="48"/>
        <v>- -</v>
      </c>
      <c r="R256" s="10" t="str">
        <f t="shared" si="49"/>
        <v xml:space="preserve"> - , </v>
      </c>
      <c r="S256" s="10">
        <f t="shared" si="50"/>
        <v>0</v>
      </c>
      <c r="T256" s="10" t="str">
        <f>IFERROR(VLOOKUP(J256,'List+TK'!$D$3:$E$1000,2,0),"-")</f>
        <v>-</v>
      </c>
      <c r="U256" s="10" t="str">
        <f t="shared" si="45"/>
        <v>/10/2022</v>
      </c>
      <c r="V256" s="10" t="str">
        <f>IFERROR(VLOOKUP(K256,'List+TK'!$G$3:$H$16,2,0),"-")</f>
        <v>-</v>
      </c>
      <c r="W256" s="10" t="str">
        <f t="shared" si="51"/>
        <v/>
      </c>
      <c r="X256" s="4"/>
    </row>
    <row r="257" spans="1:24" hidden="1" x14ac:dyDescent="0.25">
      <c r="A257" s="5">
        <f>_xlfn.AGGREGATE(3,3,$I$4:I257)</f>
        <v>169</v>
      </c>
      <c r="B257" s="5"/>
      <c r="C257" s="26"/>
      <c r="D257" s="10"/>
      <c r="E257" s="10"/>
      <c r="F257" s="10"/>
      <c r="G257" s="10">
        <v>10</v>
      </c>
      <c r="H257" s="10"/>
      <c r="I257" s="10"/>
      <c r="J257" s="10"/>
      <c r="K257" s="10"/>
      <c r="L257" s="10" t="str">
        <f t="shared" si="46"/>
        <v>-</v>
      </c>
      <c r="M257" s="10" t="str">
        <f>IFERROR(VLOOKUP(L257,'List+TK'!$I$3:$J$9,2,0),"-")</f>
        <v>-</v>
      </c>
      <c r="N257" s="10"/>
      <c r="O257" s="10">
        <f t="shared" si="47"/>
        <v>0</v>
      </c>
      <c r="P257" s="10" t="str">
        <f t="shared" si="44"/>
        <v>83/1022/</v>
      </c>
      <c r="Q257" s="10" t="str">
        <f t="shared" si="48"/>
        <v>- -</v>
      </c>
      <c r="R257" s="10" t="str">
        <f t="shared" si="49"/>
        <v xml:space="preserve"> - , </v>
      </c>
      <c r="S257" s="10">
        <f t="shared" si="50"/>
        <v>0</v>
      </c>
      <c r="T257" s="10" t="str">
        <f>IFERROR(VLOOKUP(J257,'List+TK'!$D$3:$E$1000,2,0),"-")</f>
        <v>-</v>
      </c>
      <c r="U257" s="10" t="str">
        <f t="shared" si="45"/>
        <v>/10/2022</v>
      </c>
      <c r="V257" s="10" t="str">
        <f>IFERROR(VLOOKUP(K257,'List+TK'!$G$3:$H$16,2,0),"-")</f>
        <v>-</v>
      </c>
      <c r="W257" s="10" t="str">
        <f t="shared" si="51"/>
        <v/>
      </c>
      <c r="X257" s="4"/>
    </row>
    <row r="258" spans="1:24" hidden="1" x14ac:dyDescent="0.25">
      <c r="A258" s="5">
        <f>_xlfn.AGGREGATE(3,3,$I$4:I258)</f>
        <v>169</v>
      </c>
      <c r="B258" s="5"/>
      <c r="C258" s="26"/>
      <c r="D258" s="10"/>
      <c r="E258" s="10"/>
      <c r="F258" s="10"/>
      <c r="G258" s="10">
        <v>10</v>
      </c>
      <c r="H258" s="10"/>
      <c r="I258" s="10"/>
      <c r="J258" s="10"/>
      <c r="K258" s="10"/>
      <c r="L258" s="10" t="str">
        <f t="shared" si="46"/>
        <v>-</v>
      </c>
      <c r="M258" s="10" t="str">
        <f>IFERROR(VLOOKUP(L258,'List+TK'!$I$3:$J$9,2,0),"-")</f>
        <v>-</v>
      </c>
      <c r="N258" s="10"/>
      <c r="O258" s="10">
        <f t="shared" si="47"/>
        <v>0</v>
      </c>
      <c r="P258" s="10" t="str">
        <f t="shared" si="44"/>
        <v>83/1022/</v>
      </c>
      <c r="Q258" s="10" t="str">
        <f t="shared" si="48"/>
        <v>- -</v>
      </c>
      <c r="R258" s="10" t="str">
        <f t="shared" si="49"/>
        <v xml:space="preserve"> - , </v>
      </c>
      <c r="S258" s="10">
        <f t="shared" si="50"/>
        <v>0</v>
      </c>
      <c r="T258" s="10" t="str">
        <f>IFERROR(VLOOKUP(J258,'List+TK'!$D$3:$E$1000,2,0),"-")</f>
        <v>-</v>
      </c>
      <c r="U258" s="10" t="str">
        <f t="shared" si="45"/>
        <v>/10/2022</v>
      </c>
      <c r="V258" s="10" t="str">
        <f>IFERROR(VLOOKUP(K258,'List+TK'!$G$3:$H$16,2,0),"-")</f>
        <v>-</v>
      </c>
      <c r="W258" s="10" t="str">
        <f t="shared" si="51"/>
        <v/>
      </c>
      <c r="X258" s="4"/>
    </row>
    <row r="259" spans="1:24" hidden="1" x14ac:dyDescent="0.25">
      <c r="A259" s="5">
        <f>_xlfn.AGGREGATE(3,3,$I$4:I259)</f>
        <v>169</v>
      </c>
      <c r="B259" s="5"/>
      <c r="C259" s="26"/>
      <c r="D259" s="10"/>
      <c r="E259" s="10"/>
      <c r="F259" s="10"/>
      <c r="G259" s="10">
        <v>10</v>
      </c>
      <c r="H259" s="10"/>
      <c r="I259" s="10"/>
      <c r="J259" s="10"/>
      <c r="K259" s="10"/>
      <c r="L259" s="10" t="str">
        <f t="shared" si="46"/>
        <v>-</v>
      </c>
      <c r="M259" s="10" t="str">
        <f>IFERROR(VLOOKUP(L259,'List+TK'!$I$3:$J$9,2,0),"-")</f>
        <v>-</v>
      </c>
      <c r="N259" s="10"/>
      <c r="O259" s="10">
        <f t="shared" si="47"/>
        <v>0</v>
      </c>
      <c r="P259" s="10" t="str">
        <f t="shared" si="44"/>
        <v>83/1022/</v>
      </c>
      <c r="Q259" s="10" t="str">
        <f t="shared" si="48"/>
        <v>- -</v>
      </c>
      <c r="R259" s="10" t="str">
        <f t="shared" si="49"/>
        <v xml:space="preserve"> - , </v>
      </c>
      <c r="S259" s="10">
        <f t="shared" si="50"/>
        <v>0</v>
      </c>
      <c r="T259" s="10" t="str">
        <f>IFERROR(VLOOKUP(J259,'List+TK'!$D$3:$E$1000,2,0),"-")</f>
        <v>-</v>
      </c>
      <c r="U259" s="10" t="str">
        <f t="shared" si="45"/>
        <v>/10/2022</v>
      </c>
      <c r="V259" s="10" t="str">
        <f>IFERROR(VLOOKUP(K259,'List+TK'!$G$3:$H$16,2,0),"-")</f>
        <v>-</v>
      </c>
      <c r="W259" s="10" t="str">
        <f t="shared" si="51"/>
        <v/>
      </c>
      <c r="X259" s="4"/>
    </row>
    <row r="260" spans="1:24" hidden="1" x14ac:dyDescent="0.25">
      <c r="A260" s="5">
        <f>_xlfn.AGGREGATE(3,3,$I$4:I260)</f>
        <v>169</v>
      </c>
      <c r="B260" s="5"/>
      <c r="C260" s="26"/>
      <c r="D260" s="10"/>
      <c r="E260" s="10"/>
      <c r="F260" s="10"/>
      <c r="G260" s="10">
        <v>10</v>
      </c>
      <c r="H260" s="10"/>
      <c r="I260" s="10"/>
      <c r="J260" s="10"/>
      <c r="K260" s="10"/>
      <c r="L260" s="10" t="str">
        <f t="shared" si="46"/>
        <v>-</v>
      </c>
      <c r="M260" s="10" t="str">
        <f>IFERROR(VLOOKUP(L260,'List+TK'!$I$3:$J$9,2,0),"-")</f>
        <v>-</v>
      </c>
      <c r="N260" s="10"/>
      <c r="O260" s="10">
        <f t="shared" si="47"/>
        <v>0</v>
      </c>
      <c r="P260" s="10" t="str">
        <f t="shared" si="44"/>
        <v>83/1022/</v>
      </c>
      <c r="Q260" s="10" t="str">
        <f t="shared" si="48"/>
        <v>- -</v>
      </c>
      <c r="R260" s="10" t="str">
        <f t="shared" si="49"/>
        <v xml:space="preserve"> - , </v>
      </c>
      <c r="S260" s="10">
        <f t="shared" si="50"/>
        <v>0</v>
      </c>
      <c r="T260" s="10" t="str">
        <f>IFERROR(VLOOKUP(J260,'List+TK'!$D$3:$E$1000,2,0),"-")</f>
        <v>-</v>
      </c>
      <c r="U260" s="10" t="str">
        <f t="shared" si="45"/>
        <v>/10/2022</v>
      </c>
      <c r="V260" s="10" t="str">
        <f>IFERROR(VLOOKUP(K260,'List+TK'!$G$3:$H$16,2,0),"-")</f>
        <v>-</v>
      </c>
      <c r="W260" s="10" t="str">
        <f t="shared" si="51"/>
        <v/>
      </c>
      <c r="X260" s="4"/>
    </row>
    <row r="261" spans="1:24" hidden="1" x14ac:dyDescent="0.25">
      <c r="A261" s="5">
        <f>_xlfn.AGGREGATE(3,3,$I$4:I261)</f>
        <v>169</v>
      </c>
      <c r="B261" s="5"/>
      <c r="C261" s="26"/>
      <c r="D261" s="10"/>
      <c r="E261" s="10"/>
      <c r="F261" s="10"/>
      <c r="G261" s="10">
        <v>10</v>
      </c>
      <c r="H261" s="10"/>
      <c r="I261" s="10"/>
      <c r="J261" s="10"/>
      <c r="K261" s="10"/>
      <c r="L261" s="10" t="str">
        <f t="shared" si="46"/>
        <v>-</v>
      </c>
      <c r="M261" s="10" t="str">
        <f>IFERROR(VLOOKUP(L261,'List+TK'!$I$3:$J$9,2,0),"-")</f>
        <v>-</v>
      </c>
      <c r="N261" s="10"/>
      <c r="O261" s="10">
        <f t="shared" si="47"/>
        <v>0</v>
      </c>
      <c r="P261" s="10" t="str">
        <f t="shared" si="44"/>
        <v>83/1022/</v>
      </c>
      <c r="Q261" s="10" t="str">
        <f t="shared" si="48"/>
        <v>- -</v>
      </c>
      <c r="R261" s="10" t="str">
        <f t="shared" si="49"/>
        <v xml:space="preserve"> - , </v>
      </c>
      <c r="S261" s="10">
        <f t="shared" si="50"/>
        <v>0</v>
      </c>
      <c r="T261" s="10" t="str">
        <f>IFERROR(VLOOKUP(J261,'List+TK'!$D$3:$E$1000,2,0),"-")</f>
        <v>-</v>
      </c>
      <c r="U261" s="10" t="str">
        <f t="shared" si="45"/>
        <v>/10/2022</v>
      </c>
      <c r="V261" s="10" t="str">
        <f>IFERROR(VLOOKUP(K261,'List+TK'!$G$3:$H$16,2,0),"-")</f>
        <v>-</v>
      </c>
      <c r="W261" s="10" t="str">
        <f t="shared" si="51"/>
        <v/>
      </c>
      <c r="X261" s="4"/>
    </row>
    <row r="262" spans="1:24" hidden="1" x14ac:dyDescent="0.25">
      <c r="A262" s="5">
        <f>_xlfn.AGGREGATE(3,3,$I$4:I262)</f>
        <v>169</v>
      </c>
      <c r="B262" s="5"/>
      <c r="C262" s="26"/>
      <c r="D262" s="10"/>
      <c r="E262" s="10"/>
      <c r="F262" s="10"/>
      <c r="G262" s="10">
        <v>10</v>
      </c>
      <c r="H262" s="10"/>
      <c r="I262" s="10"/>
      <c r="J262" s="10"/>
      <c r="K262" s="10"/>
      <c r="L262" s="10" t="str">
        <f t="shared" si="46"/>
        <v>-</v>
      </c>
      <c r="M262" s="10" t="str">
        <f>IFERROR(VLOOKUP(L262,'List+TK'!$I$3:$J$9,2,0),"-")</f>
        <v>-</v>
      </c>
      <c r="N262" s="10"/>
      <c r="O262" s="10">
        <f t="shared" si="47"/>
        <v>0</v>
      </c>
      <c r="P262" s="10" t="str">
        <f t="shared" si="44"/>
        <v>83/1022/</v>
      </c>
      <c r="Q262" s="10" t="str">
        <f t="shared" si="48"/>
        <v>- -</v>
      </c>
      <c r="R262" s="10" t="str">
        <f t="shared" si="49"/>
        <v xml:space="preserve"> - , </v>
      </c>
      <c r="S262" s="10">
        <f t="shared" si="50"/>
        <v>0</v>
      </c>
      <c r="T262" s="10" t="str">
        <f>IFERROR(VLOOKUP(J262,'List+TK'!$D$3:$E$1000,2,0),"-")</f>
        <v>-</v>
      </c>
      <c r="U262" s="10" t="str">
        <f t="shared" si="45"/>
        <v>/10/2022</v>
      </c>
      <c r="V262" s="10" t="str">
        <f>IFERROR(VLOOKUP(K262,'List+TK'!$G$3:$H$16,2,0),"-")</f>
        <v>-</v>
      </c>
      <c r="W262" s="10" t="str">
        <f t="shared" si="51"/>
        <v/>
      </c>
      <c r="X262" s="4"/>
    </row>
    <row r="263" spans="1:24" hidden="1" x14ac:dyDescent="0.25">
      <c r="A263" s="5">
        <f>_xlfn.AGGREGATE(3,3,$I$4:I263)</f>
        <v>169</v>
      </c>
      <c r="B263" s="5"/>
      <c r="C263" s="26"/>
      <c r="D263" s="10"/>
      <c r="E263" s="10"/>
      <c r="F263" s="10"/>
      <c r="G263" s="10">
        <v>10</v>
      </c>
      <c r="H263" s="10"/>
      <c r="I263" s="10"/>
      <c r="J263" s="10"/>
      <c r="K263" s="10"/>
      <c r="L263" s="10" t="str">
        <f t="shared" si="46"/>
        <v>-</v>
      </c>
      <c r="M263" s="10" t="str">
        <f>IFERROR(VLOOKUP(L263,'List+TK'!$I$3:$J$9,2,0),"-")</f>
        <v>-</v>
      </c>
      <c r="N263" s="10"/>
      <c r="O263" s="10">
        <f t="shared" si="47"/>
        <v>0</v>
      </c>
      <c r="P263" s="10" t="str">
        <f t="shared" si="44"/>
        <v>83/1022/</v>
      </c>
      <c r="Q263" s="10" t="str">
        <f t="shared" si="48"/>
        <v>- -</v>
      </c>
      <c r="R263" s="10" t="str">
        <f t="shared" si="49"/>
        <v xml:space="preserve"> - , </v>
      </c>
      <c r="S263" s="10">
        <f t="shared" si="50"/>
        <v>0</v>
      </c>
      <c r="T263" s="10" t="str">
        <f>IFERROR(VLOOKUP(J263,'List+TK'!$D$3:$E$1000,2,0),"-")</f>
        <v>-</v>
      </c>
      <c r="U263" s="10" t="str">
        <f t="shared" si="45"/>
        <v>/10/2022</v>
      </c>
      <c r="V263" s="10" t="str">
        <f>IFERROR(VLOOKUP(K263,'List+TK'!$G$3:$H$16,2,0),"-")</f>
        <v>-</v>
      </c>
      <c r="W263" s="10" t="str">
        <f t="shared" si="51"/>
        <v/>
      </c>
      <c r="X263" s="4"/>
    </row>
    <row r="264" spans="1:24" hidden="1" x14ac:dyDescent="0.25">
      <c r="A264" s="5">
        <f>_xlfn.AGGREGATE(3,3,$I$4:I264)</f>
        <v>169</v>
      </c>
      <c r="B264" s="5"/>
      <c r="C264" s="26"/>
      <c r="D264" s="10"/>
      <c r="E264" s="10"/>
      <c r="F264" s="10"/>
      <c r="G264" s="10">
        <v>10</v>
      </c>
      <c r="H264" s="10"/>
      <c r="I264" s="10"/>
      <c r="J264" s="10"/>
      <c r="K264" s="10"/>
      <c r="L264" s="10" t="str">
        <f t="shared" si="46"/>
        <v>-</v>
      </c>
      <c r="M264" s="10" t="str">
        <f>IFERROR(VLOOKUP(L264,'List+TK'!$I$3:$J$9,2,0),"-")</f>
        <v>-</v>
      </c>
      <c r="N264" s="10"/>
      <c r="O264" s="10">
        <f t="shared" si="47"/>
        <v>0</v>
      </c>
      <c r="P264" s="10" t="str">
        <f t="shared" si="44"/>
        <v>83/1022/</v>
      </c>
      <c r="Q264" s="10" t="str">
        <f t="shared" si="48"/>
        <v>- -</v>
      </c>
      <c r="R264" s="10" t="str">
        <f t="shared" si="49"/>
        <v xml:space="preserve"> - , </v>
      </c>
      <c r="S264" s="10">
        <f t="shared" si="50"/>
        <v>0</v>
      </c>
      <c r="T264" s="10" t="str">
        <f>IFERROR(VLOOKUP(J264,'List+TK'!$D$3:$E$1000,2,0),"-")</f>
        <v>-</v>
      </c>
      <c r="U264" s="10" t="str">
        <f t="shared" si="45"/>
        <v>/10/2022</v>
      </c>
      <c r="V264" s="10" t="str">
        <f>IFERROR(VLOOKUP(K264,'List+TK'!$G$3:$H$16,2,0),"-")</f>
        <v>-</v>
      </c>
      <c r="W264" s="10" t="str">
        <f t="shared" si="51"/>
        <v/>
      </c>
      <c r="X264" s="4"/>
    </row>
    <row r="265" spans="1:24" hidden="1" x14ac:dyDescent="0.25">
      <c r="A265" s="5">
        <f>_xlfn.AGGREGATE(3,3,$I$4:I265)</f>
        <v>169</v>
      </c>
      <c r="B265" s="5"/>
      <c r="C265" s="26"/>
      <c r="D265" s="10"/>
      <c r="E265" s="10"/>
      <c r="F265" s="10"/>
      <c r="G265" s="10">
        <v>10</v>
      </c>
      <c r="H265" s="10"/>
      <c r="I265" s="10"/>
      <c r="J265" s="10"/>
      <c r="K265" s="10"/>
      <c r="L265" s="10" t="str">
        <f t="shared" si="46"/>
        <v>-</v>
      </c>
      <c r="M265" s="10" t="str">
        <f>IFERROR(VLOOKUP(L265,'List+TK'!$I$3:$J$9,2,0),"-")</f>
        <v>-</v>
      </c>
      <c r="N265" s="10"/>
      <c r="O265" s="10">
        <f t="shared" si="47"/>
        <v>0</v>
      </c>
      <c r="P265" s="10" t="str">
        <f t="shared" si="44"/>
        <v>83/1022/</v>
      </c>
      <c r="Q265" s="10" t="str">
        <f t="shared" si="48"/>
        <v>- -</v>
      </c>
      <c r="R265" s="10" t="str">
        <f t="shared" si="49"/>
        <v xml:space="preserve"> - , </v>
      </c>
      <c r="S265" s="10">
        <f t="shared" si="50"/>
        <v>0</v>
      </c>
      <c r="T265" s="10" t="str">
        <f>IFERROR(VLOOKUP(J265,'List+TK'!$D$3:$E$1000,2,0),"-")</f>
        <v>-</v>
      </c>
      <c r="U265" s="10" t="str">
        <f t="shared" si="45"/>
        <v>/10/2022</v>
      </c>
      <c r="V265" s="10" t="str">
        <f>IFERROR(VLOOKUP(K265,'List+TK'!$G$3:$H$16,2,0),"-")</f>
        <v>-</v>
      </c>
      <c r="W265" s="10" t="str">
        <f t="shared" si="51"/>
        <v/>
      </c>
      <c r="X265" s="4"/>
    </row>
    <row r="266" spans="1:24" hidden="1" x14ac:dyDescent="0.25">
      <c r="A266" s="5">
        <f>_xlfn.AGGREGATE(3,3,$I$4:I266)</f>
        <v>169</v>
      </c>
      <c r="B266" s="5"/>
      <c r="C266" s="26"/>
      <c r="D266" s="10"/>
      <c r="E266" s="10"/>
      <c r="F266" s="10"/>
      <c r="G266" s="10">
        <v>10</v>
      </c>
      <c r="H266" s="10"/>
      <c r="I266" s="10"/>
      <c r="J266" s="10"/>
      <c r="K266" s="10"/>
      <c r="L266" s="10" t="str">
        <f t="shared" si="46"/>
        <v>-</v>
      </c>
      <c r="M266" s="10" t="str">
        <f>IFERROR(VLOOKUP(L266,'List+TK'!$I$3:$J$9,2,0),"-")</f>
        <v>-</v>
      </c>
      <c r="N266" s="10"/>
      <c r="O266" s="10">
        <f t="shared" si="47"/>
        <v>0</v>
      </c>
      <c r="P266" s="10" t="str">
        <f t="shared" si="44"/>
        <v>83/1022/</v>
      </c>
      <c r="Q266" s="10" t="str">
        <f t="shared" si="48"/>
        <v>- -</v>
      </c>
      <c r="R266" s="10" t="str">
        <f t="shared" si="49"/>
        <v xml:space="preserve"> - , </v>
      </c>
      <c r="S266" s="10">
        <f t="shared" si="50"/>
        <v>0</v>
      </c>
      <c r="T266" s="10" t="str">
        <f>IFERROR(VLOOKUP(J266,'List+TK'!$D$3:$E$1000,2,0),"-")</f>
        <v>-</v>
      </c>
      <c r="U266" s="10" t="str">
        <f t="shared" si="45"/>
        <v>/10/2022</v>
      </c>
      <c r="V266" s="10" t="str">
        <f>IFERROR(VLOOKUP(K266,'List+TK'!$G$3:$H$16,2,0),"-")</f>
        <v>-</v>
      </c>
      <c r="W266" s="10" t="str">
        <f t="shared" si="51"/>
        <v/>
      </c>
      <c r="X266" s="4"/>
    </row>
    <row r="267" spans="1:24" hidden="1" x14ac:dyDescent="0.25">
      <c r="A267" s="5">
        <f>_xlfn.AGGREGATE(3,3,$I$4:I267)</f>
        <v>169</v>
      </c>
      <c r="B267" s="5"/>
      <c r="C267" s="26"/>
      <c r="D267" s="10"/>
      <c r="E267" s="10"/>
      <c r="F267" s="10"/>
      <c r="G267" s="10">
        <v>10</v>
      </c>
      <c r="H267" s="10"/>
      <c r="I267" s="10"/>
      <c r="J267" s="10"/>
      <c r="K267" s="10"/>
      <c r="L267" s="10" t="str">
        <f t="shared" si="46"/>
        <v>-</v>
      </c>
      <c r="M267" s="10" t="str">
        <f>IFERROR(VLOOKUP(L267,'List+TK'!$I$3:$J$9,2,0),"-")</f>
        <v>-</v>
      </c>
      <c r="N267" s="10"/>
      <c r="O267" s="10">
        <f t="shared" si="47"/>
        <v>0</v>
      </c>
      <c r="P267" s="10" t="str">
        <f t="shared" si="44"/>
        <v>83/1022/</v>
      </c>
      <c r="Q267" s="10" t="str">
        <f t="shared" si="48"/>
        <v>- -</v>
      </c>
      <c r="R267" s="10" t="str">
        <f t="shared" si="49"/>
        <v xml:space="preserve"> - , </v>
      </c>
      <c r="S267" s="10">
        <f t="shared" si="50"/>
        <v>0</v>
      </c>
      <c r="T267" s="10" t="str">
        <f>IFERROR(VLOOKUP(J267,'List+TK'!$D$3:$E$1000,2,0),"-")</f>
        <v>-</v>
      </c>
      <c r="U267" s="10" t="str">
        <f t="shared" si="45"/>
        <v>/10/2022</v>
      </c>
      <c r="V267" s="10" t="str">
        <f>IFERROR(VLOOKUP(K267,'List+TK'!$G$3:$H$16,2,0),"-")</f>
        <v>-</v>
      </c>
      <c r="W267" s="10" t="str">
        <f t="shared" si="51"/>
        <v/>
      </c>
      <c r="X267" s="4"/>
    </row>
    <row r="268" spans="1:24" hidden="1" x14ac:dyDescent="0.25">
      <c r="A268" s="5">
        <f>_xlfn.AGGREGATE(3,3,$I$4:I268)</f>
        <v>169</v>
      </c>
      <c r="B268" s="5"/>
      <c r="C268" s="26"/>
      <c r="D268" s="10"/>
      <c r="E268" s="10"/>
      <c r="F268" s="10"/>
      <c r="G268" s="10">
        <v>10</v>
      </c>
      <c r="H268" s="10"/>
      <c r="I268" s="10"/>
      <c r="J268" s="10"/>
      <c r="K268" s="10"/>
      <c r="L268" s="10" t="str">
        <f t="shared" si="46"/>
        <v>-</v>
      </c>
      <c r="M268" s="10" t="str">
        <f>IFERROR(VLOOKUP(L268,'List+TK'!$I$3:$J$9,2,0),"-")</f>
        <v>-</v>
      </c>
      <c r="N268" s="10"/>
      <c r="O268" s="10">
        <f t="shared" si="47"/>
        <v>0</v>
      </c>
      <c r="P268" s="10" t="str">
        <f t="shared" si="44"/>
        <v>83/1022/</v>
      </c>
      <c r="Q268" s="10" t="str">
        <f t="shared" si="48"/>
        <v>- -</v>
      </c>
      <c r="R268" s="10" t="str">
        <f t="shared" si="49"/>
        <v xml:space="preserve"> - , </v>
      </c>
      <c r="S268" s="10">
        <f t="shared" si="50"/>
        <v>0</v>
      </c>
      <c r="T268" s="10" t="str">
        <f>IFERROR(VLOOKUP(J268,'List+TK'!$D$3:$E$1000,2,0),"-")</f>
        <v>-</v>
      </c>
      <c r="U268" s="10" t="str">
        <f t="shared" si="45"/>
        <v>/10/2022</v>
      </c>
      <c r="V268" s="10" t="str">
        <f>IFERROR(VLOOKUP(K268,'List+TK'!$G$3:$H$16,2,0),"-")</f>
        <v>-</v>
      </c>
      <c r="W268" s="10" t="str">
        <f t="shared" si="51"/>
        <v/>
      </c>
      <c r="X268" s="4"/>
    </row>
    <row r="269" spans="1:24" hidden="1" x14ac:dyDescent="0.25">
      <c r="A269" s="5">
        <f>_xlfn.AGGREGATE(3,3,$I$4:I269)</f>
        <v>169</v>
      </c>
      <c r="B269" s="5"/>
      <c r="C269" s="26"/>
      <c r="D269" s="10"/>
      <c r="E269" s="10"/>
      <c r="F269" s="10"/>
      <c r="G269" s="10">
        <v>10</v>
      </c>
      <c r="H269" s="10"/>
      <c r="I269" s="10"/>
      <c r="J269" s="10"/>
      <c r="K269" s="10"/>
      <c r="L269" s="10" t="str">
        <f t="shared" si="46"/>
        <v>-</v>
      </c>
      <c r="M269" s="10" t="str">
        <f>IFERROR(VLOOKUP(L269,'List+TK'!$I$3:$J$9,2,0),"-")</f>
        <v>-</v>
      </c>
      <c r="N269" s="10"/>
      <c r="O269" s="10">
        <f t="shared" si="47"/>
        <v>0</v>
      </c>
      <c r="P269" s="10" t="str">
        <f t="shared" si="44"/>
        <v>83/1022/</v>
      </c>
      <c r="Q269" s="10" t="str">
        <f t="shared" si="48"/>
        <v>- -</v>
      </c>
      <c r="R269" s="10" t="str">
        <f t="shared" si="49"/>
        <v xml:space="preserve"> - , </v>
      </c>
      <c r="S269" s="10">
        <f t="shared" si="50"/>
        <v>0</v>
      </c>
      <c r="T269" s="10" t="str">
        <f>IFERROR(VLOOKUP(J269,'List+TK'!$D$3:$E$1000,2,0),"-")</f>
        <v>-</v>
      </c>
      <c r="U269" s="10" t="str">
        <f t="shared" si="45"/>
        <v>/10/2022</v>
      </c>
      <c r="V269" s="10" t="str">
        <f>IFERROR(VLOOKUP(K269,'List+TK'!$G$3:$H$16,2,0),"-")</f>
        <v>-</v>
      </c>
      <c r="W269" s="10" t="str">
        <f t="shared" si="51"/>
        <v/>
      </c>
      <c r="X269" s="4"/>
    </row>
    <row r="270" spans="1:24" hidden="1" x14ac:dyDescent="0.25">
      <c r="A270" s="5">
        <f>_xlfn.AGGREGATE(3,3,$I$4:I270)</f>
        <v>169</v>
      </c>
      <c r="B270" s="5"/>
      <c r="C270" s="26"/>
      <c r="D270" s="10"/>
      <c r="E270" s="10"/>
      <c r="F270" s="10"/>
      <c r="G270" s="10">
        <v>10</v>
      </c>
      <c r="H270" s="10"/>
      <c r="I270" s="10"/>
      <c r="J270" s="10"/>
      <c r="K270" s="10"/>
      <c r="L270" s="10" t="str">
        <f t="shared" si="46"/>
        <v>-</v>
      </c>
      <c r="M270" s="10" t="str">
        <f>IFERROR(VLOOKUP(L270,'List+TK'!$I$3:$J$9,2,0),"-")</f>
        <v>-</v>
      </c>
      <c r="N270" s="10"/>
      <c r="O270" s="10">
        <f t="shared" si="47"/>
        <v>0</v>
      </c>
      <c r="P270" s="10" t="str">
        <f t="shared" si="44"/>
        <v>83/1022/</v>
      </c>
      <c r="Q270" s="10" t="str">
        <f t="shared" si="48"/>
        <v>- -</v>
      </c>
      <c r="R270" s="10" t="str">
        <f t="shared" si="49"/>
        <v xml:space="preserve"> - , </v>
      </c>
      <c r="S270" s="10">
        <f t="shared" si="50"/>
        <v>0</v>
      </c>
      <c r="T270" s="10" t="str">
        <f>IFERROR(VLOOKUP(J270,'List+TK'!$D$3:$E$1000,2,0),"-")</f>
        <v>-</v>
      </c>
      <c r="U270" s="10" t="str">
        <f t="shared" si="45"/>
        <v>/10/2022</v>
      </c>
      <c r="V270" s="10" t="str">
        <f>IFERROR(VLOOKUP(K270,'List+TK'!$G$3:$H$16,2,0),"-")</f>
        <v>-</v>
      </c>
      <c r="W270" s="10" t="str">
        <f t="shared" si="51"/>
        <v/>
      </c>
      <c r="X270" s="4"/>
    </row>
    <row r="271" spans="1:24" hidden="1" x14ac:dyDescent="0.25">
      <c r="A271" s="5">
        <f>_xlfn.AGGREGATE(3,3,$I$4:I271)</f>
        <v>169</v>
      </c>
      <c r="B271" s="5"/>
      <c r="C271" s="26"/>
      <c r="D271" s="10"/>
      <c r="E271" s="10"/>
      <c r="F271" s="10"/>
      <c r="G271" s="10">
        <v>10</v>
      </c>
      <c r="H271" s="10"/>
      <c r="I271" s="10"/>
      <c r="J271" s="10"/>
      <c r="K271" s="10"/>
      <c r="L271" s="10" t="str">
        <f t="shared" si="46"/>
        <v>-</v>
      </c>
      <c r="M271" s="10" t="str">
        <f>IFERROR(VLOOKUP(L271,'List+TK'!$I$3:$J$9,2,0),"-")</f>
        <v>-</v>
      </c>
      <c r="N271" s="10"/>
      <c r="O271" s="10">
        <f t="shared" si="47"/>
        <v>0</v>
      </c>
      <c r="P271" s="10" t="str">
        <f t="shared" si="44"/>
        <v>83/1022/</v>
      </c>
      <c r="Q271" s="10" t="str">
        <f t="shared" si="48"/>
        <v>- -</v>
      </c>
      <c r="R271" s="10" t="str">
        <f t="shared" si="49"/>
        <v xml:space="preserve"> - , </v>
      </c>
      <c r="S271" s="10">
        <f t="shared" si="50"/>
        <v>0</v>
      </c>
      <c r="T271" s="10" t="str">
        <f>IFERROR(VLOOKUP(J271,'List+TK'!$D$3:$E$1000,2,0),"-")</f>
        <v>-</v>
      </c>
      <c r="U271" s="10" t="str">
        <f t="shared" si="45"/>
        <v>/10/2022</v>
      </c>
      <c r="V271" s="10" t="str">
        <f>IFERROR(VLOOKUP(K271,'List+TK'!$G$3:$H$16,2,0),"-")</f>
        <v>-</v>
      </c>
      <c r="W271" s="10" t="str">
        <f t="shared" si="51"/>
        <v/>
      </c>
      <c r="X271" s="4"/>
    </row>
    <row r="272" spans="1:24" hidden="1" x14ac:dyDescent="0.25">
      <c r="A272" s="5">
        <f>_xlfn.AGGREGATE(3,3,$I$4:I272)</f>
        <v>169</v>
      </c>
      <c r="B272" s="5"/>
      <c r="C272" s="26"/>
      <c r="D272" s="10"/>
      <c r="E272" s="10"/>
      <c r="F272" s="10"/>
      <c r="G272" s="10">
        <v>10</v>
      </c>
      <c r="H272" s="10"/>
      <c r="I272" s="10"/>
      <c r="J272" s="10"/>
      <c r="K272" s="10"/>
      <c r="L272" s="10" t="str">
        <f t="shared" si="46"/>
        <v>-</v>
      </c>
      <c r="M272" s="10" t="str">
        <f>IFERROR(VLOOKUP(L272,'List+TK'!$I$3:$J$9,2,0),"-")</f>
        <v>-</v>
      </c>
      <c r="N272" s="10"/>
      <c r="O272" s="10">
        <f t="shared" si="47"/>
        <v>0</v>
      </c>
      <c r="P272" s="10" t="str">
        <f t="shared" si="44"/>
        <v>83/1022/</v>
      </c>
      <c r="Q272" s="10" t="str">
        <f t="shared" si="48"/>
        <v>- -</v>
      </c>
      <c r="R272" s="10" t="str">
        <f t="shared" si="49"/>
        <v xml:space="preserve"> - , </v>
      </c>
      <c r="S272" s="10">
        <f t="shared" si="50"/>
        <v>0</v>
      </c>
      <c r="T272" s="10" t="str">
        <f>IFERROR(VLOOKUP(J272,'List+TK'!$D$3:$E$1000,2,0),"-")</f>
        <v>-</v>
      </c>
      <c r="U272" s="10" t="str">
        <f t="shared" si="45"/>
        <v>/10/2022</v>
      </c>
      <c r="V272" s="10" t="str">
        <f>IFERROR(VLOOKUP(K272,'List+TK'!$G$3:$H$16,2,0),"-")</f>
        <v>-</v>
      </c>
      <c r="W272" s="10" t="str">
        <f t="shared" si="51"/>
        <v/>
      </c>
      <c r="X272" s="4"/>
    </row>
    <row r="273" spans="1:24" hidden="1" x14ac:dyDescent="0.25">
      <c r="A273" s="5">
        <f>_xlfn.AGGREGATE(3,3,$I$4:I273)</f>
        <v>169</v>
      </c>
      <c r="B273" s="5"/>
      <c r="C273" s="26"/>
      <c r="D273" s="10"/>
      <c r="E273" s="10"/>
      <c r="F273" s="10"/>
      <c r="G273" s="10">
        <v>10</v>
      </c>
      <c r="H273" s="10"/>
      <c r="I273" s="10"/>
      <c r="J273" s="10"/>
      <c r="K273" s="10"/>
      <c r="L273" s="10" t="str">
        <f t="shared" si="46"/>
        <v>-</v>
      </c>
      <c r="M273" s="10" t="str">
        <f>IFERROR(VLOOKUP(L273,'List+TK'!$I$3:$J$9,2,0),"-")</f>
        <v>-</v>
      </c>
      <c r="N273" s="10"/>
      <c r="O273" s="10">
        <f t="shared" si="47"/>
        <v>0</v>
      </c>
      <c r="P273" s="10" t="str">
        <f t="shared" si="44"/>
        <v>83/1022/</v>
      </c>
      <c r="Q273" s="10" t="str">
        <f t="shared" si="48"/>
        <v>- -</v>
      </c>
      <c r="R273" s="10" t="str">
        <f t="shared" si="49"/>
        <v xml:space="preserve"> - , </v>
      </c>
      <c r="S273" s="10">
        <f t="shared" si="50"/>
        <v>0</v>
      </c>
      <c r="T273" s="10" t="str">
        <f>IFERROR(VLOOKUP(J273,'List+TK'!$D$3:$E$1000,2,0),"-")</f>
        <v>-</v>
      </c>
      <c r="U273" s="10" t="str">
        <f t="shared" si="45"/>
        <v>/10/2022</v>
      </c>
      <c r="V273" s="10" t="str">
        <f>IFERROR(VLOOKUP(K273,'List+TK'!$G$3:$H$16,2,0),"-")</f>
        <v>-</v>
      </c>
      <c r="W273" s="10" t="str">
        <f t="shared" si="51"/>
        <v/>
      </c>
      <c r="X273" s="4"/>
    </row>
    <row r="274" spans="1:24" hidden="1" x14ac:dyDescent="0.25">
      <c r="A274" s="5">
        <f>_xlfn.AGGREGATE(3,3,$I$4:I274)</f>
        <v>169</v>
      </c>
      <c r="B274" s="5"/>
      <c r="C274" s="26"/>
      <c r="D274" s="10"/>
      <c r="E274" s="10"/>
      <c r="F274" s="10"/>
      <c r="G274" s="10">
        <v>10</v>
      </c>
      <c r="H274" s="10"/>
      <c r="I274" s="10"/>
      <c r="J274" s="10"/>
      <c r="K274" s="10"/>
      <c r="L274" s="10" t="str">
        <f t="shared" si="46"/>
        <v>-</v>
      </c>
      <c r="M274" s="10" t="str">
        <f>IFERROR(VLOOKUP(L274,'List+TK'!$I$3:$J$9,2,0),"-")</f>
        <v>-</v>
      </c>
      <c r="N274" s="10"/>
      <c r="O274" s="10">
        <f t="shared" si="47"/>
        <v>0</v>
      </c>
      <c r="P274" s="10" t="str">
        <f t="shared" si="44"/>
        <v>83/1022/</v>
      </c>
      <c r="Q274" s="10" t="str">
        <f t="shared" si="48"/>
        <v>- -</v>
      </c>
      <c r="R274" s="10" t="str">
        <f t="shared" si="49"/>
        <v xml:space="preserve"> - , </v>
      </c>
      <c r="S274" s="10">
        <f t="shared" si="50"/>
        <v>0</v>
      </c>
      <c r="T274" s="10" t="str">
        <f>IFERROR(VLOOKUP(J274,'List+TK'!$D$3:$E$1000,2,0),"-")</f>
        <v>-</v>
      </c>
      <c r="U274" s="10" t="str">
        <f t="shared" si="45"/>
        <v>/10/2022</v>
      </c>
      <c r="V274" s="10" t="str">
        <f>IFERROR(VLOOKUP(K274,'List+TK'!$G$3:$H$16,2,0),"-")</f>
        <v>-</v>
      </c>
      <c r="W274" s="10" t="str">
        <f t="shared" si="51"/>
        <v/>
      </c>
      <c r="X274" s="4"/>
    </row>
    <row r="275" spans="1:24" hidden="1" x14ac:dyDescent="0.25">
      <c r="A275" s="5">
        <f>_xlfn.AGGREGATE(3,3,$I$4:I275)</f>
        <v>169</v>
      </c>
      <c r="B275" s="5"/>
      <c r="C275" s="26"/>
      <c r="D275" s="10"/>
      <c r="E275" s="10"/>
      <c r="F275" s="10"/>
      <c r="G275" s="10">
        <v>10</v>
      </c>
      <c r="H275" s="10"/>
      <c r="I275" s="10"/>
      <c r="J275" s="10"/>
      <c r="K275" s="10"/>
      <c r="L275" s="10" t="str">
        <f t="shared" si="46"/>
        <v>-</v>
      </c>
      <c r="M275" s="10" t="str">
        <f>IFERROR(VLOOKUP(L275,'List+TK'!$I$3:$J$9,2,0),"-")</f>
        <v>-</v>
      </c>
      <c r="N275" s="10"/>
      <c r="O275" s="10">
        <f t="shared" si="47"/>
        <v>0</v>
      </c>
      <c r="P275" s="10" t="str">
        <f t="shared" si="44"/>
        <v>83/1022/</v>
      </c>
      <c r="Q275" s="10" t="str">
        <f t="shared" si="48"/>
        <v>- -</v>
      </c>
      <c r="R275" s="10" t="str">
        <f t="shared" si="49"/>
        <v xml:space="preserve"> - , </v>
      </c>
      <c r="S275" s="10">
        <f t="shared" si="50"/>
        <v>0</v>
      </c>
      <c r="T275" s="10" t="str">
        <f>IFERROR(VLOOKUP(J275,'List+TK'!$D$3:$E$1000,2,0),"-")</f>
        <v>-</v>
      </c>
      <c r="U275" s="10" t="str">
        <f t="shared" si="45"/>
        <v>/10/2022</v>
      </c>
      <c r="V275" s="10" t="str">
        <f>IFERROR(VLOOKUP(K275,'List+TK'!$G$3:$H$16,2,0),"-")</f>
        <v>-</v>
      </c>
      <c r="W275" s="10" t="str">
        <f t="shared" si="51"/>
        <v/>
      </c>
      <c r="X275" s="4"/>
    </row>
    <row r="276" spans="1:24" hidden="1" x14ac:dyDescent="0.25">
      <c r="A276" s="5">
        <f>_xlfn.AGGREGATE(3,3,$I$4:I276)</f>
        <v>169</v>
      </c>
      <c r="B276" s="5"/>
      <c r="C276" s="26"/>
      <c r="D276" s="10"/>
      <c r="E276" s="10"/>
      <c r="F276" s="10"/>
      <c r="G276" s="10">
        <v>10</v>
      </c>
      <c r="H276" s="10"/>
      <c r="I276" s="10"/>
      <c r="J276" s="10"/>
      <c r="K276" s="10"/>
      <c r="L276" s="10" t="str">
        <f t="shared" si="46"/>
        <v>-</v>
      </c>
      <c r="M276" s="10" t="str">
        <f>IFERROR(VLOOKUP(L276,'List+TK'!$I$3:$J$9,2,0),"-")</f>
        <v>-</v>
      </c>
      <c r="N276" s="10"/>
      <c r="O276" s="10">
        <f t="shared" si="47"/>
        <v>0</v>
      </c>
      <c r="P276" s="10" t="str">
        <f t="shared" si="44"/>
        <v>83/1022/</v>
      </c>
      <c r="Q276" s="10" t="str">
        <f t="shared" si="48"/>
        <v>- -</v>
      </c>
      <c r="R276" s="10" t="str">
        <f t="shared" si="49"/>
        <v xml:space="preserve"> - , </v>
      </c>
      <c r="S276" s="10">
        <f t="shared" si="50"/>
        <v>0</v>
      </c>
      <c r="T276" s="10" t="str">
        <f>IFERROR(VLOOKUP(J276,'List+TK'!$D$3:$E$1000,2,0),"-")</f>
        <v>-</v>
      </c>
      <c r="U276" s="10" t="str">
        <f t="shared" si="45"/>
        <v>/10/2022</v>
      </c>
      <c r="V276" s="10" t="str">
        <f>IFERROR(VLOOKUP(K276,'List+TK'!$G$3:$H$16,2,0),"-")</f>
        <v>-</v>
      </c>
      <c r="W276" s="10" t="str">
        <f t="shared" si="51"/>
        <v/>
      </c>
      <c r="X276" s="4"/>
    </row>
    <row r="277" spans="1:24" hidden="1" x14ac:dyDescent="0.25">
      <c r="A277" s="5">
        <f>_xlfn.AGGREGATE(3,3,$I$4:I277)</f>
        <v>169</v>
      </c>
      <c r="B277" s="5"/>
      <c r="C277" s="26"/>
      <c r="D277" s="10"/>
      <c r="E277" s="10"/>
      <c r="F277" s="10"/>
      <c r="G277" s="10">
        <v>10</v>
      </c>
      <c r="H277" s="10"/>
      <c r="I277" s="10"/>
      <c r="J277" s="10"/>
      <c r="K277" s="10"/>
      <c r="L277" s="10" t="str">
        <f t="shared" si="46"/>
        <v>-</v>
      </c>
      <c r="M277" s="10" t="str">
        <f>IFERROR(VLOOKUP(L277,'List+TK'!$I$3:$J$9,2,0),"-")</f>
        <v>-</v>
      </c>
      <c r="N277" s="10"/>
      <c r="O277" s="10">
        <f t="shared" si="47"/>
        <v>0</v>
      </c>
      <c r="P277" s="10" t="str">
        <f t="shared" si="44"/>
        <v>83/1022/</v>
      </c>
      <c r="Q277" s="10" t="str">
        <f t="shared" si="48"/>
        <v>- -</v>
      </c>
      <c r="R277" s="10" t="str">
        <f t="shared" si="49"/>
        <v xml:space="preserve"> - , </v>
      </c>
      <c r="S277" s="10">
        <f t="shared" si="50"/>
        <v>0</v>
      </c>
      <c r="T277" s="10" t="str">
        <f>IFERROR(VLOOKUP(J277,'List+TK'!$D$3:$E$1000,2,0),"-")</f>
        <v>-</v>
      </c>
      <c r="U277" s="10" t="str">
        <f t="shared" si="45"/>
        <v>/10/2022</v>
      </c>
      <c r="V277" s="10" t="str">
        <f>IFERROR(VLOOKUP(K277,'List+TK'!$G$3:$H$16,2,0),"-")</f>
        <v>-</v>
      </c>
      <c r="W277" s="10" t="str">
        <f t="shared" si="51"/>
        <v/>
      </c>
      <c r="X277" s="4"/>
    </row>
    <row r="278" spans="1:24" hidden="1" x14ac:dyDescent="0.25">
      <c r="A278" s="5">
        <f>_xlfn.AGGREGATE(3,3,$I$4:I278)</f>
        <v>169</v>
      </c>
      <c r="B278" s="5"/>
      <c r="C278" s="26"/>
      <c r="D278" s="10"/>
      <c r="E278" s="10"/>
      <c r="F278" s="10"/>
      <c r="G278" s="10">
        <v>10</v>
      </c>
      <c r="H278" s="10"/>
      <c r="I278" s="10"/>
      <c r="J278" s="10"/>
      <c r="K278" s="10"/>
      <c r="L278" s="10" t="str">
        <f t="shared" si="46"/>
        <v>-</v>
      </c>
      <c r="M278" s="10" t="str">
        <f>IFERROR(VLOOKUP(L278,'List+TK'!$I$3:$J$9,2,0),"-")</f>
        <v>-</v>
      </c>
      <c r="N278" s="10"/>
      <c r="O278" s="10">
        <f t="shared" si="47"/>
        <v>0</v>
      </c>
      <c r="P278" s="10" t="str">
        <f t="shared" si="44"/>
        <v>83/1022/</v>
      </c>
      <c r="Q278" s="10" t="str">
        <f t="shared" si="48"/>
        <v>- -</v>
      </c>
      <c r="R278" s="10" t="str">
        <f t="shared" si="49"/>
        <v xml:space="preserve"> - , </v>
      </c>
      <c r="S278" s="10">
        <f t="shared" si="50"/>
        <v>0</v>
      </c>
      <c r="T278" s="10" t="str">
        <f>IFERROR(VLOOKUP(J278,'List+TK'!$D$3:$E$1000,2,0),"-")</f>
        <v>-</v>
      </c>
      <c r="U278" s="10" t="str">
        <f t="shared" si="45"/>
        <v>/10/2022</v>
      </c>
      <c r="V278" s="10" t="str">
        <f>IFERROR(VLOOKUP(K278,'List+TK'!$G$3:$H$16,2,0),"-")</f>
        <v>-</v>
      </c>
      <c r="W278" s="10" t="str">
        <f t="shared" si="51"/>
        <v/>
      </c>
      <c r="X278" s="4"/>
    </row>
    <row r="279" spans="1:24" hidden="1" x14ac:dyDescent="0.25">
      <c r="A279" s="5">
        <f>_xlfn.AGGREGATE(3,3,$I$4:I279)</f>
        <v>169</v>
      </c>
      <c r="B279" s="5"/>
      <c r="C279" s="26"/>
      <c r="D279" s="10"/>
      <c r="E279" s="10"/>
      <c r="F279" s="10"/>
      <c r="G279" s="10">
        <v>10</v>
      </c>
      <c r="H279" s="10"/>
      <c r="I279" s="10"/>
      <c r="J279" s="10"/>
      <c r="K279" s="10"/>
      <c r="L279" s="10" t="str">
        <f t="shared" si="46"/>
        <v>-</v>
      </c>
      <c r="M279" s="10" t="str">
        <f>IFERROR(VLOOKUP(L279,'List+TK'!$I$3:$J$9,2,0),"-")</f>
        <v>-</v>
      </c>
      <c r="N279" s="10"/>
      <c r="O279" s="10">
        <f t="shared" si="47"/>
        <v>0</v>
      </c>
      <c r="P279" s="10" t="str">
        <f t="shared" si="44"/>
        <v>83/1022/</v>
      </c>
      <c r="Q279" s="10" t="str">
        <f t="shared" si="48"/>
        <v>- -</v>
      </c>
      <c r="R279" s="10" t="str">
        <f t="shared" si="49"/>
        <v xml:space="preserve"> - , </v>
      </c>
      <c r="S279" s="10">
        <f t="shared" si="50"/>
        <v>0</v>
      </c>
      <c r="T279" s="10" t="str">
        <f>IFERROR(VLOOKUP(J279,'List+TK'!$D$3:$E$1000,2,0),"-")</f>
        <v>-</v>
      </c>
      <c r="U279" s="10" t="str">
        <f t="shared" si="45"/>
        <v>/10/2022</v>
      </c>
      <c r="V279" s="10" t="str">
        <f>IFERROR(VLOOKUP(K279,'List+TK'!$G$3:$H$16,2,0),"-")</f>
        <v>-</v>
      </c>
      <c r="W279" s="10" t="str">
        <f t="shared" si="51"/>
        <v/>
      </c>
      <c r="X279" s="4"/>
    </row>
    <row r="280" spans="1:24" hidden="1" x14ac:dyDescent="0.25">
      <c r="A280" s="5">
        <f>_xlfn.AGGREGATE(3,3,$I$4:I280)</f>
        <v>169</v>
      </c>
      <c r="B280" s="5"/>
      <c r="C280" s="26"/>
      <c r="D280" s="10"/>
      <c r="E280" s="10"/>
      <c r="F280" s="10"/>
      <c r="G280" s="10">
        <v>10</v>
      </c>
      <c r="H280" s="10"/>
      <c r="I280" s="10"/>
      <c r="J280" s="10"/>
      <c r="K280" s="10"/>
      <c r="L280" s="10" t="str">
        <f t="shared" si="46"/>
        <v>-</v>
      </c>
      <c r="M280" s="10" t="str">
        <f>IFERROR(VLOOKUP(L280,'List+TK'!$I$3:$J$9,2,0),"-")</f>
        <v>-</v>
      </c>
      <c r="N280" s="10"/>
      <c r="O280" s="10">
        <f t="shared" si="47"/>
        <v>0</v>
      </c>
      <c r="P280" s="10" t="str">
        <f t="shared" si="44"/>
        <v>83/1022/</v>
      </c>
      <c r="Q280" s="10" t="str">
        <f t="shared" si="48"/>
        <v>- -</v>
      </c>
      <c r="R280" s="10" t="str">
        <f t="shared" si="49"/>
        <v xml:space="preserve"> - , </v>
      </c>
      <c r="S280" s="10">
        <f t="shared" si="50"/>
        <v>0</v>
      </c>
      <c r="T280" s="10" t="str">
        <f>IFERROR(VLOOKUP(J280,'List+TK'!$D$3:$E$1000,2,0),"-")</f>
        <v>-</v>
      </c>
      <c r="U280" s="10" t="str">
        <f t="shared" si="45"/>
        <v>/10/2022</v>
      </c>
      <c r="V280" s="10" t="str">
        <f>IFERROR(VLOOKUP(K280,'List+TK'!$G$3:$H$16,2,0),"-")</f>
        <v>-</v>
      </c>
      <c r="W280" s="10" t="str">
        <f t="shared" si="51"/>
        <v/>
      </c>
      <c r="X280" s="4"/>
    </row>
    <row r="281" spans="1:24" hidden="1" x14ac:dyDescent="0.25">
      <c r="A281" s="5">
        <f>_xlfn.AGGREGATE(3,3,$I$4:I281)</f>
        <v>169</v>
      </c>
      <c r="B281" s="5"/>
      <c r="C281" s="26"/>
      <c r="D281" s="10"/>
      <c r="E281" s="10"/>
      <c r="F281" s="10"/>
      <c r="G281" s="10">
        <v>10</v>
      </c>
      <c r="H281" s="10"/>
      <c r="I281" s="10"/>
      <c r="J281" s="10"/>
      <c r="K281" s="10"/>
      <c r="L281" s="10" t="str">
        <f t="shared" si="46"/>
        <v>-</v>
      </c>
      <c r="M281" s="10" t="str">
        <f>IFERROR(VLOOKUP(L281,'List+TK'!$I$3:$J$9,2,0),"-")</f>
        <v>-</v>
      </c>
      <c r="N281" s="10"/>
      <c r="O281" s="10">
        <f t="shared" si="47"/>
        <v>0</v>
      </c>
      <c r="P281" s="10" t="str">
        <f t="shared" ref="P281:P312" si="52">"83/"&amp;IF(LEN(G281)=1,"0"&amp;G281,G281)&amp;"22/"&amp;IF(LEN(B281)=1,"0"&amp;B281,B281)</f>
        <v>83/1022/</v>
      </c>
      <c r="Q281" s="10" t="str">
        <f t="shared" si="48"/>
        <v>- -</v>
      </c>
      <c r="R281" s="10" t="str">
        <f t="shared" si="49"/>
        <v xml:space="preserve"> - , </v>
      </c>
      <c r="S281" s="10">
        <f t="shared" si="50"/>
        <v>0</v>
      </c>
      <c r="T281" s="10" t="str">
        <f>IFERROR(VLOOKUP(J281,'List+TK'!$D$3:$E$1000,2,0),"-")</f>
        <v>-</v>
      </c>
      <c r="U281" s="10" t="str">
        <f t="shared" ref="U281:U312" si="53">H281&amp;"/"&amp;IF(LEN(G281)=1,"0"&amp;G281,G281)&amp;"/2022"</f>
        <v>/10/2022</v>
      </c>
      <c r="V281" s="10" t="str">
        <f>IFERROR(VLOOKUP(K281,'List+TK'!$G$3:$H$16,2,0),"-")</f>
        <v>-</v>
      </c>
      <c r="W281" s="10" t="str">
        <f t="shared" si="51"/>
        <v/>
      </c>
      <c r="X281" s="4"/>
    </row>
    <row r="282" spans="1:24" hidden="1" x14ac:dyDescent="0.25">
      <c r="A282" s="5">
        <f>_xlfn.AGGREGATE(3,3,$I$4:I282)</f>
        <v>169</v>
      </c>
      <c r="B282" s="5"/>
      <c r="C282" s="26"/>
      <c r="D282" s="10"/>
      <c r="E282" s="10"/>
      <c r="F282" s="10"/>
      <c r="G282" s="10">
        <v>10</v>
      </c>
      <c r="H282" s="10"/>
      <c r="I282" s="10"/>
      <c r="J282" s="10"/>
      <c r="K282" s="10"/>
      <c r="L282" s="10" t="str">
        <f t="shared" si="46"/>
        <v>-</v>
      </c>
      <c r="M282" s="10" t="str">
        <f>IFERROR(VLOOKUP(L282,'List+TK'!$I$3:$J$9,2,0),"-")</f>
        <v>-</v>
      </c>
      <c r="N282" s="10"/>
      <c r="O282" s="10">
        <f t="shared" si="47"/>
        <v>0</v>
      </c>
      <c r="P282" s="10" t="str">
        <f t="shared" si="52"/>
        <v>83/1022/</v>
      </c>
      <c r="Q282" s="10" t="str">
        <f t="shared" si="48"/>
        <v>- -</v>
      </c>
      <c r="R282" s="10" t="str">
        <f t="shared" si="49"/>
        <v xml:space="preserve"> - , </v>
      </c>
      <c r="S282" s="10">
        <f t="shared" si="50"/>
        <v>0</v>
      </c>
      <c r="T282" s="10" t="str">
        <f>IFERROR(VLOOKUP(J282,'List+TK'!$D$3:$E$1000,2,0),"-")</f>
        <v>-</v>
      </c>
      <c r="U282" s="10" t="str">
        <f t="shared" si="53"/>
        <v>/10/2022</v>
      </c>
      <c r="V282" s="10" t="str">
        <f>IFERROR(VLOOKUP(K282,'List+TK'!$G$3:$H$16,2,0),"-")</f>
        <v>-</v>
      </c>
      <c r="W282" s="10" t="str">
        <f t="shared" si="51"/>
        <v/>
      </c>
      <c r="X282" s="4"/>
    </row>
    <row r="283" spans="1:24" hidden="1" x14ac:dyDescent="0.25">
      <c r="A283" s="5">
        <f>_xlfn.AGGREGATE(3,3,$I$4:I283)</f>
        <v>169</v>
      </c>
      <c r="B283" s="5"/>
      <c r="C283" s="26"/>
      <c r="D283" s="10"/>
      <c r="E283" s="10"/>
      <c r="F283" s="10"/>
      <c r="G283" s="10">
        <v>10</v>
      </c>
      <c r="H283" s="10"/>
      <c r="I283" s="10"/>
      <c r="J283" s="10"/>
      <c r="K283" s="10"/>
      <c r="L283" s="10" t="str">
        <f t="shared" si="46"/>
        <v>-</v>
      </c>
      <c r="M283" s="10" t="str">
        <f>IFERROR(VLOOKUP(L283,'List+TK'!$I$3:$J$9,2,0),"-")</f>
        <v>-</v>
      </c>
      <c r="N283" s="10"/>
      <c r="O283" s="10">
        <f t="shared" si="47"/>
        <v>0</v>
      </c>
      <c r="P283" s="10" t="str">
        <f t="shared" si="52"/>
        <v>83/1022/</v>
      </c>
      <c r="Q283" s="10" t="str">
        <f t="shared" si="48"/>
        <v>- -</v>
      </c>
      <c r="R283" s="10" t="str">
        <f t="shared" si="49"/>
        <v xml:space="preserve"> - , </v>
      </c>
      <c r="S283" s="10">
        <f t="shared" si="50"/>
        <v>0</v>
      </c>
      <c r="T283" s="10" t="str">
        <f>IFERROR(VLOOKUP(J283,'List+TK'!$D$3:$E$1000,2,0),"-")</f>
        <v>-</v>
      </c>
      <c r="U283" s="10" t="str">
        <f t="shared" si="53"/>
        <v>/10/2022</v>
      </c>
      <c r="V283" s="10" t="str">
        <f>IFERROR(VLOOKUP(K283,'List+TK'!$G$3:$H$16,2,0),"-")</f>
        <v>-</v>
      </c>
      <c r="W283" s="10" t="str">
        <f t="shared" si="51"/>
        <v/>
      </c>
      <c r="X283" s="4"/>
    </row>
    <row r="284" spans="1:24" hidden="1" x14ac:dyDescent="0.25">
      <c r="A284" s="5">
        <f>_xlfn.AGGREGATE(3,3,$I$4:I284)</f>
        <v>169</v>
      </c>
      <c r="B284" s="5"/>
      <c r="C284" s="26"/>
      <c r="D284" s="10"/>
      <c r="E284" s="10"/>
      <c r="F284" s="10"/>
      <c r="G284" s="10">
        <v>10</v>
      </c>
      <c r="H284" s="10"/>
      <c r="I284" s="10"/>
      <c r="J284" s="10"/>
      <c r="K284" s="10"/>
      <c r="L284" s="10" t="str">
        <f t="shared" si="46"/>
        <v>-</v>
      </c>
      <c r="M284" s="10" t="str">
        <f>IFERROR(VLOOKUP(L284,'List+TK'!$I$3:$J$9,2,0),"-")</f>
        <v>-</v>
      </c>
      <c r="N284" s="10"/>
      <c r="O284" s="10">
        <f t="shared" si="47"/>
        <v>0</v>
      </c>
      <c r="P284" s="10" t="str">
        <f t="shared" si="52"/>
        <v>83/1022/</v>
      </c>
      <c r="Q284" s="10" t="str">
        <f t="shared" si="48"/>
        <v>- -</v>
      </c>
      <c r="R284" s="10" t="str">
        <f t="shared" si="49"/>
        <v xml:space="preserve"> - , </v>
      </c>
      <c r="S284" s="10">
        <f t="shared" si="50"/>
        <v>0</v>
      </c>
      <c r="T284" s="10" t="str">
        <f>IFERROR(VLOOKUP(J284,'List+TK'!$D$3:$E$1000,2,0),"-")</f>
        <v>-</v>
      </c>
      <c r="U284" s="10" t="str">
        <f t="shared" si="53"/>
        <v>/10/2022</v>
      </c>
      <c r="V284" s="10" t="str">
        <f>IFERROR(VLOOKUP(K284,'List+TK'!$G$3:$H$16,2,0),"-")</f>
        <v>-</v>
      </c>
      <c r="W284" s="10" t="str">
        <f t="shared" si="51"/>
        <v/>
      </c>
      <c r="X284" s="4"/>
    </row>
    <row r="285" spans="1:24" hidden="1" x14ac:dyDescent="0.25">
      <c r="A285" s="5">
        <f>_xlfn.AGGREGATE(3,3,$I$4:I285)</f>
        <v>169</v>
      </c>
      <c r="B285" s="5"/>
      <c r="C285" s="26"/>
      <c r="D285" s="10"/>
      <c r="E285" s="10"/>
      <c r="F285" s="10"/>
      <c r="G285" s="10">
        <v>10</v>
      </c>
      <c r="H285" s="10"/>
      <c r="I285" s="10"/>
      <c r="J285" s="10"/>
      <c r="K285" s="10"/>
      <c r="L285" s="10" t="str">
        <f t="shared" si="46"/>
        <v>-</v>
      </c>
      <c r="M285" s="10" t="str">
        <f>IFERROR(VLOOKUP(L285,'List+TK'!$I$3:$J$9,2,0),"-")</f>
        <v>-</v>
      </c>
      <c r="N285" s="10"/>
      <c r="O285" s="10">
        <f t="shared" si="47"/>
        <v>0</v>
      </c>
      <c r="P285" s="10" t="str">
        <f t="shared" si="52"/>
        <v>83/1022/</v>
      </c>
      <c r="Q285" s="10" t="str">
        <f t="shared" si="48"/>
        <v>- -</v>
      </c>
      <c r="R285" s="10" t="str">
        <f t="shared" si="49"/>
        <v xml:space="preserve"> - , </v>
      </c>
      <c r="S285" s="10">
        <f t="shared" si="50"/>
        <v>0</v>
      </c>
      <c r="T285" s="10" t="str">
        <f>IFERROR(VLOOKUP(J285,'List+TK'!$D$3:$E$1000,2,0),"-")</f>
        <v>-</v>
      </c>
      <c r="U285" s="10" t="str">
        <f t="shared" si="53"/>
        <v>/10/2022</v>
      </c>
      <c r="V285" s="10" t="str">
        <f>IFERROR(VLOOKUP(K285,'List+TK'!$G$3:$H$16,2,0),"-")</f>
        <v>-</v>
      </c>
      <c r="W285" s="10" t="str">
        <f t="shared" si="51"/>
        <v/>
      </c>
      <c r="X285" s="4"/>
    </row>
    <row r="286" spans="1:24" hidden="1" x14ac:dyDescent="0.25">
      <c r="A286" s="5">
        <f>_xlfn.AGGREGATE(3,3,$I$4:I286)</f>
        <v>169</v>
      </c>
      <c r="B286" s="5"/>
      <c r="C286" s="26"/>
      <c r="D286" s="10"/>
      <c r="E286" s="10"/>
      <c r="F286" s="10"/>
      <c r="G286" s="10">
        <v>10</v>
      </c>
      <c r="H286" s="10"/>
      <c r="I286" s="10"/>
      <c r="J286" s="10"/>
      <c r="K286" s="10"/>
      <c r="L286" s="10" t="str">
        <f t="shared" si="46"/>
        <v>-</v>
      </c>
      <c r="M286" s="10" t="str">
        <f>IFERROR(VLOOKUP(L286,'List+TK'!$I$3:$J$9,2,0),"-")</f>
        <v>-</v>
      </c>
      <c r="N286" s="10"/>
      <c r="O286" s="10">
        <f t="shared" si="47"/>
        <v>0</v>
      </c>
      <c r="P286" s="10" t="str">
        <f t="shared" si="52"/>
        <v>83/1022/</v>
      </c>
      <c r="Q286" s="10" t="str">
        <f t="shared" si="48"/>
        <v>- -</v>
      </c>
      <c r="R286" s="10" t="str">
        <f t="shared" si="49"/>
        <v xml:space="preserve"> - , </v>
      </c>
      <c r="S286" s="10">
        <f t="shared" si="50"/>
        <v>0</v>
      </c>
      <c r="T286" s="10" t="str">
        <f>IFERROR(VLOOKUP(J286,'List+TK'!$D$3:$E$1000,2,0),"-")</f>
        <v>-</v>
      </c>
      <c r="U286" s="10" t="str">
        <f t="shared" si="53"/>
        <v>/10/2022</v>
      </c>
      <c r="V286" s="10" t="str">
        <f>IFERROR(VLOOKUP(K286,'List+TK'!$G$3:$H$16,2,0),"-")</f>
        <v>-</v>
      </c>
      <c r="W286" s="10" t="str">
        <f t="shared" si="51"/>
        <v/>
      </c>
      <c r="X286" s="4"/>
    </row>
    <row r="287" spans="1:24" hidden="1" x14ac:dyDescent="0.25">
      <c r="A287" s="5">
        <f>_xlfn.AGGREGATE(3,3,$I$4:I287)</f>
        <v>169</v>
      </c>
      <c r="B287" s="5"/>
      <c r="C287" s="26"/>
      <c r="D287" s="10"/>
      <c r="E287" s="10"/>
      <c r="F287" s="10"/>
      <c r="G287" s="10">
        <v>10</v>
      </c>
      <c r="H287" s="10"/>
      <c r="I287" s="10"/>
      <c r="J287" s="10"/>
      <c r="K287" s="10"/>
      <c r="L287" s="10" t="str">
        <f t="shared" si="46"/>
        <v>-</v>
      </c>
      <c r="M287" s="10" t="str">
        <f>IFERROR(VLOOKUP(L287,'List+TK'!$I$3:$J$9,2,0),"-")</f>
        <v>-</v>
      </c>
      <c r="N287" s="10"/>
      <c r="O287" s="10">
        <f t="shared" si="47"/>
        <v>0</v>
      </c>
      <c r="P287" s="10" t="str">
        <f t="shared" si="52"/>
        <v>83/1022/</v>
      </c>
      <c r="Q287" s="10" t="str">
        <f t="shared" si="48"/>
        <v>- -</v>
      </c>
      <c r="R287" s="10" t="str">
        <f t="shared" si="49"/>
        <v xml:space="preserve"> - , </v>
      </c>
      <c r="S287" s="10">
        <f t="shared" si="50"/>
        <v>0</v>
      </c>
      <c r="T287" s="10" t="str">
        <f>IFERROR(VLOOKUP(J287,'List+TK'!$D$3:$E$1000,2,0),"-")</f>
        <v>-</v>
      </c>
      <c r="U287" s="10" t="str">
        <f t="shared" si="53"/>
        <v>/10/2022</v>
      </c>
      <c r="V287" s="10" t="str">
        <f>IFERROR(VLOOKUP(K287,'List+TK'!$G$3:$H$16,2,0),"-")</f>
        <v>-</v>
      </c>
      <c r="W287" s="10" t="str">
        <f t="shared" si="51"/>
        <v/>
      </c>
      <c r="X287" s="4"/>
    </row>
    <row r="288" spans="1:24" hidden="1" x14ac:dyDescent="0.25">
      <c r="A288" s="5">
        <f>_xlfn.AGGREGATE(3,3,$I$4:I288)</f>
        <v>169</v>
      </c>
      <c r="B288" s="5"/>
      <c r="C288" s="26"/>
      <c r="D288" s="10"/>
      <c r="E288" s="10"/>
      <c r="F288" s="10"/>
      <c r="G288" s="10">
        <v>10</v>
      </c>
      <c r="H288" s="10"/>
      <c r="I288" s="10"/>
      <c r="J288" s="10"/>
      <c r="K288" s="10"/>
      <c r="L288" s="10" t="str">
        <f t="shared" si="46"/>
        <v>-</v>
      </c>
      <c r="M288" s="10" t="str">
        <f>IFERROR(VLOOKUP(L288,'List+TK'!$I$3:$J$9,2,0),"-")</f>
        <v>-</v>
      </c>
      <c r="N288" s="10"/>
      <c r="O288" s="10">
        <f t="shared" si="47"/>
        <v>0</v>
      </c>
      <c r="P288" s="10" t="str">
        <f t="shared" si="52"/>
        <v>83/1022/</v>
      </c>
      <c r="Q288" s="10" t="str">
        <f t="shared" si="48"/>
        <v>- -</v>
      </c>
      <c r="R288" s="10" t="str">
        <f t="shared" si="49"/>
        <v xml:space="preserve"> - , </v>
      </c>
      <c r="S288" s="10">
        <f t="shared" si="50"/>
        <v>0</v>
      </c>
      <c r="T288" s="10" t="str">
        <f>IFERROR(VLOOKUP(J288,'List+TK'!$D$3:$E$1000,2,0),"-")</f>
        <v>-</v>
      </c>
      <c r="U288" s="10" t="str">
        <f t="shared" si="53"/>
        <v>/10/2022</v>
      </c>
      <c r="V288" s="10" t="str">
        <f>IFERROR(VLOOKUP(K288,'List+TK'!$G$3:$H$16,2,0),"-")</f>
        <v>-</v>
      </c>
      <c r="W288" s="10" t="str">
        <f t="shared" si="51"/>
        <v/>
      </c>
      <c r="X288" s="4"/>
    </row>
    <row r="289" spans="1:24" hidden="1" x14ac:dyDescent="0.25">
      <c r="A289" s="5">
        <f>_xlfn.AGGREGATE(3,3,$I$4:I289)</f>
        <v>169</v>
      </c>
      <c r="B289" s="5"/>
      <c r="C289" s="26"/>
      <c r="D289" s="10"/>
      <c r="E289" s="10"/>
      <c r="F289" s="10"/>
      <c r="G289" s="10">
        <v>10</v>
      </c>
      <c r="H289" s="10"/>
      <c r="I289" s="10"/>
      <c r="J289" s="10"/>
      <c r="K289" s="10"/>
      <c r="L289" s="10" t="str">
        <f t="shared" si="46"/>
        <v>-</v>
      </c>
      <c r="M289" s="10" t="str">
        <f>IFERROR(VLOOKUP(L289,'List+TK'!$I$3:$J$9,2,0),"-")</f>
        <v>-</v>
      </c>
      <c r="N289" s="10"/>
      <c r="O289" s="10">
        <f t="shared" si="47"/>
        <v>0</v>
      </c>
      <c r="P289" s="10" t="str">
        <f t="shared" si="52"/>
        <v>83/1022/</v>
      </c>
      <c r="Q289" s="10" t="str">
        <f t="shared" si="48"/>
        <v>- -</v>
      </c>
      <c r="R289" s="10" t="str">
        <f t="shared" si="49"/>
        <v xml:space="preserve"> - , </v>
      </c>
      <c r="S289" s="10">
        <f t="shared" si="50"/>
        <v>0</v>
      </c>
      <c r="T289" s="10" t="str">
        <f>IFERROR(VLOOKUP(J289,'List+TK'!$D$3:$E$1000,2,0),"-")</f>
        <v>-</v>
      </c>
      <c r="U289" s="10" t="str">
        <f t="shared" si="53"/>
        <v>/10/2022</v>
      </c>
      <c r="V289" s="10" t="str">
        <f>IFERROR(VLOOKUP(K289,'List+TK'!$G$3:$H$16,2,0),"-")</f>
        <v>-</v>
      </c>
      <c r="W289" s="10" t="str">
        <f t="shared" si="51"/>
        <v/>
      </c>
      <c r="X289" s="4"/>
    </row>
    <row r="290" spans="1:24" hidden="1" x14ac:dyDescent="0.25">
      <c r="A290" s="5">
        <f>_xlfn.AGGREGATE(3,3,$I$4:I290)</f>
        <v>169</v>
      </c>
      <c r="B290" s="5"/>
      <c r="C290" s="26"/>
      <c r="D290" s="10"/>
      <c r="E290" s="10"/>
      <c r="F290" s="10"/>
      <c r="G290" s="10">
        <v>10</v>
      </c>
      <c r="H290" s="10"/>
      <c r="I290" s="10"/>
      <c r="J290" s="10"/>
      <c r="K290" s="10"/>
      <c r="L290" s="10" t="str">
        <f t="shared" si="46"/>
        <v>-</v>
      </c>
      <c r="M290" s="10" t="str">
        <f>IFERROR(VLOOKUP(L290,'List+TK'!$I$3:$J$9,2,0),"-")</f>
        <v>-</v>
      </c>
      <c r="N290" s="10"/>
      <c r="O290" s="10">
        <f t="shared" si="47"/>
        <v>0</v>
      </c>
      <c r="P290" s="10" t="str">
        <f t="shared" si="52"/>
        <v>83/1022/</v>
      </c>
      <c r="Q290" s="10" t="str">
        <f t="shared" si="48"/>
        <v>- -</v>
      </c>
      <c r="R290" s="10" t="str">
        <f t="shared" si="49"/>
        <v xml:space="preserve"> - , </v>
      </c>
      <c r="S290" s="10">
        <f t="shared" si="50"/>
        <v>0</v>
      </c>
      <c r="T290" s="10" t="str">
        <f>IFERROR(VLOOKUP(J290,'List+TK'!$D$3:$E$1000,2,0),"-")</f>
        <v>-</v>
      </c>
      <c r="U290" s="10" t="str">
        <f t="shared" si="53"/>
        <v>/10/2022</v>
      </c>
      <c r="V290" s="10" t="str">
        <f>IFERROR(VLOOKUP(K290,'List+TK'!$G$3:$H$16,2,0),"-")</f>
        <v>-</v>
      </c>
      <c r="W290" s="10" t="str">
        <f t="shared" si="51"/>
        <v/>
      </c>
      <c r="X290" s="4"/>
    </row>
    <row r="291" spans="1:24" hidden="1" x14ac:dyDescent="0.25">
      <c r="A291" s="5">
        <f>_xlfn.AGGREGATE(3,3,$I$4:I291)</f>
        <v>169</v>
      </c>
      <c r="B291" s="5"/>
      <c r="C291" s="26"/>
      <c r="D291" s="10"/>
      <c r="E291" s="10"/>
      <c r="F291" s="10"/>
      <c r="G291" s="10">
        <v>10</v>
      </c>
      <c r="H291" s="10"/>
      <c r="I291" s="10"/>
      <c r="J291" s="10"/>
      <c r="K291" s="10"/>
      <c r="L291" s="10" t="str">
        <f t="shared" si="46"/>
        <v>-</v>
      </c>
      <c r="M291" s="10" t="str">
        <f>IFERROR(VLOOKUP(L291,'List+TK'!$I$3:$J$9,2,0),"-")</f>
        <v>-</v>
      </c>
      <c r="N291" s="10"/>
      <c r="O291" s="10">
        <f t="shared" si="47"/>
        <v>0</v>
      </c>
      <c r="P291" s="10" t="str">
        <f t="shared" si="52"/>
        <v>83/1022/</v>
      </c>
      <c r="Q291" s="10" t="str">
        <f t="shared" si="48"/>
        <v>- -</v>
      </c>
      <c r="R291" s="10" t="str">
        <f t="shared" si="49"/>
        <v xml:space="preserve"> - , </v>
      </c>
      <c r="S291" s="10">
        <f t="shared" si="50"/>
        <v>0</v>
      </c>
      <c r="T291" s="10" t="str">
        <f>IFERROR(VLOOKUP(J291,'List+TK'!$D$3:$E$1000,2,0),"-")</f>
        <v>-</v>
      </c>
      <c r="U291" s="10" t="str">
        <f t="shared" si="53"/>
        <v>/10/2022</v>
      </c>
      <c r="V291" s="10" t="str">
        <f>IFERROR(VLOOKUP(K291,'List+TK'!$G$3:$H$16,2,0),"-")</f>
        <v>-</v>
      </c>
      <c r="W291" s="10" t="str">
        <f t="shared" si="51"/>
        <v/>
      </c>
      <c r="X291" s="4"/>
    </row>
    <row r="292" spans="1:24" hidden="1" x14ac:dyDescent="0.25">
      <c r="A292" s="5">
        <f>_xlfn.AGGREGATE(3,3,$I$4:I292)</f>
        <v>169</v>
      </c>
      <c r="B292" s="5"/>
      <c r="C292" s="26"/>
      <c r="D292" s="10"/>
      <c r="E292" s="10"/>
      <c r="F292" s="10"/>
      <c r="G292" s="10">
        <v>10</v>
      </c>
      <c r="H292" s="10"/>
      <c r="I292" s="10"/>
      <c r="J292" s="10"/>
      <c r="K292" s="10"/>
      <c r="L292" s="10" t="str">
        <f t="shared" si="46"/>
        <v>-</v>
      </c>
      <c r="M292" s="10" t="str">
        <f>IFERROR(VLOOKUP(L292,'List+TK'!$I$3:$J$9,2,0),"-")</f>
        <v>-</v>
      </c>
      <c r="N292" s="10"/>
      <c r="O292" s="10">
        <f t="shared" si="47"/>
        <v>0</v>
      </c>
      <c r="P292" s="10" t="str">
        <f t="shared" si="52"/>
        <v>83/1022/</v>
      </c>
      <c r="Q292" s="10" t="str">
        <f t="shared" si="48"/>
        <v>- -</v>
      </c>
      <c r="R292" s="10" t="str">
        <f t="shared" si="49"/>
        <v xml:space="preserve"> - , </v>
      </c>
      <c r="S292" s="10">
        <f t="shared" si="50"/>
        <v>0</v>
      </c>
      <c r="T292" s="10" t="str">
        <f>IFERROR(VLOOKUP(J292,'List+TK'!$D$3:$E$1000,2,0),"-")</f>
        <v>-</v>
      </c>
      <c r="U292" s="10" t="str">
        <f t="shared" si="53"/>
        <v>/10/2022</v>
      </c>
      <c r="V292" s="10" t="str">
        <f>IFERROR(VLOOKUP(K292,'List+TK'!$G$3:$H$16,2,0),"-")</f>
        <v>-</v>
      </c>
      <c r="W292" s="10" t="str">
        <f t="shared" si="51"/>
        <v/>
      </c>
      <c r="X292" s="4"/>
    </row>
    <row r="293" spans="1:24" hidden="1" x14ac:dyDescent="0.25">
      <c r="A293" s="5">
        <f>_xlfn.AGGREGATE(3,3,$I$4:I293)</f>
        <v>169</v>
      </c>
      <c r="B293" s="5"/>
      <c r="C293" s="26"/>
      <c r="D293" s="10"/>
      <c r="E293" s="10"/>
      <c r="F293" s="10"/>
      <c r="G293" s="10">
        <v>10</v>
      </c>
      <c r="H293" s="10"/>
      <c r="I293" s="10"/>
      <c r="J293" s="10"/>
      <c r="K293" s="10"/>
      <c r="L293" s="10" t="str">
        <f t="shared" si="46"/>
        <v>-</v>
      </c>
      <c r="M293" s="10" t="str">
        <f>IFERROR(VLOOKUP(L293,'List+TK'!$I$3:$J$9,2,0),"-")</f>
        <v>-</v>
      </c>
      <c r="N293" s="10"/>
      <c r="O293" s="10">
        <f t="shared" si="47"/>
        <v>0</v>
      </c>
      <c r="P293" s="10" t="str">
        <f t="shared" si="52"/>
        <v>83/1022/</v>
      </c>
      <c r="Q293" s="10" t="str">
        <f t="shared" si="48"/>
        <v>- -</v>
      </c>
      <c r="R293" s="10" t="str">
        <f t="shared" si="49"/>
        <v xml:space="preserve"> - , </v>
      </c>
      <c r="S293" s="10">
        <f t="shared" si="50"/>
        <v>0</v>
      </c>
      <c r="T293" s="10" t="str">
        <f>IFERROR(VLOOKUP(J293,'List+TK'!$D$3:$E$1000,2,0),"-")</f>
        <v>-</v>
      </c>
      <c r="U293" s="10" t="str">
        <f t="shared" si="53"/>
        <v>/10/2022</v>
      </c>
      <c r="V293" s="10" t="str">
        <f>IFERROR(VLOOKUP(K293,'List+TK'!$G$3:$H$16,2,0),"-")</f>
        <v>-</v>
      </c>
      <c r="W293" s="10" t="str">
        <f t="shared" si="51"/>
        <v/>
      </c>
      <c r="X293" s="4"/>
    </row>
    <row r="294" spans="1:24" hidden="1" x14ac:dyDescent="0.25">
      <c r="A294" s="5">
        <f>_xlfn.AGGREGATE(3,3,$I$4:I294)</f>
        <v>169</v>
      </c>
      <c r="B294" s="5"/>
      <c r="C294" s="26"/>
      <c r="D294" s="10"/>
      <c r="E294" s="10"/>
      <c r="F294" s="10"/>
      <c r="G294" s="10">
        <v>10</v>
      </c>
      <c r="H294" s="10"/>
      <c r="I294" s="10"/>
      <c r="J294" s="10"/>
      <c r="K294" s="10"/>
      <c r="L294" s="10" t="str">
        <f t="shared" si="46"/>
        <v>-</v>
      </c>
      <c r="M294" s="10" t="str">
        <f>IFERROR(VLOOKUP(L294,'List+TK'!$I$3:$J$9,2,0),"-")</f>
        <v>-</v>
      </c>
      <c r="N294" s="10"/>
      <c r="O294" s="10">
        <f t="shared" si="47"/>
        <v>0</v>
      </c>
      <c r="P294" s="10" t="str">
        <f t="shared" si="52"/>
        <v>83/1022/</v>
      </c>
      <c r="Q294" s="10" t="str">
        <f t="shared" si="48"/>
        <v>- -</v>
      </c>
      <c r="R294" s="10" t="str">
        <f t="shared" si="49"/>
        <v xml:space="preserve"> - , </v>
      </c>
      <c r="S294" s="10">
        <f t="shared" si="50"/>
        <v>0</v>
      </c>
      <c r="T294" s="10" t="str">
        <f>IFERROR(VLOOKUP(J294,'List+TK'!$D$3:$E$1000,2,0),"-")</f>
        <v>-</v>
      </c>
      <c r="U294" s="10" t="str">
        <f t="shared" si="53"/>
        <v>/10/2022</v>
      </c>
      <c r="V294" s="10" t="str">
        <f>IFERROR(VLOOKUP(K294,'List+TK'!$G$3:$H$16,2,0),"-")</f>
        <v>-</v>
      </c>
      <c r="W294" s="10" t="str">
        <f t="shared" si="51"/>
        <v/>
      </c>
      <c r="X294" s="4"/>
    </row>
    <row r="295" spans="1:24" hidden="1" x14ac:dyDescent="0.25">
      <c r="A295" s="5">
        <f>_xlfn.AGGREGATE(3,3,$I$4:I295)</f>
        <v>169</v>
      </c>
      <c r="B295" s="5"/>
      <c r="C295" s="26"/>
      <c r="D295" s="10"/>
      <c r="E295" s="10"/>
      <c r="F295" s="10"/>
      <c r="G295" s="10">
        <v>10</v>
      </c>
      <c r="H295" s="10"/>
      <c r="I295" s="10"/>
      <c r="J295" s="10"/>
      <c r="K295" s="10"/>
      <c r="L295" s="10" t="str">
        <f t="shared" si="46"/>
        <v>-</v>
      </c>
      <c r="M295" s="10" t="str">
        <f>IFERROR(VLOOKUP(L295,'List+TK'!$I$3:$J$9,2,0),"-")</f>
        <v>-</v>
      </c>
      <c r="N295" s="10"/>
      <c r="O295" s="10">
        <f t="shared" si="47"/>
        <v>0</v>
      </c>
      <c r="P295" s="10" t="str">
        <f t="shared" si="52"/>
        <v>83/1022/</v>
      </c>
      <c r="Q295" s="10" t="str">
        <f t="shared" si="48"/>
        <v>- -</v>
      </c>
      <c r="R295" s="10" t="str">
        <f t="shared" si="49"/>
        <v xml:space="preserve"> - , </v>
      </c>
      <c r="S295" s="10">
        <f t="shared" si="50"/>
        <v>0</v>
      </c>
      <c r="T295" s="10" t="str">
        <f>IFERROR(VLOOKUP(J295,'List+TK'!$D$3:$E$1000,2,0),"-")</f>
        <v>-</v>
      </c>
      <c r="U295" s="10" t="str">
        <f t="shared" si="53"/>
        <v>/10/2022</v>
      </c>
      <c r="V295" s="10" t="str">
        <f>IFERROR(VLOOKUP(K295,'List+TK'!$G$3:$H$16,2,0),"-")</f>
        <v>-</v>
      </c>
      <c r="W295" s="10" t="str">
        <f t="shared" si="51"/>
        <v/>
      </c>
      <c r="X295" s="4"/>
    </row>
    <row r="296" spans="1:24" hidden="1" x14ac:dyDescent="0.25">
      <c r="A296" s="5">
        <f>_xlfn.AGGREGATE(3,3,$I$4:I296)</f>
        <v>169</v>
      </c>
      <c r="B296" s="5"/>
      <c r="C296" s="26"/>
      <c r="D296" s="10"/>
      <c r="E296" s="10"/>
      <c r="F296" s="10"/>
      <c r="G296" s="10">
        <v>10</v>
      </c>
      <c r="H296" s="10"/>
      <c r="I296" s="10"/>
      <c r="J296" s="10"/>
      <c r="K296" s="10"/>
      <c r="L296" s="10" t="str">
        <f t="shared" si="46"/>
        <v>-</v>
      </c>
      <c r="M296" s="10" t="str">
        <f>IFERROR(VLOOKUP(L296,'List+TK'!$I$3:$J$9,2,0),"-")</f>
        <v>-</v>
      </c>
      <c r="N296" s="10"/>
      <c r="O296" s="10">
        <f t="shared" si="47"/>
        <v>0</v>
      </c>
      <c r="P296" s="10" t="str">
        <f t="shared" si="52"/>
        <v>83/1022/</v>
      </c>
      <c r="Q296" s="10" t="str">
        <f t="shared" si="48"/>
        <v>- -</v>
      </c>
      <c r="R296" s="10" t="str">
        <f t="shared" si="49"/>
        <v xml:space="preserve"> - , </v>
      </c>
      <c r="S296" s="10">
        <f t="shared" si="50"/>
        <v>0</v>
      </c>
      <c r="T296" s="10" t="str">
        <f>IFERROR(VLOOKUP(J296,'List+TK'!$D$3:$E$1000,2,0),"-")</f>
        <v>-</v>
      </c>
      <c r="U296" s="10" t="str">
        <f t="shared" si="53"/>
        <v>/10/2022</v>
      </c>
      <c r="V296" s="10" t="str">
        <f>IFERROR(VLOOKUP(K296,'List+TK'!$G$3:$H$16,2,0),"-")</f>
        <v>-</v>
      </c>
      <c r="W296" s="10" t="str">
        <f t="shared" si="51"/>
        <v/>
      </c>
      <c r="X296" s="4"/>
    </row>
    <row r="297" spans="1:24" hidden="1" x14ac:dyDescent="0.25">
      <c r="A297" s="5">
        <f>_xlfn.AGGREGATE(3,3,$I$4:I297)</f>
        <v>169</v>
      </c>
      <c r="B297" s="5"/>
      <c r="C297" s="26"/>
      <c r="D297" s="10"/>
      <c r="E297" s="10"/>
      <c r="F297" s="10"/>
      <c r="G297" s="10">
        <v>10</v>
      </c>
      <c r="H297" s="10"/>
      <c r="I297" s="10"/>
      <c r="J297" s="10"/>
      <c r="K297" s="10"/>
      <c r="L297" s="10" t="str">
        <f t="shared" si="46"/>
        <v>-</v>
      </c>
      <c r="M297" s="10" t="str">
        <f>IFERROR(VLOOKUP(L297,'List+TK'!$I$3:$J$9,2,0),"-")</f>
        <v>-</v>
      </c>
      <c r="N297" s="10"/>
      <c r="O297" s="10">
        <f t="shared" si="47"/>
        <v>0</v>
      </c>
      <c r="P297" s="10" t="str">
        <f t="shared" si="52"/>
        <v>83/1022/</v>
      </c>
      <c r="Q297" s="10" t="str">
        <f t="shared" si="48"/>
        <v>- -</v>
      </c>
      <c r="R297" s="10" t="str">
        <f t="shared" si="49"/>
        <v xml:space="preserve"> - , </v>
      </c>
      <c r="S297" s="10">
        <f t="shared" si="50"/>
        <v>0</v>
      </c>
      <c r="T297" s="10" t="str">
        <f>IFERROR(VLOOKUP(J297,'List+TK'!$D$3:$E$1000,2,0),"-")</f>
        <v>-</v>
      </c>
      <c r="U297" s="10" t="str">
        <f t="shared" si="53"/>
        <v>/10/2022</v>
      </c>
      <c r="V297" s="10" t="str">
        <f>IFERROR(VLOOKUP(K297,'List+TK'!$G$3:$H$16,2,0),"-")</f>
        <v>-</v>
      </c>
      <c r="W297" s="10" t="str">
        <f t="shared" si="51"/>
        <v/>
      </c>
      <c r="X297" s="4"/>
    </row>
    <row r="298" spans="1:24" hidden="1" x14ac:dyDescent="0.25">
      <c r="A298" s="5">
        <f>_xlfn.AGGREGATE(3,3,$I$4:I298)</f>
        <v>169</v>
      </c>
      <c r="B298" s="5"/>
      <c r="C298" s="26"/>
      <c r="D298" s="10"/>
      <c r="E298" s="10"/>
      <c r="F298" s="10"/>
      <c r="G298" s="10">
        <v>10</v>
      </c>
      <c r="H298" s="10"/>
      <c r="I298" s="10"/>
      <c r="J298" s="10"/>
      <c r="K298" s="10"/>
      <c r="L298" s="10" t="str">
        <f t="shared" si="46"/>
        <v>-</v>
      </c>
      <c r="M298" s="10" t="str">
        <f>IFERROR(VLOOKUP(L298,'List+TK'!$I$3:$J$9,2,0),"-")</f>
        <v>-</v>
      </c>
      <c r="N298" s="10"/>
      <c r="O298" s="10">
        <f t="shared" si="47"/>
        <v>0</v>
      </c>
      <c r="P298" s="10" t="str">
        <f t="shared" si="52"/>
        <v>83/1022/</v>
      </c>
      <c r="Q298" s="10" t="str">
        <f t="shared" si="48"/>
        <v>- -</v>
      </c>
      <c r="R298" s="10" t="str">
        <f t="shared" si="49"/>
        <v xml:space="preserve"> - , </v>
      </c>
      <c r="S298" s="10">
        <f t="shared" si="50"/>
        <v>0</v>
      </c>
      <c r="T298" s="10" t="str">
        <f>IFERROR(VLOOKUP(J298,'List+TK'!$D$3:$E$1000,2,0),"-")</f>
        <v>-</v>
      </c>
      <c r="U298" s="10" t="str">
        <f t="shared" si="53"/>
        <v>/10/2022</v>
      </c>
      <c r="V298" s="10" t="str">
        <f>IFERROR(VLOOKUP(K298,'List+TK'!$G$3:$H$16,2,0),"-")</f>
        <v>-</v>
      </c>
      <c r="W298" s="10" t="str">
        <f t="shared" si="51"/>
        <v/>
      </c>
      <c r="X298" s="4"/>
    </row>
    <row r="299" spans="1:24" hidden="1" x14ac:dyDescent="0.25">
      <c r="A299" s="5">
        <f>_xlfn.AGGREGATE(3,3,$I$4:I299)</f>
        <v>169</v>
      </c>
      <c r="B299" s="5"/>
      <c r="C299" s="26"/>
      <c r="D299" s="10"/>
      <c r="E299" s="10"/>
      <c r="F299" s="10"/>
      <c r="G299" s="10">
        <v>10</v>
      </c>
      <c r="H299" s="10"/>
      <c r="I299" s="10"/>
      <c r="J299" s="10"/>
      <c r="K299" s="10"/>
      <c r="L299" s="10" t="str">
        <f t="shared" si="46"/>
        <v>-</v>
      </c>
      <c r="M299" s="10" t="str">
        <f>IFERROR(VLOOKUP(L299,'List+TK'!$I$3:$J$9,2,0),"-")</f>
        <v>-</v>
      </c>
      <c r="N299" s="10"/>
      <c r="O299" s="10">
        <f t="shared" si="47"/>
        <v>0</v>
      </c>
      <c r="P299" s="10" t="str">
        <f t="shared" si="52"/>
        <v>83/1022/</v>
      </c>
      <c r="Q299" s="10" t="str">
        <f t="shared" si="48"/>
        <v>- -</v>
      </c>
      <c r="R299" s="10" t="str">
        <f t="shared" si="49"/>
        <v xml:space="preserve"> - , </v>
      </c>
      <c r="S299" s="10">
        <f t="shared" si="50"/>
        <v>0</v>
      </c>
      <c r="T299" s="10" t="str">
        <f>IFERROR(VLOOKUP(J299,'List+TK'!$D$3:$E$1000,2,0),"-")</f>
        <v>-</v>
      </c>
      <c r="U299" s="10" t="str">
        <f t="shared" si="53"/>
        <v>/10/2022</v>
      </c>
      <c r="V299" s="10" t="str">
        <f>IFERROR(VLOOKUP(K299,'List+TK'!$G$3:$H$16,2,0),"-")</f>
        <v>-</v>
      </c>
      <c r="W299" s="10" t="str">
        <f t="shared" si="51"/>
        <v/>
      </c>
      <c r="X299" s="4"/>
    </row>
    <row r="300" spans="1:24" hidden="1" x14ac:dyDescent="0.25">
      <c r="A300" s="5">
        <f>_xlfn.AGGREGATE(3,3,$I$4:I300)</f>
        <v>169</v>
      </c>
      <c r="B300" s="5"/>
      <c r="C300" s="26"/>
      <c r="D300" s="10"/>
      <c r="E300" s="10"/>
      <c r="F300" s="10"/>
      <c r="G300" s="10">
        <v>10</v>
      </c>
      <c r="H300" s="10"/>
      <c r="I300" s="10"/>
      <c r="J300" s="10"/>
      <c r="K300" s="10"/>
      <c r="L300" s="10" t="str">
        <f t="shared" si="46"/>
        <v>-</v>
      </c>
      <c r="M300" s="10" t="str">
        <f>IFERROR(VLOOKUP(L300,'List+TK'!$I$3:$J$9,2,0),"-")</f>
        <v>-</v>
      </c>
      <c r="N300" s="10"/>
      <c r="O300" s="10">
        <f t="shared" si="47"/>
        <v>0</v>
      </c>
      <c r="P300" s="10" t="str">
        <f t="shared" si="52"/>
        <v>83/1022/</v>
      </c>
      <c r="Q300" s="10" t="str">
        <f t="shared" si="48"/>
        <v>- -</v>
      </c>
      <c r="R300" s="10" t="str">
        <f t="shared" si="49"/>
        <v xml:space="preserve"> - , </v>
      </c>
      <c r="S300" s="10">
        <f t="shared" si="50"/>
        <v>0</v>
      </c>
      <c r="T300" s="10" t="str">
        <f>IFERROR(VLOOKUP(J300,'List+TK'!$D$3:$E$1000,2,0),"-")</f>
        <v>-</v>
      </c>
      <c r="U300" s="10" t="str">
        <f t="shared" si="53"/>
        <v>/10/2022</v>
      </c>
      <c r="V300" s="10" t="str">
        <f>IFERROR(VLOOKUP(K300,'List+TK'!$G$3:$H$16,2,0),"-")</f>
        <v>-</v>
      </c>
      <c r="W300" s="10" t="str">
        <f t="shared" si="51"/>
        <v/>
      </c>
      <c r="X300" s="4"/>
    </row>
    <row r="301" spans="1:24" hidden="1" x14ac:dyDescent="0.25">
      <c r="A301" s="5">
        <f>_xlfn.AGGREGATE(3,3,$I$4:I301)</f>
        <v>169</v>
      </c>
      <c r="B301" s="5"/>
      <c r="C301" s="26"/>
      <c r="D301" s="10"/>
      <c r="E301" s="10"/>
      <c r="F301" s="10"/>
      <c r="G301" s="10">
        <v>10</v>
      </c>
      <c r="H301" s="10"/>
      <c r="I301" s="10"/>
      <c r="J301" s="10"/>
      <c r="K301" s="10"/>
      <c r="L301" s="10" t="str">
        <f t="shared" si="46"/>
        <v>-</v>
      </c>
      <c r="M301" s="10" t="str">
        <f>IFERROR(VLOOKUP(L301,'List+TK'!$I$3:$J$9,2,0),"-")</f>
        <v>-</v>
      </c>
      <c r="N301" s="10"/>
      <c r="O301" s="10">
        <f t="shared" si="47"/>
        <v>0</v>
      </c>
      <c r="P301" s="10" t="str">
        <f t="shared" si="52"/>
        <v>83/1022/</v>
      </c>
      <c r="Q301" s="10" t="str">
        <f t="shared" si="48"/>
        <v>- -</v>
      </c>
      <c r="R301" s="10" t="str">
        <f t="shared" si="49"/>
        <v xml:space="preserve"> - , </v>
      </c>
      <c r="S301" s="10">
        <f t="shared" si="50"/>
        <v>0</v>
      </c>
      <c r="T301" s="10" t="str">
        <f>IFERROR(VLOOKUP(J301,'List+TK'!$D$3:$E$1000,2,0),"-")</f>
        <v>-</v>
      </c>
      <c r="U301" s="10" t="str">
        <f t="shared" si="53"/>
        <v>/10/2022</v>
      </c>
      <c r="V301" s="10" t="str">
        <f>IFERROR(VLOOKUP(K301,'List+TK'!$G$3:$H$16,2,0),"-")</f>
        <v>-</v>
      </c>
      <c r="W301" s="10" t="str">
        <f t="shared" si="51"/>
        <v/>
      </c>
      <c r="X301" s="4"/>
    </row>
    <row r="302" spans="1:24" hidden="1" x14ac:dyDescent="0.25">
      <c r="A302" s="5">
        <f>_xlfn.AGGREGATE(3,3,$I$4:I302)</f>
        <v>169</v>
      </c>
      <c r="B302" s="5"/>
      <c r="C302" s="26"/>
      <c r="D302" s="10"/>
      <c r="E302" s="10"/>
      <c r="F302" s="10"/>
      <c r="G302" s="10">
        <v>10</v>
      </c>
      <c r="H302" s="10"/>
      <c r="I302" s="10"/>
      <c r="J302" s="10"/>
      <c r="K302" s="10"/>
      <c r="L302" s="10" t="str">
        <f t="shared" si="46"/>
        <v>-</v>
      </c>
      <c r="M302" s="10" t="str">
        <f>IFERROR(VLOOKUP(L302,'List+TK'!$I$3:$J$9,2,0),"-")</f>
        <v>-</v>
      </c>
      <c r="N302" s="10"/>
      <c r="O302" s="10">
        <f t="shared" si="47"/>
        <v>0</v>
      </c>
      <c r="P302" s="10" t="str">
        <f t="shared" si="52"/>
        <v>83/1022/</v>
      </c>
      <c r="Q302" s="10" t="str">
        <f t="shared" si="48"/>
        <v>- -</v>
      </c>
      <c r="R302" s="10" t="str">
        <f t="shared" si="49"/>
        <v xml:space="preserve"> - , </v>
      </c>
      <c r="S302" s="10">
        <f t="shared" si="50"/>
        <v>0</v>
      </c>
      <c r="T302" s="10" t="str">
        <f>IFERROR(VLOOKUP(J302,'List+TK'!$D$3:$E$1000,2,0),"-")</f>
        <v>-</v>
      </c>
      <c r="U302" s="10" t="str">
        <f t="shared" si="53"/>
        <v>/10/2022</v>
      </c>
      <c r="V302" s="10" t="str">
        <f>IFERROR(VLOOKUP(K302,'List+TK'!$G$3:$H$16,2,0),"-")</f>
        <v>-</v>
      </c>
      <c r="W302" s="10" t="str">
        <f t="shared" si="51"/>
        <v/>
      </c>
      <c r="X302" s="4"/>
    </row>
    <row r="303" spans="1:24" hidden="1" x14ac:dyDescent="0.25">
      <c r="A303" s="5">
        <f>_xlfn.AGGREGATE(3,3,$I$4:I303)</f>
        <v>169</v>
      </c>
      <c r="B303" s="5"/>
      <c r="C303" s="26"/>
      <c r="D303" s="10"/>
      <c r="E303" s="10"/>
      <c r="F303" s="10"/>
      <c r="G303" s="10">
        <v>10</v>
      </c>
      <c r="H303" s="10"/>
      <c r="I303" s="10"/>
      <c r="J303" s="10"/>
      <c r="K303" s="10"/>
      <c r="L303" s="10" t="str">
        <f t="shared" si="46"/>
        <v>-</v>
      </c>
      <c r="M303" s="10" t="str">
        <f>IFERROR(VLOOKUP(L303,'List+TK'!$I$3:$J$9,2,0),"-")</f>
        <v>-</v>
      </c>
      <c r="N303" s="10"/>
      <c r="O303" s="10">
        <f t="shared" si="47"/>
        <v>0</v>
      </c>
      <c r="P303" s="10" t="str">
        <f t="shared" si="52"/>
        <v>83/1022/</v>
      </c>
      <c r="Q303" s="10" t="str">
        <f t="shared" si="48"/>
        <v>- -</v>
      </c>
      <c r="R303" s="10" t="str">
        <f t="shared" si="49"/>
        <v xml:space="preserve"> - , </v>
      </c>
      <c r="S303" s="10">
        <f t="shared" si="50"/>
        <v>0</v>
      </c>
      <c r="T303" s="10" t="str">
        <f>IFERROR(VLOOKUP(J303,'List+TK'!$D$3:$E$1000,2,0),"-")</f>
        <v>-</v>
      </c>
      <c r="U303" s="10" t="str">
        <f t="shared" si="53"/>
        <v>/10/2022</v>
      </c>
      <c r="V303" s="10" t="str">
        <f>IFERROR(VLOOKUP(K303,'List+TK'!$G$3:$H$16,2,0),"-")</f>
        <v>-</v>
      </c>
      <c r="W303" s="10" t="str">
        <f t="shared" si="51"/>
        <v/>
      </c>
      <c r="X303" s="4"/>
    </row>
    <row r="304" spans="1:24" hidden="1" x14ac:dyDescent="0.25">
      <c r="A304" s="5">
        <f>_xlfn.AGGREGATE(3,3,$I$4:I304)</f>
        <v>169</v>
      </c>
      <c r="B304" s="5"/>
      <c r="C304" s="26"/>
      <c r="D304" s="10"/>
      <c r="E304" s="10"/>
      <c r="F304" s="10"/>
      <c r="G304" s="10">
        <v>10</v>
      </c>
      <c r="H304" s="10"/>
      <c r="I304" s="10"/>
      <c r="J304" s="10"/>
      <c r="K304" s="10"/>
      <c r="L304" s="10" t="str">
        <f t="shared" si="46"/>
        <v>-</v>
      </c>
      <c r="M304" s="10" t="str">
        <f>IFERROR(VLOOKUP(L304,'List+TK'!$I$3:$J$9,2,0),"-")</f>
        <v>-</v>
      </c>
      <c r="N304" s="10"/>
      <c r="O304" s="10">
        <f t="shared" si="47"/>
        <v>0</v>
      </c>
      <c r="P304" s="10" t="str">
        <f t="shared" si="52"/>
        <v>83/1022/</v>
      </c>
      <c r="Q304" s="10" t="str">
        <f t="shared" si="48"/>
        <v>- -</v>
      </c>
      <c r="R304" s="10" t="str">
        <f t="shared" si="49"/>
        <v xml:space="preserve"> - , </v>
      </c>
      <c r="S304" s="10">
        <f t="shared" si="50"/>
        <v>0</v>
      </c>
      <c r="T304" s="10" t="str">
        <f>IFERROR(VLOOKUP(J304,'List+TK'!$D$3:$E$1000,2,0),"-")</f>
        <v>-</v>
      </c>
      <c r="U304" s="10" t="str">
        <f t="shared" si="53"/>
        <v>/10/2022</v>
      </c>
      <c r="V304" s="10" t="str">
        <f>IFERROR(VLOOKUP(K304,'List+TK'!$G$3:$H$16,2,0),"-")</f>
        <v>-</v>
      </c>
      <c r="W304" s="10" t="str">
        <f t="shared" si="51"/>
        <v/>
      </c>
      <c r="X304" s="4"/>
    </row>
    <row r="305" spans="1:24" hidden="1" x14ac:dyDescent="0.25">
      <c r="A305" s="5">
        <f>_xlfn.AGGREGATE(3,3,$I$4:I305)</f>
        <v>169</v>
      </c>
      <c r="B305" s="5"/>
      <c r="C305" s="26"/>
      <c r="D305" s="10"/>
      <c r="E305" s="10"/>
      <c r="F305" s="10"/>
      <c r="G305" s="10">
        <v>10</v>
      </c>
      <c r="H305" s="10"/>
      <c r="I305" s="10"/>
      <c r="J305" s="10"/>
      <c r="K305" s="10"/>
      <c r="L305" s="10" t="str">
        <f t="shared" si="46"/>
        <v>-</v>
      </c>
      <c r="M305" s="10" t="str">
        <f>IFERROR(VLOOKUP(L305,'List+TK'!$I$3:$J$9,2,0),"-")</f>
        <v>-</v>
      </c>
      <c r="N305" s="10"/>
      <c r="O305" s="10">
        <f t="shared" si="47"/>
        <v>0</v>
      </c>
      <c r="P305" s="10" t="str">
        <f t="shared" si="52"/>
        <v>83/1022/</v>
      </c>
      <c r="Q305" s="10" t="str">
        <f t="shared" si="48"/>
        <v>- -</v>
      </c>
      <c r="R305" s="10" t="str">
        <f t="shared" si="49"/>
        <v xml:space="preserve"> - , </v>
      </c>
      <c r="S305" s="10">
        <f t="shared" si="50"/>
        <v>0</v>
      </c>
      <c r="T305" s="10" t="str">
        <f>IFERROR(VLOOKUP(J305,'List+TK'!$D$3:$E$1000,2,0),"-")</f>
        <v>-</v>
      </c>
      <c r="U305" s="10" t="str">
        <f t="shared" si="53"/>
        <v>/10/2022</v>
      </c>
      <c r="V305" s="10" t="str">
        <f>IFERROR(VLOOKUP(K305,'List+TK'!$G$3:$H$16,2,0),"-")</f>
        <v>-</v>
      </c>
      <c r="W305" s="10" t="str">
        <f t="shared" si="51"/>
        <v/>
      </c>
      <c r="X305" s="4"/>
    </row>
    <row r="306" spans="1:24" hidden="1" x14ac:dyDescent="0.25">
      <c r="A306" s="5">
        <f>_xlfn.AGGREGATE(3,3,$I$4:I306)</f>
        <v>169</v>
      </c>
      <c r="B306" s="5"/>
      <c r="C306" s="26"/>
      <c r="D306" s="10"/>
      <c r="E306" s="10"/>
      <c r="F306" s="10"/>
      <c r="G306" s="10">
        <v>10</v>
      </c>
      <c r="H306" s="10"/>
      <c r="I306" s="10"/>
      <c r="J306" s="10"/>
      <c r="K306" s="10"/>
      <c r="L306" s="10" t="str">
        <f t="shared" si="46"/>
        <v>-</v>
      </c>
      <c r="M306" s="10" t="str">
        <f>IFERROR(VLOOKUP(L306,'List+TK'!$I$3:$J$9,2,0),"-")</f>
        <v>-</v>
      </c>
      <c r="N306" s="10"/>
      <c r="O306" s="10">
        <f t="shared" si="47"/>
        <v>0</v>
      </c>
      <c r="P306" s="10" t="str">
        <f t="shared" si="52"/>
        <v>83/1022/</v>
      </c>
      <c r="Q306" s="10" t="str">
        <f t="shared" si="48"/>
        <v>- -</v>
      </c>
      <c r="R306" s="10" t="str">
        <f t="shared" si="49"/>
        <v xml:space="preserve"> - , </v>
      </c>
      <c r="S306" s="10">
        <f t="shared" si="50"/>
        <v>0</v>
      </c>
      <c r="T306" s="10" t="str">
        <f>IFERROR(VLOOKUP(J306,'List+TK'!$D$3:$E$1000,2,0),"-")</f>
        <v>-</v>
      </c>
      <c r="U306" s="10" t="str">
        <f t="shared" si="53"/>
        <v>/10/2022</v>
      </c>
      <c r="V306" s="10" t="str">
        <f>IFERROR(VLOOKUP(K306,'List+TK'!$G$3:$H$16,2,0),"-")</f>
        <v>-</v>
      </c>
      <c r="W306" s="10" t="str">
        <f t="shared" si="51"/>
        <v/>
      </c>
      <c r="X306" s="4"/>
    </row>
    <row r="307" spans="1:24" hidden="1" x14ac:dyDescent="0.25">
      <c r="A307" s="5">
        <f>_xlfn.AGGREGATE(3,3,$I$4:I307)</f>
        <v>169</v>
      </c>
      <c r="B307" s="5"/>
      <c r="C307" s="26"/>
      <c r="D307" s="10"/>
      <c r="E307" s="10"/>
      <c r="F307" s="10"/>
      <c r="G307" s="10">
        <v>10</v>
      </c>
      <c r="H307" s="10"/>
      <c r="I307" s="10"/>
      <c r="J307" s="10"/>
      <c r="K307" s="10"/>
      <c r="L307" s="10" t="str">
        <f t="shared" si="46"/>
        <v>-</v>
      </c>
      <c r="M307" s="10" t="str">
        <f>IFERROR(VLOOKUP(L307,'List+TK'!$I$3:$J$9,2,0),"-")</f>
        <v>-</v>
      </c>
      <c r="N307" s="10"/>
      <c r="O307" s="10">
        <f t="shared" si="47"/>
        <v>0</v>
      </c>
      <c r="P307" s="10" t="str">
        <f t="shared" si="52"/>
        <v>83/1022/</v>
      </c>
      <c r="Q307" s="10" t="str">
        <f t="shared" si="48"/>
        <v>- -</v>
      </c>
      <c r="R307" s="10" t="str">
        <f t="shared" si="49"/>
        <v xml:space="preserve"> - , </v>
      </c>
      <c r="S307" s="10">
        <f t="shared" si="50"/>
        <v>0</v>
      </c>
      <c r="T307" s="10" t="str">
        <f>IFERROR(VLOOKUP(J307,'List+TK'!$D$3:$E$1000,2,0),"-")</f>
        <v>-</v>
      </c>
      <c r="U307" s="10" t="str">
        <f t="shared" si="53"/>
        <v>/10/2022</v>
      </c>
      <c r="V307" s="10" t="str">
        <f>IFERROR(VLOOKUP(K307,'List+TK'!$G$3:$H$16,2,0),"-")</f>
        <v>-</v>
      </c>
      <c r="W307" s="10" t="str">
        <f t="shared" si="51"/>
        <v/>
      </c>
      <c r="X307" s="4"/>
    </row>
    <row r="308" spans="1:24" hidden="1" x14ac:dyDescent="0.25">
      <c r="A308" s="5">
        <f>_xlfn.AGGREGATE(3,3,$I$4:I308)</f>
        <v>169</v>
      </c>
      <c r="B308" s="5"/>
      <c r="C308" s="26"/>
      <c r="D308" s="10"/>
      <c r="E308" s="10"/>
      <c r="F308" s="10"/>
      <c r="G308" s="10">
        <v>10</v>
      </c>
      <c r="H308" s="10"/>
      <c r="I308" s="10"/>
      <c r="J308" s="10"/>
      <c r="K308" s="10"/>
      <c r="L308" s="10" t="str">
        <f t="shared" si="46"/>
        <v>-</v>
      </c>
      <c r="M308" s="10" t="str">
        <f>IFERROR(VLOOKUP(L308,'List+TK'!$I$3:$J$9,2,0),"-")</f>
        <v>-</v>
      </c>
      <c r="N308" s="10"/>
      <c r="O308" s="10">
        <f t="shared" si="47"/>
        <v>0</v>
      </c>
      <c r="P308" s="10" t="str">
        <f t="shared" si="52"/>
        <v>83/1022/</v>
      </c>
      <c r="Q308" s="10" t="str">
        <f t="shared" si="48"/>
        <v>- -</v>
      </c>
      <c r="R308" s="10" t="str">
        <f t="shared" si="49"/>
        <v xml:space="preserve"> - , </v>
      </c>
      <c r="S308" s="10">
        <f t="shared" si="50"/>
        <v>0</v>
      </c>
      <c r="T308" s="10" t="str">
        <f>IFERROR(VLOOKUP(J308,'List+TK'!$D$3:$E$1000,2,0),"-")</f>
        <v>-</v>
      </c>
      <c r="U308" s="10" t="str">
        <f t="shared" si="53"/>
        <v>/10/2022</v>
      </c>
      <c r="V308" s="10" t="str">
        <f>IFERROR(VLOOKUP(K308,'List+TK'!$G$3:$H$16,2,0),"-")</f>
        <v>-</v>
      </c>
      <c r="W308" s="10" t="str">
        <f t="shared" si="51"/>
        <v/>
      </c>
      <c r="X308" s="4"/>
    </row>
    <row r="309" spans="1:24" hidden="1" x14ac:dyDescent="0.25">
      <c r="A309" s="5">
        <f>_xlfn.AGGREGATE(3,3,$I$4:I309)</f>
        <v>169</v>
      </c>
      <c r="B309" s="5"/>
      <c r="C309" s="26"/>
      <c r="D309" s="10"/>
      <c r="E309" s="10"/>
      <c r="F309" s="10"/>
      <c r="G309" s="10">
        <v>10</v>
      </c>
      <c r="H309" s="10"/>
      <c r="I309" s="10"/>
      <c r="J309" s="10"/>
      <c r="K309" s="10"/>
      <c r="L309" s="10" t="str">
        <f t="shared" si="46"/>
        <v>-</v>
      </c>
      <c r="M309" s="10" t="str">
        <f>IFERROR(VLOOKUP(L309,'List+TK'!$I$3:$J$9,2,0),"-")</f>
        <v>-</v>
      </c>
      <c r="N309" s="10"/>
      <c r="O309" s="10">
        <f t="shared" si="47"/>
        <v>0</v>
      </c>
      <c r="P309" s="10" t="str">
        <f t="shared" si="52"/>
        <v>83/1022/</v>
      </c>
      <c r="Q309" s="10" t="str">
        <f t="shared" si="48"/>
        <v>- -</v>
      </c>
      <c r="R309" s="10" t="str">
        <f t="shared" si="49"/>
        <v xml:space="preserve"> - , </v>
      </c>
      <c r="S309" s="10">
        <f t="shared" si="50"/>
        <v>0</v>
      </c>
      <c r="T309" s="10" t="str">
        <f>IFERROR(VLOOKUP(J309,'List+TK'!$D$3:$E$1000,2,0),"-")</f>
        <v>-</v>
      </c>
      <c r="U309" s="10" t="str">
        <f t="shared" si="53"/>
        <v>/10/2022</v>
      </c>
      <c r="V309" s="10" t="str">
        <f>IFERROR(VLOOKUP(K309,'List+TK'!$G$3:$H$16,2,0),"-")</f>
        <v>-</v>
      </c>
      <c r="W309" s="10" t="str">
        <f t="shared" si="51"/>
        <v/>
      </c>
      <c r="X309" s="4"/>
    </row>
    <row r="310" spans="1:24" hidden="1" x14ac:dyDescent="0.25">
      <c r="A310" s="5">
        <f>_xlfn.AGGREGATE(3,3,$I$4:I310)</f>
        <v>169</v>
      </c>
      <c r="B310" s="5"/>
      <c r="C310" s="26"/>
      <c r="D310" s="10"/>
      <c r="E310" s="10"/>
      <c r="F310" s="10"/>
      <c r="G310" s="10">
        <v>10</v>
      </c>
      <c r="H310" s="10"/>
      <c r="I310" s="10"/>
      <c r="J310" s="10"/>
      <c r="K310" s="10"/>
      <c r="L310" s="10" t="str">
        <f t="shared" si="46"/>
        <v>-</v>
      </c>
      <c r="M310" s="10" t="str">
        <f>IFERROR(VLOOKUP(L310,'List+TK'!$I$3:$J$9,2,0),"-")</f>
        <v>-</v>
      </c>
      <c r="N310" s="10"/>
      <c r="O310" s="10">
        <f t="shared" si="47"/>
        <v>0</v>
      </c>
      <c r="P310" s="10" t="str">
        <f t="shared" si="52"/>
        <v>83/1022/</v>
      </c>
      <c r="Q310" s="10" t="str">
        <f t="shared" si="48"/>
        <v>- -</v>
      </c>
      <c r="R310" s="10" t="str">
        <f t="shared" si="49"/>
        <v xml:space="preserve"> - , </v>
      </c>
      <c r="S310" s="10">
        <f t="shared" si="50"/>
        <v>0</v>
      </c>
      <c r="T310" s="10" t="str">
        <f>IFERROR(VLOOKUP(J310,'List+TK'!$D$3:$E$1000,2,0),"-")</f>
        <v>-</v>
      </c>
      <c r="U310" s="10" t="str">
        <f t="shared" si="53"/>
        <v>/10/2022</v>
      </c>
      <c r="V310" s="10" t="str">
        <f>IFERROR(VLOOKUP(K310,'List+TK'!$G$3:$H$16,2,0),"-")</f>
        <v>-</v>
      </c>
      <c r="W310" s="10" t="str">
        <f t="shared" si="51"/>
        <v/>
      </c>
      <c r="X310" s="4"/>
    </row>
    <row r="311" spans="1:24" hidden="1" x14ac:dyDescent="0.25">
      <c r="A311" s="5">
        <f>_xlfn.AGGREGATE(3,3,$I$4:I311)</f>
        <v>169</v>
      </c>
      <c r="B311" s="5"/>
      <c r="C311" s="26"/>
      <c r="D311" s="10"/>
      <c r="E311" s="10"/>
      <c r="F311" s="10"/>
      <c r="G311" s="10">
        <v>10</v>
      </c>
      <c r="H311" s="10"/>
      <c r="I311" s="10"/>
      <c r="J311" s="10"/>
      <c r="K311" s="10"/>
      <c r="L311" s="10" t="str">
        <f t="shared" si="46"/>
        <v>-</v>
      </c>
      <c r="M311" s="10" t="str">
        <f>IFERROR(VLOOKUP(L311,'List+TK'!$I$3:$J$9,2,0),"-")</f>
        <v>-</v>
      </c>
      <c r="N311" s="10"/>
      <c r="O311" s="10">
        <f t="shared" si="47"/>
        <v>0</v>
      </c>
      <c r="P311" s="10" t="str">
        <f t="shared" si="52"/>
        <v>83/1022/</v>
      </c>
      <c r="Q311" s="10" t="str">
        <f t="shared" si="48"/>
        <v>- -</v>
      </c>
      <c r="R311" s="10" t="str">
        <f t="shared" si="49"/>
        <v xml:space="preserve"> - , </v>
      </c>
      <c r="S311" s="10">
        <f t="shared" si="50"/>
        <v>0</v>
      </c>
      <c r="T311" s="10" t="str">
        <f>IFERROR(VLOOKUP(J311,'List+TK'!$D$3:$E$1000,2,0),"-")</f>
        <v>-</v>
      </c>
      <c r="U311" s="10" t="str">
        <f t="shared" si="53"/>
        <v>/10/2022</v>
      </c>
      <c r="V311" s="10" t="str">
        <f>IFERROR(VLOOKUP(K311,'List+TK'!$G$3:$H$16,2,0),"-")</f>
        <v>-</v>
      </c>
      <c r="W311" s="10" t="str">
        <f t="shared" si="51"/>
        <v/>
      </c>
      <c r="X311" s="4"/>
    </row>
    <row r="312" spans="1:24" hidden="1" x14ac:dyDescent="0.25">
      <c r="A312" s="5">
        <f>_xlfn.AGGREGATE(3,3,$I$4:I312)</f>
        <v>169</v>
      </c>
      <c r="B312" s="5"/>
      <c r="C312" s="26"/>
      <c r="D312" s="10"/>
      <c r="E312" s="10"/>
      <c r="F312" s="10"/>
      <c r="G312" s="10">
        <v>10</v>
      </c>
      <c r="H312" s="10"/>
      <c r="I312" s="10"/>
      <c r="J312" s="10"/>
      <c r="K312" s="10"/>
      <c r="L312" s="10" t="str">
        <f t="shared" si="46"/>
        <v>-</v>
      </c>
      <c r="M312" s="10" t="str">
        <f>IFERROR(VLOOKUP(L312,'List+TK'!$I$3:$J$9,2,0),"-")</f>
        <v>-</v>
      </c>
      <c r="N312" s="10"/>
      <c r="O312" s="10">
        <f t="shared" si="47"/>
        <v>0</v>
      </c>
      <c r="P312" s="10" t="str">
        <f t="shared" si="52"/>
        <v>83/1022/</v>
      </c>
      <c r="Q312" s="10" t="str">
        <f t="shared" si="48"/>
        <v>- -</v>
      </c>
      <c r="R312" s="10" t="str">
        <f t="shared" si="49"/>
        <v xml:space="preserve"> - , </v>
      </c>
      <c r="S312" s="10">
        <f t="shared" si="50"/>
        <v>0</v>
      </c>
      <c r="T312" s="10" t="str">
        <f>IFERROR(VLOOKUP(J312,'List+TK'!$D$3:$E$1000,2,0),"-")</f>
        <v>-</v>
      </c>
      <c r="U312" s="10" t="str">
        <f t="shared" si="53"/>
        <v>/10/2022</v>
      </c>
      <c r="V312" s="10" t="str">
        <f>IFERROR(VLOOKUP(K312,'List+TK'!$G$3:$H$16,2,0),"-")</f>
        <v>-</v>
      </c>
      <c r="W312" s="10" t="str">
        <f t="shared" si="51"/>
        <v/>
      </c>
      <c r="X312" s="4"/>
    </row>
    <row r="313" spans="1:24" hidden="1" x14ac:dyDescent="0.25">
      <c r="A313" s="5">
        <f>_xlfn.AGGREGATE(3,3,$I$4:I313)</f>
        <v>169</v>
      </c>
      <c r="B313" s="5"/>
      <c r="C313" s="26"/>
      <c r="D313" s="10"/>
      <c r="E313" s="10"/>
      <c r="F313" s="10"/>
      <c r="G313" s="10">
        <v>10</v>
      </c>
      <c r="H313" s="10"/>
      <c r="I313" s="10"/>
      <c r="J313" s="10"/>
      <c r="K313" s="10"/>
      <c r="L313" s="10" t="str">
        <f t="shared" si="46"/>
        <v>-</v>
      </c>
      <c r="M313" s="10" t="str">
        <f>IFERROR(VLOOKUP(L313,'List+TK'!$I$3:$J$9,2,0),"-")</f>
        <v>-</v>
      </c>
      <c r="N313" s="10"/>
      <c r="O313" s="10">
        <f t="shared" si="47"/>
        <v>0</v>
      </c>
      <c r="P313" s="10" t="str">
        <f t="shared" ref="P313:P343" si="54">"83/"&amp;IF(LEN(G313)=1,"0"&amp;G313,G313)&amp;"22/"&amp;IF(LEN(B313)=1,"0"&amp;B313,B313)</f>
        <v>83/1022/</v>
      </c>
      <c r="Q313" s="10" t="str">
        <f t="shared" si="48"/>
        <v>- -</v>
      </c>
      <c r="R313" s="10" t="str">
        <f t="shared" si="49"/>
        <v xml:space="preserve"> - , </v>
      </c>
      <c r="S313" s="10">
        <f t="shared" si="50"/>
        <v>0</v>
      </c>
      <c r="T313" s="10" t="str">
        <f>IFERROR(VLOOKUP(J313,'List+TK'!$D$3:$E$1000,2,0),"-")</f>
        <v>-</v>
      </c>
      <c r="U313" s="10" t="str">
        <f t="shared" ref="U313:U343" si="55">H313&amp;"/"&amp;IF(LEN(G313)=1,"0"&amp;G313,G313)&amp;"/2022"</f>
        <v>/10/2022</v>
      </c>
      <c r="V313" s="10" t="str">
        <f>IFERROR(VLOOKUP(K313,'List+TK'!$G$3:$H$16,2,0),"-")</f>
        <v>-</v>
      </c>
      <c r="W313" s="10" t="str">
        <f t="shared" si="51"/>
        <v/>
      </c>
      <c r="X313" s="4"/>
    </row>
    <row r="314" spans="1:24" hidden="1" x14ac:dyDescent="0.25">
      <c r="A314" s="5">
        <f>_xlfn.AGGREGATE(3,3,$I$4:I314)</f>
        <v>169</v>
      </c>
      <c r="B314" s="5"/>
      <c r="C314" s="26"/>
      <c r="D314" s="10"/>
      <c r="E314" s="10"/>
      <c r="F314" s="10"/>
      <c r="G314" s="10">
        <v>10</v>
      </c>
      <c r="H314" s="10"/>
      <c r="I314" s="10"/>
      <c r="J314" s="10"/>
      <c r="K314" s="10"/>
      <c r="L314" s="10" t="str">
        <f t="shared" ref="L314:L343" si="56">IFERROR(IF(F314="Huyện Mỏ Cày Nam","Mỏ Cày",RIGHT(F314,LEN(F314)-6)),"-")</f>
        <v>-</v>
      </c>
      <c r="M314" s="10" t="str">
        <f>IFERROR(VLOOKUP(L314,'List+TK'!$I$3:$J$9,2,0),"-")</f>
        <v>-</v>
      </c>
      <c r="N314" s="10"/>
      <c r="O314" s="10">
        <f t="shared" ref="O314:O343" si="57">I314</f>
        <v>0</v>
      </c>
      <c r="P314" s="10" t="str">
        <f t="shared" si="54"/>
        <v>83/1022/</v>
      </c>
      <c r="Q314" s="10" t="str">
        <f t="shared" ref="Q314:Q343" si="58">L314&amp;" "&amp;M314</f>
        <v>- -</v>
      </c>
      <c r="R314" s="10" t="str">
        <f t="shared" ref="R314:R343" si="59">C314&amp;" - "&amp;D314&amp;", "&amp;E314</f>
        <v xml:space="preserve"> - , </v>
      </c>
      <c r="S314" s="10">
        <f t="shared" ref="S314:S343" si="60">IF(OR(I314="Tôm chân trắng nhỏ",I314="Tôm sú nhỏ"),0.5,IF(OR(I314="Cá tra nhỏ",I314="Tôm sú thương phẩm",I314="Tôm chân trắng thương phẩm",I314="Tôm sú quảng canh",I314="Nước ương tôm giống"),1,IF(I314="Cá tra thương phẩm",1.5,0)))</f>
        <v>0</v>
      </c>
      <c r="T314" s="10" t="str">
        <f>IFERROR(VLOOKUP(J314,'List+TK'!$D$3:$E$1000,2,0),"-")</f>
        <v>-</v>
      </c>
      <c r="U314" s="10" t="str">
        <f t="shared" si="55"/>
        <v>/10/2022</v>
      </c>
      <c r="V314" s="10" t="str">
        <f>IFERROR(VLOOKUP(K314,'List+TK'!$G$3:$H$16,2,0),"-")</f>
        <v>-</v>
      </c>
      <c r="W314" s="10" t="str">
        <f t="shared" ref="W314:W343" si="61">IF(N314="","",IF(I314="Nước ương tôm giống","Bể "&amp;N314,"Ao "&amp;N314))</f>
        <v/>
      </c>
      <c r="X314" s="4"/>
    </row>
    <row r="315" spans="1:24" hidden="1" x14ac:dyDescent="0.25">
      <c r="A315" s="5">
        <f>_xlfn.AGGREGATE(3,3,$I$4:I315)</f>
        <v>169</v>
      </c>
      <c r="B315" s="5"/>
      <c r="C315" s="26"/>
      <c r="D315" s="10"/>
      <c r="E315" s="10"/>
      <c r="F315" s="10"/>
      <c r="G315" s="10">
        <v>10</v>
      </c>
      <c r="H315" s="10"/>
      <c r="I315" s="10"/>
      <c r="J315" s="10"/>
      <c r="K315" s="10"/>
      <c r="L315" s="10" t="str">
        <f t="shared" si="56"/>
        <v>-</v>
      </c>
      <c r="M315" s="10" t="str">
        <f>IFERROR(VLOOKUP(L315,'List+TK'!$I$3:$J$9,2,0),"-")</f>
        <v>-</v>
      </c>
      <c r="N315" s="10"/>
      <c r="O315" s="10">
        <f t="shared" si="57"/>
        <v>0</v>
      </c>
      <c r="P315" s="10" t="str">
        <f t="shared" si="54"/>
        <v>83/1022/</v>
      </c>
      <c r="Q315" s="10" t="str">
        <f t="shared" si="58"/>
        <v>- -</v>
      </c>
      <c r="R315" s="10" t="str">
        <f t="shared" si="59"/>
        <v xml:space="preserve"> - , </v>
      </c>
      <c r="S315" s="10">
        <f t="shared" si="60"/>
        <v>0</v>
      </c>
      <c r="T315" s="10" t="str">
        <f>IFERROR(VLOOKUP(J315,'List+TK'!$D$3:$E$1000,2,0),"-")</f>
        <v>-</v>
      </c>
      <c r="U315" s="10" t="str">
        <f t="shared" si="55"/>
        <v>/10/2022</v>
      </c>
      <c r="V315" s="10" t="str">
        <f>IFERROR(VLOOKUP(K315,'List+TK'!$G$3:$H$16,2,0),"-")</f>
        <v>-</v>
      </c>
      <c r="W315" s="10" t="str">
        <f t="shared" si="61"/>
        <v/>
      </c>
      <c r="X315" s="4"/>
    </row>
    <row r="316" spans="1:24" hidden="1" x14ac:dyDescent="0.25">
      <c r="A316" s="5">
        <f>_xlfn.AGGREGATE(3,3,$I$4:I316)</f>
        <v>169</v>
      </c>
      <c r="B316" s="5"/>
      <c r="C316" s="26"/>
      <c r="D316" s="10"/>
      <c r="E316" s="10"/>
      <c r="F316" s="10"/>
      <c r="G316" s="10">
        <v>10</v>
      </c>
      <c r="H316" s="10"/>
      <c r="I316" s="10"/>
      <c r="J316" s="10"/>
      <c r="K316" s="10"/>
      <c r="L316" s="10" t="str">
        <f t="shared" si="56"/>
        <v>-</v>
      </c>
      <c r="M316" s="10" t="str">
        <f>IFERROR(VLOOKUP(L316,'List+TK'!$I$3:$J$9,2,0),"-")</f>
        <v>-</v>
      </c>
      <c r="N316" s="10"/>
      <c r="O316" s="10">
        <f t="shared" si="57"/>
        <v>0</v>
      </c>
      <c r="P316" s="10" t="str">
        <f t="shared" si="54"/>
        <v>83/1022/</v>
      </c>
      <c r="Q316" s="10" t="str">
        <f t="shared" si="58"/>
        <v>- -</v>
      </c>
      <c r="R316" s="10" t="str">
        <f t="shared" si="59"/>
        <v xml:space="preserve"> - , </v>
      </c>
      <c r="S316" s="10">
        <f t="shared" si="60"/>
        <v>0</v>
      </c>
      <c r="T316" s="10" t="str">
        <f>IFERROR(VLOOKUP(J316,'List+TK'!$D$3:$E$1000,2,0),"-")</f>
        <v>-</v>
      </c>
      <c r="U316" s="10" t="str">
        <f t="shared" si="55"/>
        <v>/10/2022</v>
      </c>
      <c r="V316" s="10" t="str">
        <f>IFERROR(VLOOKUP(K316,'List+TK'!$G$3:$H$16,2,0),"-")</f>
        <v>-</v>
      </c>
      <c r="W316" s="10" t="str">
        <f t="shared" si="61"/>
        <v/>
      </c>
      <c r="X316" s="4"/>
    </row>
    <row r="317" spans="1:24" hidden="1" x14ac:dyDescent="0.25">
      <c r="A317" s="5">
        <f>_xlfn.AGGREGATE(3,3,$I$4:I317)</f>
        <v>169</v>
      </c>
      <c r="B317" s="5"/>
      <c r="C317" s="26"/>
      <c r="D317" s="10"/>
      <c r="E317" s="10"/>
      <c r="F317" s="10"/>
      <c r="G317" s="10">
        <v>10</v>
      </c>
      <c r="H317" s="10"/>
      <c r="I317" s="10"/>
      <c r="J317" s="10"/>
      <c r="K317" s="10"/>
      <c r="L317" s="10" t="str">
        <f t="shared" si="56"/>
        <v>-</v>
      </c>
      <c r="M317" s="10" t="str">
        <f>IFERROR(VLOOKUP(L317,'List+TK'!$I$3:$J$9,2,0),"-")</f>
        <v>-</v>
      </c>
      <c r="N317" s="10"/>
      <c r="O317" s="10">
        <f t="shared" si="57"/>
        <v>0</v>
      </c>
      <c r="P317" s="10" t="str">
        <f t="shared" si="54"/>
        <v>83/1022/</v>
      </c>
      <c r="Q317" s="10" t="str">
        <f t="shared" si="58"/>
        <v>- -</v>
      </c>
      <c r="R317" s="10" t="str">
        <f t="shared" si="59"/>
        <v xml:space="preserve"> - , </v>
      </c>
      <c r="S317" s="10">
        <f t="shared" si="60"/>
        <v>0</v>
      </c>
      <c r="T317" s="10" t="str">
        <f>IFERROR(VLOOKUP(J317,'List+TK'!$D$3:$E$1000,2,0),"-")</f>
        <v>-</v>
      </c>
      <c r="U317" s="10" t="str">
        <f t="shared" si="55"/>
        <v>/10/2022</v>
      </c>
      <c r="V317" s="10" t="str">
        <f>IFERROR(VLOOKUP(K317,'List+TK'!$G$3:$H$16,2,0),"-")</f>
        <v>-</v>
      </c>
      <c r="W317" s="10" t="str">
        <f t="shared" si="61"/>
        <v/>
      </c>
      <c r="X317" s="4"/>
    </row>
    <row r="318" spans="1:24" hidden="1" x14ac:dyDescent="0.25">
      <c r="A318" s="5">
        <f>_xlfn.AGGREGATE(3,3,$I$4:I318)</f>
        <v>169</v>
      </c>
      <c r="B318" s="5"/>
      <c r="C318" s="26"/>
      <c r="D318" s="10"/>
      <c r="E318" s="10"/>
      <c r="F318" s="10"/>
      <c r="G318" s="10">
        <v>10</v>
      </c>
      <c r="H318" s="10"/>
      <c r="I318" s="10"/>
      <c r="J318" s="10"/>
      <c r="K318" s="10"/>
      <c r="L318" s="10" t="str">
        <f t="shared" si="56"/>
        <v>-</v>
      </c>
      <c r="M318" s="10" t="str">
        <f>IFERROR(VLOOKUP(L318,'List+TK'!$I$3:$J$9,2,0),"-")</f>
        <v>-</v>
      </c>
      <c r="N318" s="10"/>
      <c r="O318" s="10">
        <f t="shared" si="57"/>
        <v>0</v>
      </c>
      <c r="P318" s="10" t="str">
        <f t="shared" si="54"/>
        <v>83/1022/</v>
      </c>
      <c r="Q318" s="10" t="str">
        <f t="shared" si="58"/>
        <v>- -</v>
      </c>
      <c r="R318" s="10" t="str">
        <f t="shared" si="59"/>
        <v xml:space="preserve"> - , </v>
      </c>
      <c r="S318" s="10">
        <f t="shared" si="60"/>
        <v>0</v>
      </c>
      <c r="T318" s="10" t="str">
        <f>IFERROR(VLOOKUP(J318,'List+TK'!$D$3:$E$1000,2,0),"-")</f>
        <v>-</v>
      </c>
      <c r="U318" s="10" t="str">
        <f t="shared" si="55"/>
        <v>/10/2022</v>
      </c>
      <c r="V318" s="10" t="str">
        <f>IFERROR(VLOOKUP(K318,'List+TK'!$G$3:$H$16,2,0),"-")</f>
        <v>-</v>
      </c>
      <c r="W318" s="10" t="str">
        <f t="shared" si="61"/>
        <v/>
      </c>
      <c r="X318" s="4"/>
    </row>
    <row r="319" spans="1:24" hidden="1" x14ac:dyDescent="0.25">
      <c r="A319" s="5">
        <f>_xlfn.AGGREGATE(3,3,$I$4:I319)</f>
        <v>169</v>
      </c>
      <c r="B319" s="5"/>
      <c r="C319" s="26"/>
      <c r="D319" s="10"/>
      <c r="E319" s="10"/>
      <c r="F319" s="10"/>
      <c r="G319" s="10">
        <v>10</v>
      </c>
      <c r="H319" s="10"/>
      <c r="I319" s="10"/>
      <c r="J319" s="10"/>
      <c r="K319" s="10"/>
      <c r="L319" s="10" t="str">
        <f t="shared" si="56"/>
        <v>-</v>
      </c>
      <c r="M319" s="10" t="str">
        <f>IFERROR(VLOOKUP(L319,'List+TK'!$I$3:$J$9,2,0),"-")</f>
        <v>-</v>
      </c>
      <c r="N319" s="10"/>
      <c r="O319" s="10">
        <f t="shared" si="57"/>
        <v>0</v>
      </c>
      <c r="P319" s="10" t="str">
        <f t="shared" si="54"/>
        <v>83/1022/</v>
      </c>
      <c r="Q319" s="10" t="str">
        <f t="shared" si="58"/>
        <v>- -</v>
      </c>
      <c r="R319" s="10" t="str">
        <f t="shared" si="59"/>
        <v xml:space="preserve"> - , </v>
      </c>
      <c r="S319" s="10">
        <f t="shared" si="60"/>
        <v>0</v>
      </c>
      <c r="T319" s="10" t="str">
        <f>IFERROR(VLOOKUP(J319,'List+TK'!$D$3:$E$1000,2,0),"-")</f>
        <v>-</v>
      </c>
      <c r="U319" s="10" t="str">
        <f t="shared" si="55"/>
        <v>/10/2022</v>
      </c>
      <c r="V319" s="10" t="str">
        <f>IFERROR(VLOOKUP(K319,'List+TK'!$G$3:$H$16,2,0),"-")</f>
        <v>-</v>
      </c>
      <c r="W319" s="10" t="str">
        <f t="shared" si="61"/>
        <v/>
      </c>
      <c r="X319" s="4"/>
    </row>
    <row r="320" spans="1:24" hidden="1" x14ac:dyDescent="0.25">
      <c r="A320" s="5">
        <f>_xlfn.AGGREGATE(3,3,$I$4:I320)</f>
        <v>169</v>
      </c>
      <c r="B320" s="5"/>
      <c r="C320" s="26"/>
      <c r="D320" s="10"/>
      <c r="E320" s="10"/>
      <c r="F320" s="10"/>
      <c r="G320" s="10">
        <v>10</v>
      </c>
      <c r="H320" s="10"/>
      <c r="I320" s="10"/>
      <c r="J320" s="10"/>
      <c r="K320" s="10"/>
      <c r="L320" s="10" t="str">
        <f t="shared" si="56"/>
        <v>-</v>
      </c>
      <c r="M320" s="10" t="str">
        <f>IFERROR(VLOOKUP(L320,'List+TK'!$I$3:$J$9,2,0),"-")</f>
        <v>-</v>
      </c>
      <c r="N320" s="10"/>
      <c r="O320" s="10">
        <f t="shared" si="57"/>
        <v>0</v>
      </c>
      <c r="P320" s="10" t="str">
        <f t="shared" si="54"/>
        <v>83/1022/</v>
      </c>
      <c r="Q320" s="10" t="str">
        <f t="shared" si="58"/>
        <v>- -</v>
      </c>
      <c r="R320" s="10" t="str">
        <f t="shared" si="59"/>
        <v xml:space="preserve"> - , </v>
      </c>
      <c r="S320" s="10">
        <f t="shared" si="60"/>
        <v>0</v>
      </c>
      <c r="T320" s="10" t="str">
        <f>IFERROR(VLOOKUP(J320,'List+TK'!$D$3:$E$1000,2,0),"-")</f>
        <v>-</v>
      </c>
      <c r="U320" s="10" t="str">
        <f t="shared" si="55"/>
        <v>/10/2022</v>
      </c>
      <c r="V320" s="10" t="str">
        <f>IFERROR(VLOOKUP(K320,'List+TK'!$G$3:$H$16,2,0),"-")</f>
        <v>-</v>
      </c>
      <c r="W320" s="10" t="str">
        <f t="shared" si="61"/>
        <v/>
      </c>
      <c r="X320" s="4"/>
    </row>
    <row r="321" spans="1:24" hidden="1" x14ac:dyDescent="0.25">
      <c r="A321" s="5">
        <f>_xlfn.AGGREGATE(3,3,$I$4:I321)</f>
        <v>169</v>
      </c>
      <c r="B321" s="5"/>
      <c r="C321" s="26"/>
      <c r="D321" s="10"/>
      <c r="E321" s="10"/>
      <c r="F321" s="10"/>
      <c r="G321" s="10">
        <v>10</v>
      </c>
      <c r="H321" s="10"/>
      <c r="I321" s="10"/>
      <c r="J321" s="10"/>
      <c r="K321" s="10"/>
      <c r="L321" s="10" t="str">
        <f t="shared" si="56"/>
        <v>-</v>
      </c>
      <c r="M321" s="10" t="str">
        <f>IFERROR(VLOOKUP(L321,'List+TK'!$I$3:$J$9,2,0),"-")</f>
        <v>-</v>
      </c>
      <c r="N321" s="10"/>
      <c r="O321" s="10">
        <f t="shared" si="57"/>
        <v>0</v>
      </c>
      <c r="P321" s="10" t="str">
        <f t="shared" si="54"/>
        <v>83/1022/</v>
      </c>
      <c r="Q321" s="10" t="str">
        <f t="shared" si="58"/>
        <v>- -</v>
      </c>
      <c r="R321" s="10" t="str">
        <f t="shared" si="59"/>
        <v xml:space="preserve"> - , </v>
      </c>
      <c r="S321" s="10">
        <f t="shared" si="60"/>
        <v>0</v>
      </c>
      <c r="T321" s="10" t="str">
        <f>IFERROR(VLOOKUP(J321,'List+TK'!$D$3:$E$1000,2,0),"-")</f>
        <v>-</v>
      </c>
      <c r="U321" s="10" t="str">
        <f t="shared" si="55"/>
        <v>/10/2022</v>
      </c>
      <c r="V321" s="10" t="str">
        <f>IFERROR(VLOOKUP(K321,'List+TK'!$G$3:$H$16,2,0),"-")</f>
        <v>-</v>
      </c>
      <c r="W321" s="10" t="str">
        <f t="shared" si="61"/>
        <v/>
      </c>
      <c r="X321" s="4"/>
    </row>
    <row r="322" spans="1:24" hidden="1" x14ac:dyDescent="0.25">
      <c r="A322" s="5">
        <f>_xlfn.AGGREGATE(3,3,$I$4:I322)</f>
        <v>169</v>
      </c>
      <c r="B322" s="5"/>
      <c r="C322" s="26"/>
      <c r="D322" s="10"/>
      <c r="E322" s="10"/>
      <c r="F322" s="10"/>
      <c r="G322" s="10">
        <v>10</v>
      </c>
      <c r="H322" s="10"/>
      <c r="I322" s="10"/>
      <c r="J322" s="10"/>
      <c r="K322" s="10"/>
      <c r="L322" s="10" t="str">
        <f t="shared" si="56"/>
        <v>-</v>
      </c>
      <c r="M322" s="10" t="str">
        <f>IFERROR(VLOOKUP(L322,'List+TK'!$I$3:$J$9,2,0),"-")</f>
        <v>-</v>
      </c>
      <c r="N322" s="10"/>
      <c r="O322" s="10">
        <f t="shared" si="57"/>
        <v>0</v>
      </c>
      <c r="P322" s="10" t="str">
        <f t="shared" si="54"/>
        <v>83/1022/</v>
      </c>
      <c r="Q322" s="10" t="str">
        <f t="shared" si="58"/>
        <v>- -</v>
      </c>
      <c r="R322" s="10" t="str">
        <f t="shared" si="59"/>
        <v xml:space="preserve"> - , </v>
      </c>
      <c r="S322" s="10">
        <f t="shared" si="60"/>
        <v>0</v>
      </c>
      <c r="T322" s="10" t="str">
        <f>IFERROR(VLOOKUP(J322,'List+TK'!$D$3:$E$1000,2,0),"-")</f>
        <v>-</v>
      </c>
      <c r="U322" s="10" t="str">
        <f t="shared" si="55"/>
        <v>/10/2022</v>
      </c>
      <c r="V322" s="10" t="str">
        <f>IFERROR(VLOOKUP(K322,'List+TK'!$G$3:$H$16,2,0),"-")</f>
        <v>-</v>
      </c>
      <c r="W322" s="10" t="str">
        <f t="shared" si="61"/>
        <v/>
      </c>
      <c r="X322" s="4"/>
    </row>
    <row r="323" spans="1:24" hidden="1" x14ac:dyDescent="0.25">
      <c r="A323" s="5">
        <f>_xlfn.AGGREGATE(3,3,$I$4:I323)</f>
        <v>169</v>
      </c>
      <c r="B323" s="5"/>
      <c r="C323" s="26"/>
      <c r="D323" s="10"/>
      <c r="E323" s="10"/>
      <c r="F323" s="10"/>
      <c r="G323" s="10">
        <v>10</v>
      </c>
      <c r="H323" s="10"/>
      <c r="I323" s="10"/>
      <c r="J323" s="10"/>
      <c r="K323" s="10"/>
      <c r="L323" s="10" t="str">
        <f t="shared" si="56"/>
        <v>-</v>
      </c>
      <c r="M323" s="10" t="str">
        <f>IFERROR(VLOOKUP(L323,'List+TK'!$I$3:$J$9,2,0),"-")</f>
        <v>-</v>
      </c>
      <c r="N323" s="10"/>
      <c r="O323" s="10">
        <f t="shared" si="57"/>
        <v>0</v>
      </c>
      <c r="P323" s="10" t="str">
        <f t="shared" si="54"/>
        <v>83/1022/</v>
      </c>
      <c r="Q323" s="10" t="str">
        <f t="shared" si="58"/>
        <v>- -</v>
      </c>
      <c r="R323" s="10" t="str">
        <f t="shared" si="59"/>
        <v xml:space="preserve"> - , </v>
      </c>
      <c r="S323" s="10">
        <f t="shared" si="60"/>
        <v>0</v>
      </c>
      <c r="T323" s="10" t="str">
        <f>IFERROR(VLOOKUP(J323,'List+TK'!$D$3:$E$1000,2,0),"-")</f>
        <v>-</v>
      </c>
      <c r="U323" s="10" t="str">
        <f t="shared" si="55"/>
        <v>/10/2022</v>
      </c>
      <c r="V323" s="10" t="str">
        <f>IFERROR(VLOOKUP(K323,'List+TK'!$G$3:$H$16,2,0),"-")</f>
        <v>-</v>
      </c>
      <c r="W323" s="10" t="str">
        <f t="shared" si="61"/>
        <v/>
      </c>
      <c r="X323" s="4"/>
    </row>
    <row r="324" spans="1:24" hidden="1" x14ac:dyDescent="0.25">
      <c r="A324" s="5">
        <f>_xlfn.AGGREGATE(3,3,$I$4:I324)</f>
        <v>169</v>
      </c>
      <c r="B324" s="5"/>
      <c r="C324" s="26"/>
      <c r="D324" s="10"/>
      <c r="E324" s="10"/>
      <c r="F324" s="10"/>
      <c r="G324" s="10">
        <v>10</v>
      </c>
      <c r="H324" s="10"/>
      <c r="I324" s="10"/>
      <c r="J324" s="10"/>
      <c r="K324" s="10"/>
      <c r="L324" s="10" t="str">
        <f t="shared" si="56"/>
        <v>-</v>
      </c>
      <c r="M324" s="10" t="str">
        <f>IFERROR(VLOOKUP(L324,'List+TK'!$I$3:$J$9,2,0),"-")</f>
        <v>-</v>
      </c>
      <c r="N324" s="10"/>
      <c r="O324" s="10">
        <f t="shared" si="57"/>
        <v>0</v>
      </c>
      <c r="P324" s="10" t="str">
        <f t="shared" si="54"/>
        <v>83/1022/</v>
      </c>
      <c r="Q324" s="10" t="str">
        <f t="shared" si="58"/>
        <v>- -</v>
      </c>
      <c r="R324" s="10" t="str">
        <f t="shared" si="59"/>
        <v xml:space="preserve"> - , </v>
      </c>
      <c r="S324" s="10">
        <f t="shared" si="60"/>
        <v>0</v>
      </c>
      <c r="T324" s="10" t="str">
        <f>IFERROR(VLOOKUP(J324,'List+TK'!$D$3:$E$1000,2,0),"-")</f>
        <v>-</v>
      </c>
      <c r="U324" s="10" t="str">
        <f t="shared" si="55"/>
        <v>/10/2022</v>
      </c>
      <c r="V324" s="10" t="str">
        <f>IFERROR(VLOOKUP(K324,'List+TK'!$G$3:$H$16,2,0),"-")</f>
        <v>-</v>
      </c>
      <c r="W324" s="10" t="str">
        <f t="shared" si="61"/>
        <v/>
      </c>
      <c r="X324" s="4"/>
    </row>
    <row r="325" spans="1:24" hidden="1" x14ac:dyDescent="0.25">
      <c r="A325" s="5">
        <f>_xlfn.AGGREGATE(3,3,$I$4:I325)</f>
        <v>169</v>
      </c>
      <c r="B325" s="5"/>
      <c r="C325" s="26"/>
      <c r="D325" s="10"/>
      <c r="E325" s="10"/>
      <c r="F325" s="10"/>
      <c r="G325" s="10">
        <v>10</v>
      </c>
      <c r="H325" s="10"/>
      <c r="I325" s="10"/>
      <c r="J325" s="10"/>
      <c r="K325" s="10"/>
      <c r="L325" s="10" t="str">
        <f t="shared" si="56"/>
        <v>-</v>
      </c>
      <c r="M325" s="10" t="str">
        <f>IFERROR(VLOOKUP(L325,'List+TK'!$I$3:$J$9,2,0),"-")</f>
        <v>-</v>
      </c>
      <c r="N325" s="10"/>
      <c r="O325" s="10">
        <f t="shared" si="57"/>
        <v>0</v>
      </c>
      <c r="P325" s="10" t="str">
        <f t="shared" si="54"/>
        <v>83/1022/</v>
      </c>
      <c r="Q325" s="10" t="str">
        <f t="shared" si="58"/>
        <v>- -</v>
      </c>
      <c r="R325" s="10" t="str">
        <f t="shared" si="59"/>
        <v xml:space="preserve"> - , </v>
      </c>
      <c r="S325" s="10">
        <f t="shared" si="60"/>
        <v>0</v>
      </c>
      <c r="T325" s="10" t="str">
        <f>IFERROR(VLOOKUP(J325,'List+TK'!$D$3:$E$1000,2,0),"-")</f>
        <v>-</v>
      </c>
      <c r="U325" s="10" t="str">
        <f t="shared" si="55"/>
        <v>/10/2022</v>
      </c>
      <c r="V325" s="10" t="str">
        <f>IFERROR(VLOOKUP(K325,'List+TK'!$G$3:$H$16,2,0),"-")</f>
        <v>-</v>
      </c>
      <c r="W325" s="10" t="str">
        <f t="shared" si="61"/>
        <v/>
      </c>
      <c r="X325" s="4"/>
    </row>
    <row r="326" spans="1:24" hidden="1" x14ac:dyDescent="0.25">
      <c r="A326" s="5">
        <f>_xlfn.AGGREGATE(3,3,$I$4:I326)</f>
        <v>169</v>
      </c>
      <c r="B326" s="5"/>
      <c r="C326" s="26"/>
      <c r="D326" s="10"/>
      <c r="E326" s="10"/>
      <c r="F326" s="10"/>
      <c r="G326" s="10">
        <v>10</v>
      </c>
      <c r="H326" s="10"/>
      <c r="I326" s="10"/>
      <c r="J326" s="10"/>
      <c r="K326" s="10"/>
      <c r="L326" s="10" t="str">
        <f t="shared" si="56"/>
        <v>-</v>
      </c>
      <c r="M326" s="10" t="str">
        <f>IFERROR(VLOOKUP(L326,'List+TK'!$I$3:$J$9,2,0),"-")</f>
        <v>-</v>
      </c>
      <c r="N326" s="10"/>
      <c r="O326" s="10">
        <f t="shared" si="57"/>
        <v>0</v>
      </c>
      <c r="P326" s="10" t="str">
        <f t="shared" si="54"/>
        <v>83/1022/</v>
      </c>
      <c r="Q326" s="10" t="str">
        <f t="shared" si="58"/>
        <v>- -</v>
      </c>
      <c r="R326" s="10" t="str">
        <f t="shared" si="59"/>
        <v xml:space="preserve"> - , </v>
      </c>
      <c r="S326" s="10">
        <f t="shared" si="60"/>
        <v>0</v>
      </c>
      <c r="T326" s="10" t="str">
        <f>IFERROR(VLOOKUP(J326,'List+TK'!$D$3:$E$1000,2,0),"-")</f>
        <v>-</v>
      </c>
      <c r="U326" s="10" t="str">
        <f t="shared" si="55"/>
        <v>/10/2022</v>
      </c>
      <c r="V326" s="10" t="str">
        <f>IFERROR(VLOOKUP(K326,'List+TK'!$G$3:$H$16,2,0),"-")</f>
        <v>-</v>
      </c>
      <c r="W326" s="10" t="str">
        <f t="shared" si="61"/>
        <v/>
      </c>
      <c r="X326" s="4"/>
    </row>
    <row r="327" spans="1:24" hidden="1" x14ac:dyDescent="0.25">
      <c r="A327" s="5">
        <f>_xlfn.AGGREGATE(3,3,$I$4:I327)</f>
        <v>169</v>
      </c>
      <c r="B327" s="5"/>
      <c r="C327" s="26"/>
      <c r="D327" s="10"/>
      <c r="E327" s="10"/>
      <c r="F327" s="10"/>
      <c r="G327" s="10">
        <v>10</v>
      </c>
      <c r="H327" s="10"/>
      <c r="I327" s="10"/>
      <c r="J327" s="10"/>
      <c r="K327" s="10"/>
      <c r="L327" s="10" t="str">
        <f t="shared" si="56"/>
        <v>-</v>
      </c>
      <c r="M327" s="10" t="str">
        <f>IFERROR(VLOOKUP(L327,'List+TK'!$I$3:$J$9,2,0),"-")</f>
        <v>-</v>
      </c>
      <c r="N327" s="10"/>
      <c r="O327" s="10">
        <f t="shared" si="57"/>
        <v>0</v>
      </c>
      <c r="P327" s="10" t="str">
        <f t="shared" si="54"/>
        <v>83/1022/</v>
      </c>
      <c r="Q327" s="10" t="str">
        <f t="shared" si="58"/>
        <v>- -</v>
      </c>
      <c r="R327" s="10" t="str">
        <f t="shared" si="59"/>
        <v xml:space="preserve"> - , </v>
      </c>
      <c r="S327" s="10">
        <f t="shared" si="60"/>
        <v>0</v>
      </c>
      <c r="T327" s="10" t="str">
        <f>IFERROR(VLOOKUP(J327,'List+TK'!$D$3:$E$1000,2,0),"-")</f>
        <v>-</v>
      </c>
      <c r="U327" s="10" t="str">
        <f t="shared" si="55"/>
        <v>/10/2022</v>
      </c>
      <c r="V327" s="10" t="str">
        <f>IFERROR(VLOOKUP(K327,'List+TK'!$G$3:$H$16,2,0),"-")</f>
        <v>-</v>
      </c>
      <c r="W327" s="10" t="str">
        <f t="shared" si="61"/>
        <v/>
      </c>
      <c r="X327" s="4"/>
    </row>
    <row r="328" spans="1:24" hidden="1" x14ac:dyDescent="0.25">
      <c r="A328" s="5">
        <f>_xlfn.AGGREGATE(3,3,$I$4:I328)</f>
        <v>169</v>
      </c>
      <c r="B328" s="5"/>
      <c r="C328" s="26"/>
      <c r="D328" s="10"/>
      <c r="E328" s="10"/>
      <c r="F328" s="10"/>
      <c r="G328" s="10">
        <v>10</v>
      </c>
      <c r="H328" s="10"/>
      <c r="I328" s="10"/>
      <c r="J328" s="10"/>
      <c r="K328" s="10"/>
      <c r="L328" s="10" t="str">
        <f t="shared" si="56"/>
        <v>-</v>
      </c>
      <c r="M328" s="10" t="str">
        <f>IFERROR(VLOOKUP(L328,'List+TK'!$I$3:$J$9,2,0),"-")</f>
        <v>-</v>
      </c>
      <c r="N328" s="10"/>
      <c r="O328" s="10">
        <f t="shared" si="57"/>
        <v>0</v>
      </c>
      <c r="P328" s="10" t="str">
        <f t="shared" si="54"/>
        <v>83/1022/</v>
      </c>
      <c r="Q328" s="10" t="str">
        <f t="shared" si="58"/>
        <v>- -</v>
      </c>
      <c r="R328" s="10" t="str">
        <f t="shared" si="59"/>
        <v xml:space="preserve"> - , </v>
      </c>
      <c r="S328" s="10">
        <f t="shared" si="60"/>
        <v>0</v>
      </c>
      <c r="T328" s="10" t="str">
        <f>IFERROR(VLOOKUP(J328,'List+TK'!$D$3:$E$1000,2,0),"-")</f>
        <v>-</v>
      </c>
      <c r="U328" s="10" t="str">
        <f t="shared" si="55"/>
        <v>/10/2022</v>
      </c>
      <c r="V328" s="10" t="str">
        <f>IFERROR(VLOOKUP(K328,'List+TK'!$G$3:$H$16,2,0),"-")</f>
        <v>-</v>
      </c>
      <c r="W328" s="10" t="str">
        <f t="shared" si="61"/>
        <v/>
      </c>
      <c r="X328" s="4"/>
    </row>
    <row r="329" spans="1:24" hidden="1" x14ac:dyDescent="0.25">
      <c r="A329" s="5">
        <f>_xlfn.AGGREGATE(3,3,$I$4:I329)</f>
        <v>169</v>
      </c>
      <c r="B329" s="5"/>
      <c r="C329" s="26"/>
      <c r="D329" s="10"/>
      <c r="E329" s="10"/>
      <c r="F329" s="10"/>
      <c r="G329" s="10">
        <v>10</v>
      </c>
      <c r="H329" s="10"/>
      <c r="I329" s="10"/>
      <c r="J329" s="10"/>
      <c r="K329" s="10"/>
      <c r="L329" s="10" t="str">
        <f t="shared" si="56"/>
        <v>-</v>
      </c>
      <c r="M329" s="10" t="str">
        <f>IFERROR(VLOOKUP(L329,'List+TK'!$I$3:$J$9,2,0),"-")</f>
        <v>-</v>
      </c>
      <c r="N329" s="10"/>
      <c r="O329" s="10">
        <f t="shared" si="57"/>
        <v>0</v>
      </c>
      <c r="P329" s="10" t="str">
        <f t="shared" si="54"/>
        <v>83/1022/</v>
      </c>
      <c r="Q329" s="10" t="str">
        <f t="shared" si="58"/>
        <v>- -</v>
      </c>
      <c r="R329" s="10" t="str">
        <f t="shared" si="59"/>
        <v xml:space="preserve"> - , </v>
      </c>
      <c r="S329" s="10">
        <f t="shared" si="60"/>
        <v>0</v>
      </c>
      <c r="T329" s="10" t="str">
        <f>IFERROR(VLOOKUP(J329,'List+TK'!$D$3:$E$1000,2,0),"-")</f>
        <v>-</v>
      </c>
      <c r="U329" s="10" t="str">
        <f t="shared" si="55"/>
        <v>/10/2022</v>
      </c>
      <c r="V329" s="10" t="str">
        <f>IFERROR(VLOOKUP(K329,'List+TK'!$G$3:$H$16,2,0),"-")</f>
        <v>-</v>
      </c>
      <c r="W329" s="10" t="str">
        <f t="shared" si="61"/>
        <v/>
      </c>
      <c r="X329" s="4"/>
    </row>
    <row r="330" spans="1:24" hidden="1" x14ac:dyDescent="0.25">
      <c r="A330" s="5">
        <f>_xlfn.AGGREGATE(3,3,$I$4:I330)</f>
        <v>169</v>
      </c>
      <c r="B330" s="5"/>
      <c r="C330" s="26"/>
      <c r="D330" s="10"/>
      <c r="E330" s="10"/>
      <c r="F330" s="10"/>
      <c r="G330" s="10">
        <v>10</v>
      </c>
      <c r="H330" s="10"/>
      <c r="I330" s="10"/>
      <c r="J330" s="10"/>
      <c r="K330" s="10"/>
      <c r="L330" s="10" t="str">
        <f t="shared" si="56"/>
        <v>-</v>
      </c>
      <c r="M330" s="10" t="str">
        <f>IFERROR(VLOOKUP(L330,'List+TK'!$I$3:$J$9,2,0),"-")</f>
        <v>-</v>
      </c>
      <c r="N330" s="10"/>
      <c r="O330" s="10">
        <f t="shared" si="57"/>
        <v>0</v>
      </c>
      <c r="P330" s="10" t="str">
        <f t="shared" si="54"/>
        <v>83/1022/</v>
      </c>
      <c r="Q330" s="10" t="str">
        <f t="shared" si="58"/>
        <v>- -</v>
      </c>
      <c r="R330" s="10" t="str">
        <f t="shared" si="59"/>
        <v xml:space="preserve"> - , </v>
      </c>
      <c r="S330" s="10">
        <f t="shared" si="60"/>
        <v>0</v>
      </c>
      <c r="T330" s="10" t="str">
        <f>IFERROR(VLOOKUP(J330,'List+TK'!$D$3:$E$1000,2,0),"-")</f>
        <v>-</v>
      </c>
      <c r="U330" s="10" t="str">
        <f t="shared" si="55"/>
        <v>/10/2022</v>
      </c>
      <c r="V330" s="10" t="str">
        <f>IFERROR(VLOOKUP(K330,'List+TK'!$G$3:$H$16,2,0),"-")</f>
        <v>-</v>
      </c>
      <c r="W330" s="10" t="str">
        <f t="shared" si="61"/>
        <v/>
      </c>
      <c r="X330" s="4"/>
    </row>
    <row r="331" spans="1:24" hidden="1" x14ac:dyDescent="0.25">
      <c r="A331" s="5">
        <f>_xlfn.AGGREGATE(3,3,$I$4:I331)</f>
        <v>169</v>
      </c>
      <c r="B331" s="5"/>
      <c r="C331" s="26"/>
      <c r="D331" s="10"/>
      <c r="E331" s="10"/>
      <c r="F331" s="10"/>
      <c r="G331" s="10">
        <v>10</v>
      </c>
      <c r="H331" s="10"/>
      <c r="I331" s="10"/>
      <c r="J331" s="10"/>
      <c r="K331" s="10"/>
      <c r="L331" s="10" t="str">
        <f t="shared" si="56"/>
        <v>-</v>
      </c>
      <c r="M331" s="10" t="str">
        <f>IFERROR(VLOOKUP(L331,'List+TK'!$I$3:$J$9,2,0),"-")</f>
        <v>-</v>
      </c>
      <c r="N331" s="10"/>
      <c r="O331" s="10">
        <f t="shared" si="57"/>
        <v>0</v>
      </c>
      <c r="P331" s="10" t="str">
        <f t="shared" si="54"/>
        <v>83/1022/</v>
      </c>
      <c r="Q331" s="10" t="str">
        <f t="shared" si="58"/>
        <v>- -</v>
      </c>
      <c r="R331" s="10" t="str">
        <f t="shared" si="59"/>
        <v xml:space="preserve"> - , </v>
      </c>
      <c r="S331" s="10">
        <f t="shared" si="60"/>
        <v>0</v>
      </c>
      <c r="T331" s="10" t="str">
        <f>IFERROR(VLOOKUP(J331,'List+TK'!$D$3:$E$1000,2,0),"-")</f>
        <v>-</v>
      </c>
      <c r="U331" s="10" t="str">
        <f t="shared" si="55"/>
        <v>/10/2022</v>
      </c>
      <c r="V331" s="10" t="str">
        <f>IFERROR(VLOOKUP(K331,'List+TK'!$G$3:$H$16,2,0),"-")</f>
        <v>-</v>
      </c>
      <c r="W331" s="10" t="str">
        <f t="shared" si="61"/>
        <v/>
      </c>
      <c r="X331" s="4"/>
    </row>
    <row r="332" spans="1:24" hidden="1" x14ac:dyDescent="0.25">
      <c r="A332" s="5">
        <f>_xlfn.AGGREGATE(3,3,$I$4:I332)</f>
        <v>169</v>
      </c>
      <c r="B332" s="5"/>
      <c r="C332" s="26"/>
      <c r="D332" s="10"/>
      <c r="E332" s="10"/>
      <c r="F332" s="10"/>
      <c r="G332" s="10">
        <v>10</v>
      </c>
      <c r="H332" s="10"/>
      <c r="I332" s="10"/>
      <c r="J332" s="10"/>
      <c r="K332" s="10"/>
      <c r="L332" s="10" t="str">
        <f t="shared" si="56"/>
        <v>-</v>
      </c>
      <c r="M332" s="10" t="str">
        <f>IFERROR(VLOOKUP(L332,'List+TK'!$I$3:$J$9,2,0),"-")</f>
        <v>-</v>
      </c>
      <c r="N332" s="10"/>
      <c r="O332" s="10">
        <f t="shared" si="57"/>
        <v>0</v>
      </c>
      <c r="P332" s="10" t="str">
        <f t="shared" si="54"/>
        <v>83/1022/</v>
      </c>
      <c r="Q332" s="10" t="str">
        <f t="shared" si="58"/>
        <v>- -</v>
      </c>
      <c r="R332" s="10" t="str">
        <f t="shared" si="59"/>
        <v xml:space="preserve"> - , </v>
      </c>
      <c r="S332" s="10">
        <f t="shared" si="60"/>
        <v>0</v>
      </c>
      <c r="T332" s="10" t="str">
        <f>IFERROR(VLOOKUP(J332,'List+TK'!$D$3:$E$1000,2,0),"-")</f>
        <v>-</v>
      </c>
      <c r="U332" s="10" t="str">
        <f t="shared" si="55"/>
        <v>/10/2022</v>
      </c>
      <c r="V332" s="10" t="str">
        <f>IFERROR(VLOOKUP(K332,'List+TK'!$G$3:$H$16,2,0),"-")</f>
        <v>-</v>
      </c>
      <c r="W332" s="10" t="str">
        <f t="shared" si="61"/>
        <v/>
      </c>
      <c r="X332" s="4"/>
    </row>
    <row r="333" spans="1:24" hidden="1" x14ac:dyDescent="0.25">
      <c r="A333" s="5">
        <f>_xlfn.AGGREGATE(3,3,$I$4:I333)</f>
        <v>169</v>
      </c>
      <c r="B333" s="5"/>
      <c r="C333" s="26"/>
      <c r="D333" s="10"/>
      <c r="E333" s="10"/>
      <c r="F333" s="10"/>
      <c r="G333" s="10">
        <v>10</v>
      </c>
      <c r="H333" s="10"/>
      <c r="I333" s="10"/>
      <c r="J333" s="10"/>
      <c r="K333" s="10"/>
      <c r="L333" s="10" t="str">
        <f t="shared" si="56"/>
        <v>-</v>
      </c>
      <c r="M333" s="10" t="str">
        <f>IFERROR(VLOOKUP(L333,'List+TK'!$I$3:$J$9,2,0),"-")</f>
        <v>-</v>
      </c>
      <c r="N333" s="10"/>
      <c r="O333" s="10">
        <f t="shared" si="57"/>
        <v>0</v>
      </c>
      <c r="P333" s="10" t="str">
        <f t="shared" si="54"/>
        <v>83/1022/</v>
      </c>
      <c r="Q333" s="10" t="str">
        <f t="shared" si="58"/>
        <v>- -</v>
      </c>
      <c r="R333" s="10" t="str">
        <f t="shared" si="59"/>
        <v xml:space="preserve"> - , </v>
      </c>
      <c r="S333" s="10">
        <f t="shared" si="60"/>
        <v>0</v>
      </c>
      <c r="T333" s="10" t="str">
        <f>IFERROR(VLOOKUP(J333,'List+TK'!$D$3:$E$1000,2,0),"-")</f>
        <v>-</v>
      </c>
      <c r="U333" s="10" t="str">
        <f t="shared" si="55"/>
        <v>/10/2022</v>
      </c>
      <c r="V333" s="10" t="str">
        <f>IFERROR(VLOOKUP(K333,'List+TK'!$G$3:$H$16,2,0),"-")</f>
        <v>-</v>
      </c>
      <c r="W333" s="10" t="str">
        <f t="shared" si="61"/>
        <v/>
      </c>
      <c r="X333" s="4"/>
    </row>
    <row r="334" spans="1:24" hidden="1" x14ac:dyDescent="0.25">
      <c r="A334" s="5">
        <f>_xlfn.AGGREGATE(3,3,$I$4:I334)</f>
        <v>169</v>
      </c>
      <c r="B334" s="5"/>
      <c r="C334" s="26"/>
      <c r="D334" s="10"/>
      <c r="E334" s="10"/>
      <c r="F334" s="10"/>
      <c r="G334" s="10">
        <v>10</v>
      </c>
      <c r="H334" s="10"/>
      <c r="I334" s="10"/>
      <c r="J334" s="10"/>
      <c r="K334" s="10"/>
      <c r="L334" s="10" t="str">
        <f t="shared" si="56"/>
        <v>-</v>
      </c>
      <c r="M334" s="10" t="str">
        <f>IFERROR(VLOOKUP(L334,'List+TK'!$I$3:$J$9,2,0),"-")</f>
        <v>-</v>
      </c>
      <c r="N334" s="10"/>
      <c r="O334" s="10">
        <f t="shared" si="57"/>
        <v>0</v>
      </c>
      <c r="P334" s="10" t="str">
        <f t="shared" si="54"/>
        <v>83/1022/</v>
      </c>
      <c r="Q334" s="10" t="str">
        <f t="shared" si="58"/>
        <v>- -</v>
      </c>
      <c r="R334" s="10" t="str">
        <f t="shared" si="59"/>
        <v xml:space="preserve"> - , </v>
      </c>
      <c r="S334" s="10">
        <f t="shared" si="60"/>
        <v>0</v>
      </c>
      <c r="T334" s="10" t="str">
        <f>IFERROR(VLOOKUP(J334,'List+TK'!$D$3:$E$1000,2,0),"-")</f>
        <v>-</v>
      </c>
      <c r="U334" s="10" t="str">
        <f t="shared" si="55"/>
        <v>/10/2022</v>
      </c>
      <c r="V334" s="10" t="str">
        <f>IFERROR(VLOOKUP(K334,'List+TK'!$G$3:$H$16,2,0),"-")</f>
        <v>-</v>
      </c>
      <c r="W334" s="10" t="str">
        <f t="shared" si="61"/>
        <v/>
      </c>
      <c r="X334" s="4"/>
    </row>
    <row r="335" spans="1:24" hidden="1" x14ac:dyDescent="0.25">
      <c r="A335" s="5">
        <f>_xlfn.AGGREGATE(3,3,$I$4:I335)</f>
        <v>169</v>
      </c>
      <c r="B335" s="5"/>
      <c r="C335" s="26"/>
      <c r="D335" s="10"/>
      <c r="E335" s="10"/>
      <c r="F335" s="10"/>
      <c r="G335" s="10">
        <v>10</v>
      </c>
      <c r="H335" s="10"/>
      <c r="I335" s="10"/>
      <c r="J335" s="10"/>
      <c r="K335" s="10"/>
      <c r="L335" s="10" t="str">
        <f t="shared" si="56"/>
        <v>-</v>
      </c>
      <c r="M335" s="10" t="str">
        <f>IFERROR(VLOOKUP(L335,'List+TK'!$I$3:$J$9,2,0),"-")</f>
        <v>-</v>
      </c>
      <c r="N335" s="10"/>
      <c r="O335" s="10">
        <f t="shared" si="57"/>
        <v>0</v>
      </c>
      <c r="P335" s="10" t="str">
        <f t="shared" si="54"/>
        <v>83/1022/</v>
      </c>
      <c r="Q335" s="10" t="str">
        <f t="shared" si="58"/>
        <v>- -</v>
      </c>
      <c r="R335" s="10" t="str">
        <f t="shared" si="59"/>
        <v xml:space="preserve"> - , </v>
      </c>
      <c r="S335" s="10">
        <f t="shared" si="60"/>
        <v>0</v>
      </c>
      <c r="T335" s="10" t="str">
        <f>IFERROR(VLOOKUP(J335,'List+TK'!$D$3:$E$1000,2,0),"-")</f>
        <v>-</v>
      </c>
      <c r="U335" s="10" t="str">
        <f t="shared" si="55"/>
        <v>/10/2022</v>
      </c>
      <c r="V335" s="10" t="str">
        <f>IFERROR(VLOOKUP(K335,'List+TK'!$G$3:$H$16,2,0),"-")</f>
        <v>-</v>
      </c>
      <c r="W335" s="10" t="str">
        <f t="shared" si="61"/>
        <v/>
      </c>
      <c r="X335" s="4"/>
    </row>
    <row r="336" spans="1:24" hidden="1" x14ac:dyDescent="0.25">
      <c r="A336" s="5">
        <f>_xlfn.AGGREGATE(3,3,$I$4:I336)</f>
        <v>169</v>
      </c>
      <c r="B336" s="5"/>
      <c r="C336" s="26"/>
      <c r="D336" s="10"/>
      <c r="E336" s="10"/>
      <c r="F336" s="10"/>
      <c r="G336" s="10">
        <v>10</v>
      </c>
      <c r="H336" s="10"/>
      <c r="I336" s="10"/>
      <c r="J336" s="10"/>
      <c r="K336" s="10"/>
      <c r="L336" s="10" t="str">
        <f t="shared" si="56"/>
        <v>-</v>
      </c>
      <c r="M336" s="10" t="str">
        <f>IFERROR(VLOOKUP(L336,'List+TK'!$I$3:$J$9,2,0),"-")</f>
        <v>-</v>
      </c>
      <c r="N336" s="10"/>
      <c r="O336" s="10">
        <f t="shared" si="57"/>
        <v>0</v>
      </c>
      <c r="P336" s="10" t="str">
        <f t="shared" si="54"/>
        <v>83/1022/</v>
      </c>
      <c r="Q336" s="10" t="str">
        <f t="shared" si="58"/>
        <v>- -</v>
      </c>
      <c r="R336" s="10" t="str">
        <f t="shared" si="59"/>
        <v xml:space="preserve"> - , </v>
      </c>
      <c r="S336" s="10">
        <f t="shared" si="60"/>
        <v>0</v>
      </c>
      <c r="T336" s="10" t="str">
        <f>IFERROR(VLOOKUP(J336,'List+TK'!$D$3:$E$1000,2,0),"-")</f>
        <v>-</v>
      </c>
      <c r="U336" s="10" t="str">
        <f t="shared" si="55"/>
        <v>/10/2022</v>
      </c>
      <c r="V336" s="10" t="str">
        <f>IFERROR(VLOOKUP(K336,'List+TK'!$G$3:$H$16,2,0),"-")</f>
        <v>-</v>
      </c>
      <c r="W336" s="10" t="str">
        <f t="shared" si="61"/>
        <v/>
      </c>
      <c r="X336" s="4"/>
    </row>
    <row r="337" spans="1:24" hidden="1" x14ac:dyDescent="0.25">
      <c r="A337" s="5">
        <f>_xlfn.AGGREGATE(3,3,$I$4:I337)</f>
        <v>169</v>
      </c>
      <c r="B337" s="5"/>
      <c r="C337" s="26"/>
      <c r="D337" s="10"/>
      <c r="E337" s="10"/>
      <c r="F337" s="10"/>
      <c r="G337" s="10">
        <v>10</v>
      </c>
      <c r="H337" s="10"/>
      <c r="I337" s="10"/>
      <c r="J337" s="10"/>
      <c r="K337" s="10"/>
      <c r="L337" s="10" t="str">
        <f t="shared" si="56"/>
        <v>-</v>
      </c>
      <c r="M337" s="10" t="str">
        <f>IFERROR(VLOOKUP(L337,'List+TK'!$I$3:$J$9,2,0),"-")</f>
        <v>-</v>
      </c>
      <c r="N337" s="10"/>
      <c r="O337" s="10">
        <f t="shared" si="57"/>
        <v>0</v>
      </c>
      <c r="P337" s="10" t="str">
        <f t="shared" si="54"/>
        <v>83/1022/</v>
      </c>
      <c r="Q337" s="10" t="str">
        <f t="shared" si="58"/>
        <v>- -</v>
      </c>
      <c r="R337" s="10" t="str">
        <f t="shared" si="59"/>
        <v xml:space="preserve"> - , </v>
      </c>
      <c r="S337" s="10">
        <f t="shared" si="60"/>
        <v>0</v>
      </c>
      <c r="T337" s="10" t="str">
        <f>IFERROR(VLOOKUP(J337,'List+TK'!$D$3:$E$1000,2,0),"-")</f>
        <v>-</v>
      </c>
      <c r="U337" s="10" t="str">
        <f t="shared" si="55"/>
        <v>/10/2022</v>
      </c>
      <c r="V337" s="10" t="str">
        <f>IFERROR(VLOOKUP(K337,'List+TK'!$G$3:$H$16,2,0),"-")</f>
        <v>-</v>
      </c>
      <c r="W337" s="10" t="str">
        <f t="shared" si="61"/>
        <v/>
      </c>
      <c r="X337" s="4"/>
    </row>
    <row r="338" spans="1:24" hidden="1" x14ac:dyDescent="0.25">
      <c r="A338" s="5">
        <f>_xlfn.AGGREGATE(3,3,$I$4:I338)</f>
        <v>169</v>
      </c>
      <c r="B338" s="5"/>
      <c r="C338" s="26"/>
      <c r="D338" s="10"/>
      <c r="E338" s="10"/>
      <c r="F338" s="10"/>
      <c r="G338" s="10">
        <v>10</v>
      </c>
      <c r="H338" s="10"/>
      <c r="I338" s="10"/>
      <c r="J338" s="10"/>
      <c r="K338" s="10"/>
      <c r="L338" s="10" t="str">
        <f t="shared" si="56"/>
        <v>-</v>
      </c>
      <c r="M338" s="10" t="str">
        <f>IFERROR(VLOOKUP(L338,'List+TK'!$I$3:$J$9,2,0),"-")</f>
        <v>-</v>
      </c>
      <c r="N338" s="10"/>
      <c r="O338" s="10">
        <f t="shared" si="57"/>
        <v>0</v>
      </c>
      <c r="P338" s="10" t="str">
        <f t="shared" si="54"/>
        <v>83/1022/</v>
      </c>
      <c r="Q338" s="10" t="str">
        <f t="shared" si="58"/>
        <v>- -</v>
      </c>
      <c r="R338" s="10" t="str">
        <f t="shared" si="59"/>
        <v xml:space="preserve"> - , </v>
      </c>
      <c r="S338" s="10">
        <f t="shared" si="60"/>
        <v>0</v>
      </c>
      <c r="T338" s="10" t="str">
        <f>IFERROR(VLOOKUP(J338,'List+TK'!$D$3:$E$1000,2,0),"-")</f>
        <v>-</v>
      </c>
      <c r="U338" s="10" t="str">
        <f t="shared" si="55"/>
        <v>/10/2022</v>
      </c>
      <c r="V338" s="10" t="str">
        <f>IFERROR(VLOOKUP(K338,'List+TK'!$G$3:$H$16,2,0),"-")</f>
        <v>-</v>
      </c>
      <c r="W338" s="10" t="str">
        <f t="shared" si="61"/>
        <v/>
      </c>
      <c r="X338" s="4"/>
    </row>
    <row r="339" spans="1:24" hidden="1" x14ac:dyDescent="0.25">
      <c r="A339" s="5">
        <f>_xlfn.AGGREGATE(3,3,$I$4:I339)</f>
        <v>169</v>
      </c>
      <c r="B339" s="5"/>
      <c r="C339" s="26"/>
      <c r="D339" s="10"/>
      <c r="E339" s="10"/>
      <c r="F339" s="10"/>
      <c r="G339" s="10">
        <v>10</v>
      </c>
      <c r="H339" s="10"/>
      <c r="I339" s="10"/>
      <c r="J339" s="10"/>
      <c r="K339" s="10"/>
      <c r="L339" s="10" t="str">
        <f t="shared" si="56"/>
        <v>-</v>
      </c>
      <c r="M339" s="10" t="str">
        <f>IFERROR(VLOOKUP(L339,'List+TK'!$I$3:$J$9,2,0),"-")</f>
        <v>-</v>
      </c>
      <c r="N339" s="10"/>
      <c r="O339" s="10">
        <f t="shared" si="57"/>
        <v>0</v>
      </c>
      <c r="P339" s="10" t="str">
        <f t="shared" si="54"/>
        <v>83/1022/</v>
      </c>
      <c r="Q339" s="10" t="str">
        <f t="shared" si="58"/>
        <v>- -</v>
      </c>
      <c r="R339" s="10" t="str">
        <f t="shared" si="59"/>
        <v xml:space="preserve"> - , </v>
      </c>
      <c r="S339" s="10">
        <f t="shared" si="60"/>
        <v>0</v>
      </c>
      <c r="T339" s="10" t="str">
        <f>IFERROR(VLOOKUP(J339,'List+TK'!$D$3:$E$1000,2,0),"-")</f>
        <v>-</v>
      </c>
      <c r="U339" s="10" t="str">
        <f t="shared" si="55"/>
        <v>/10/2022</v>
      </c>
      <c r="V339" s="10" t="str">
        <f>IFERROR(VLOOKUP(K339,'List+TK'!$G$3:$H$16,2,0),"-")</f>
        <v>-</v>
      </c>
      <c r="W339" s="10" t="str">
        <f t="shared" si="61"/>
        <v/>
      </c>
      <c r="X339" s="4"/>
    </row>
    <row r="340" spans="1:24" hidden="1" x14ac:dyDescent="0.25">
      <c r="A340" s="5">
        <f>_xlfn.AGGREGATE(3,3,$I$4:I340)</f>
        <v>169</v>
      </c>
      <c r="B340" s="5"/>
      <c r="C340" s="26"/>
      <c r="D340" s="10"/>
      <c r="E340" s="10"/>
      <c r="F340" s="10"/>
      <c r="G340" s="10">
        <v>10</v>
      </c>
      <c r="H340" s="10"/>
      <c r="I340" s="10"/>
      <c r="J340" s="10"/>
      <c r="K340" s="10"/>
      <c r="L340" s="10" t="str">
        <f t="shared" si="56"/>
        <v>-</v>
      </c>
      <c r="M340" s="10" t="str">
        <f>IFERROR(VLOOKUP(L340,'List+TK'!$I$3:$J$9,2,0),"-")</f>
        <v>-</v>
      </c>
      <c r="N340" s="10"/>
      <c r="O340" s="10">
        <f t="shared" si="57"/>
        <v>0</v>
      </c>
      <c r="P340" s="10" t="str">
        <f t="shared" si="54"/>
        <v>83/1022/</v>
      </c>
      <c r="Q340" s="10" t="str">
        <f t="shared" si="58"/>
        <v>- -</v>
      </c>
      <c r="R340" s="10" t="str">
        <f t="shared" si="59"/>
        <v xml:space="preserve"> - , </v>
      </c>
      <c r="S340" s="10">
        <f t="shared" si="60"/>
        <v>0</v>
      </c>
      <c r="T340" s="10" t="str">
        <f>IFERROR(VLOOKUP(J340,'List+TK'!$D$3:$E$1000,2,0),"-")</f>
        <v>-</v>
      </c>
      <c r="U340" s="10" t="str">
        <f t="shared" si="55"/>
        <v>/10/2022</v>
      </c>
      <c r="V340" s="10" t="str">
        <f>IFERROR(VLOOKUP(K340,'List+TK'!$G$3:$H$16,2,0),"-")</f>
        <v>-</v>
      </c>
      <c r="W340" s="10" t="str">
        <f t="shared" si="61"/>
        <v/>
      </c>
      <c r="X340" s="4"/>
    </row>
    <row r="341" spans="1:24" hidden="1" x14ac:dyDescent="0.25">
      <c r="A341" s="5">
        <f>_xlfn.AGGREGATE(3,3,$I$4:I341)</f>
        <v>169</v>
      </c>
      <c r="B341" s="5"/>
      <c r="C341" s="26"/>
      <c r="D341" s="10"/>
      <c r="E341" s="10"/>
      <c r="F341" s="10"/>
      <c r="G341" s="10">
        <v>10</v>
      </c>
      <c r="H341" s="10"/>
      <c r="I341" s="10"/>
      <c r="J341" s="10"/>
      <c r="K341" s="10"/>
      <c r="L341" s="10" t="str">
        <f t="shared" si="56"/>
        <v>-</v>
      </c>
      <c r="M341" s="10" t="str">
        <f>IFERROR(VLOOKUP(L341,'List+TK'!$I$3:$J$9,2,0),"-")</f>
        <v>-</v>
      </c>
      <c r="N341" s="10"/>
      <c r="O341" s="10">
        <f t="shared" si="57"/>
        <v>0</v>
      </c>
      <c r="P341" s="10" t="str">
        <f t="shared" si="54"/>
        <v>83/1022/</v>
      </c>
      <c r="Q341" s="10" t="str">
        <f t="shared" si="58"/>
        <v>- -</v>
      </c>
      <c r="R341" s="10" t="str">
        <f t="shared" si="59"/>
        <v xml:space="preserve"> - , </v>
      </c>
      <c r="S341" s="10">
        <f t="shared" si="60"/>
        <v>0</v>
      </c>
      <c r="T341" s="10" t="str">
        <f>IFERROR(VLOOKUP(J341,'List+TK'!$D$3:$E$1000,2,0),"-")</f>
        <v>-</v>
      </c>
      <c r="U341" s="10" t="str">
        <f t="shared" si="55"/>
        <v>/10/2022</v>
      </c>
      <c r="V341" s="10" t="str">
        <f>IFERROR(VLOOKUP(K341,'List+TK'!$G$3:$H$16,2,0),"-")</f>
        <v>-</v>
      </c>
      <c r="W341" s="10" t="str">
        <f t="shared" si="61"/>
        <v/>
      </c>
      <c r="X341" s="4"/>
    </row>
    <row r="342" spans="1:24" hidden="1" x14ac:dyDescent="0.25">
      <c r="A342" s="5">
        <f>_xlfn.AGGREGATE(3,3,$I$4:I342)</f>
        <v>169</v>
      </c>
      <c r="B342" s="5"/>
      <c r="C342" s="26"/>
      <c r="D342" s="10"/>
      <c r="E342" s="10"/>
      <c r="F342" s="10"/>
      <c r="G342" s="10">
        <v>10</v>
      </c>
      <c r="H342" s="10"/>
      <c r="I342" s="10"/>
      <c r="J342" s="10"/>
      <c r="K342" s="10"/>
      <c r="L342" s="10" t="str">
        <f t="shared" si="56"/>
        <v>-</v>
      </c>
      <c r="M342" s="10" t="str">
        <f>IFERROR(VLOOKUP(L342,'List+TK'!$I$3:$J$9,2,0),"-")</f>
        <v>-</v>
      </c>
      <c r="N342" s="10"/>
      <c r="O342" s="10">
        <f t="shared" si="57"/>
        <v>0</v>
      </c>
      <c r="P342" s="10" t="str">
        <f t="shared" si="54"/>
        <v>83/1022/</v>
      </c>
      <c r="Q342" s="10" t="str">
        <f t="shared" si="58"/>
        <v>- -</v>
      </c>
      <c r="R342" s="10" t="str">
        <f t="shared" si="59"/>
        <v xml:space="preserve"> - , </v>
      </c>
      <c r="S342" s="10">
        <f t="shared" si="60"/>
        <v>0</v>
      </c>
      <c r="T342" s="10" t="str">
        <f>IFERROR(VLOOKUP(J342,'List+TK'!$D$3:$E$1000,2,0),"-")</f>
        <v>-</v>
      </c>
      <c r="U342" s="10" t="str">
        <f t="shared" si="55"/>
        <v>/10/2022</v>
      </c>
      <c r="V342" s="10" t="str">
        <f>IFERROR(VLOOKUP(K342,'List+TK'!$G$3:$H$16,2,0),"-")</f>
        <v>-</v>
      </c>
      <c r="W342" s="10" t="str">
        <f t="shared" si="61"/>
        <v/>
      </c>
      <c r="X342" s="4"/>
    </row>
    <row r="343" spans="1:24" hidden="1" x14ac:dyDescent="0.25">
      <c r="A343" s="5">
        <f>_xlfn.AGGREGATE(3,3,$I$4:I343)</f>
        <v>169</v>
      </c>
      <c r="B343" s="5"/>
      <c r="C343" s="26"/>
      <c r="D343" s="10"/>
      <c r="E343" s="10"/>
      <c r="F343" s="10"/>
      <c r="G343" s="10">
        <v>10</v>
      </c>
      <c r="H343" s="10"/>
      <c r="I343" s="10"/>
      <c r="J343" s="10"/>
      <c r="K343" s="10"/>
      <c r="L343" s="10" t="str">
        <f t="shared" si="56"/>
        <v>-</v>
      </c>
      <c r="M343" s="10" t="str">
        <f>IFERROR(VLOOKUP(L343,'List+TK'!$I$3:$J$9,2,0),"-")</f>
        <v>-</v>
      </c>
      <c r="N343" s="10"/>
      <c r="O343" s="10">
        <f t="shared" si="57"/>
        <v>0</v>
      </c>
      <c r="P343" s="10" t="str">
        <f t="shared" si="54"/>
        <v>83/1022/</v>
      </c>
      <c r="Q343" s="10" t="str">
        <f t="shared" si="58"/>
        <v>- -</v>
      </c>
      <c r="R343" s="10" t="str">
        <f t="shared" si="59"/>
        <v xml:space="preserve"> - , </v>
      </c>
      <c r="S343" s="10">
        <f t="shared" si="60"/>
        <v>0</v>
      </c>
      <c r="T343" s="10" t="str">
        <f>IFERROR(VLOOKUP(J343,'List+TK'!$D$3:$E$1000,2,0),"-")</f>
        <v>-</v>
      </c>
      <c r="U343" s="10" t="str">
        <f t="shared" si="55"/>
        <v>/10/2022</v>
      </c>
      <c r="V343" s="10" t="str">
        <f>IFERROR(VLOOKUP(K343,'List+TK'!$G$3:$H$16,2,0),"-")</f>
        <v>-</v>
      </c>
      <c r="W343" s="10" t="str">
        <f t="shared" si="61"/>
        <v/>
      </c>
      <c r="X343" s="4"/>
    </row>
  </sheetData>
  <autoFilter ref="B3:X343">
    <filterColumn colId="19">
      <filters>
        <filter val="10/10/2023"/>
        <filter val="11/07/2023"/>
        <filter val="11/10/2023"/>
        <filter val="12/07/2023"/>
        <filter val="12/10/2023"/>
        <filter val="13/07/2023"/>
        <filter val="14/02/2023"/>
        <filter val="15/02/2023"/>
        <filter val="18/09/2023"/>
        <filter val="19/09/2023"/>
        <filter val="20/06/2023"/>
        <filter val="20/09/2023"/>
        <filter val="21/06/2023"/>
        <filter val="21/08/2023"/>
        <filter val="22/06/2023"/>
        <filter val="22/08/2023"/>
        <filter val="23/05/2023"/>
        <filter val="23/08/2023"/>
        <filter val="24/04/2023"/>
        <filter val="24/05/2023"/>
        <filter val="25/04/2023"/>
        <filter val="25/05/2023"/>
        <filter val="26/04/2023"/>
        <filter val="27/03/2023"/>
        <filter val="28/03/2023"/>
        <filter val="28/11/2023"/>
        <filter val="29/11/2023"/>
      </filters>
    </filterColumn>
  </autoFilter>
  <dataConsolidate/>
  <phoneticPr fontId="5" type="noConversion"/>
  <conditionalFormatting sqref="A6:B6 A10:B10 A14:B14 A18:B18 A22:B22 A26:B26 A30:B30 A34:B34 A38:B38 A42:B42 A46:B46 A50:B50 A54:B54 A58:B58 A62:B62 A66:B66 A70:B70 A74:B74 A78:B78 A82:B82 A86:B86 A90:B90 A94:B94 A98:B98 A102:B102 A106:B106 A110:B110 A114:B114 A118:B118 A122:B122 A126:B126 A130:B130 A135:B135 A139:B139 A143:B143 A147:B147 A153:B153 A157:B157 A161:B161 A165:B165 A169:B169 A173:B173 A177:B177 A181:B181 A185:B185 A189:B189 A193:B193 A197:B197 A201:B201 A205:B205 A209:B209 A213:B213 A217:B217 A221:B221 A225:B225 A229:B229 A233:B233 A237:B237 A241:B241 A245:B245 A249:B249 A253:B253 A257:B257 A261:B261 A265:B265 A269:B269 A273:B273 A277:B277 A281:B281 A285:B285 A289:B289 A293:B293 A297:B297 A301:B301 A305:B305 A309:B309 A313:B313 A317:B317 A321:B321 A325:B325 A329:B329 A333:B333 A337:B337 A341:B341 B51 B67:B343 B15:B20 B27:B30">
    <cfRule type="expression" dxfId="55" priority="71" stopIfTrue="1">
      <formula>#REF!="Nhỏ lẻ"</formula>
    </cfRule>
  </conditionalFormatting>
  <conditionalFormatting sqref="B55:B57 B66:X1048576 B1:X22 B23:B24 D23:X24 B25:X42 U43:X65 G44:T65 B43:T43 B44:F54 D55:F57 B58:F65">
    <cfRule type="expression" dxfId="54" priority="72" stopIfTrue="1">
      <formula>#REF!="HĐ"</formula>
    </cfRule>
    <cfRule type="expression" dxfId="53" priority="73" stopIfTrue="1">
      <formula>#REF!="HĐ,ĐK"</formula>
    </cfRule>
    <cfRule type="expression" dxfId="52" priority="74" stopIfTrue="1">
      <formula>#REF!="TN"</formula>
    </cfRule>
    <cfRule type="expression" dxfId="51" priority="75" stopIfTrue="1">
      <formula>#REF!="HH"</formula>
    </cfRule>
    <cfRule type="expression" dxfId="50" priority="76" stopIfTrue="1">
      <formula>#REF!="CNK"</formula>
    </cfRule>
    <cfRule type="expression" dxfId="49" priority="77" stopIfTrue="1">
      <formula>#REF!="Chuyển"</formula>
    </cfRule>
    <cfRule type="expression" dxfId="48" priority="78" stopIfTrue="1">
      <formula>#REF!="Nghỉ"</formula>
    </cfRule>
    <cfRule type="expression" dxfId="47" priority="79" stopIfTrue="1">
      <formula>#REF!="TK.C"</formula>
    </cfRule>
    <cfRule type="expression" dxfId="46" priority="80" stopIfTrue="1">
      <formula>#REF!="Loại C"</formula>
    </cfRule>
    <cfRule type="expression" dxfId="45" priority="81" stopIfTrue="1">
      <formula>#REF!="Nhỏ lẻ"</formula>
    </cfRule>
    <cfRule type="expression" dxfId="44" priority="82" stopIfTrue="1">
      <formula>#REF!="Xem lại"</formula>
    </cfRule>
  </conditionalFormatting>
  <conditionalFormatting sqref="A1:A1048576">
    <cfRule type="expression" dxfId="43" priority="45" stopIfTrue="1">
      <formula>#REF!="HĐ"</formula>
    </cfRule>
    <cfRule type="expression" dxfId="42" priority="46" stopIfTrue="1">
      <formula>#REF!="HĐ,ĐK"</formula>
    </cfRule>
    <cfRule type="expression" dxfId="41" priority="47" stopIfTrue="1">
      <formula>#REF!="TN"</formula>
    </cfRule>
    <cfRule type="expression" dxfId="40" priority="48" stopIfTrue="1">
      <formula>#REF!="HH"</formula>
    </cfRule>
    <cfRule type="expression" dxfId="39" priority="49" stopIfTrue="1">
      <formula>#REF!="CNK"</formula>
    </cfRule>
    <cfRule type="expression" dxfId="38" priority="50" stopIfTrue="1">
      <formula>#REF!="Chuyển"</formula>
    </cfRule>
    <cfRule type="expression" dxfId="37" priority="51" stopIfTrue="1">
      <formula>#REF!="Nghỉ"</formula>
    </cfRule>
    <cfRule type="expression" dxfId="36" priority="52" stopIfTrue="1">
      <formula>#REF!="TK.C"</formula>
    </cfRule>
    <cfRule type="expression" dxfId="35" priority="53" stopIfTrue="1">
      <formula>#REF!="Loại C"</formula>
    </cfRule>
    <cfRule type="expression" dxfId="34" priority="54" stopIfTrue="1">
      <formula>#REF!="Nhỏ lẻ"</formula>
    </cfRule>
    <cfRule type="expression" dxfId="33" priority="55" stopIfTrue="1">
      <formula>#REF!="Xem lại"</formula>
    </cfRule>
  </conditionalFormatting>
  <conditionalFormatting sqref="C55:C57">
    <cfRule type="expression" dxfId="32" priority="23" stopIfTrue="1">
      <formula>#REF!="HĐ"</formula>
    </cfRule>
    <cfRule type="expression" dxfId="31" priority="24" stopIfTrue="1">
      <formula>#REF!="HĐ,ĐK"</formula>
    </cfRule>
    <cfRule type="expression" dxfId="30" priority="25" stopIfTrue="1">
      <formula>#REF!="TN"</formula>
    </cfRule>
    <cfRule type="expression" dxfId="29" priority="26" stopIfTrue="1">
      <formula>#REF!="HH"</formula>
    </cfRule>
    <cfRule type="expression" dxfId="28" priority="27" stopIfTrue="1">
      <formula>#REF!="CNK"</formula>
    </cfRule>
    <cfRule type="expression" dxfId="27" priority="28" stopIfTrue="1">
      <formula>#REF!="Chuyển"</formula>
    </cfRule>
    <cfRule type="expression" dxfId="26" priority="29" stopIfTrue="1">
      <formula>#REF!="Nghỉ"</formula>
    </cfRule>
    <cfRule type="expression" dxfId="25" priority="30" stopIfTrue="1">
      <formula>#REF!="TK.C"</formula>
    </cfRule>
    <cfRule type="expression" dxfId="24" priority="31" stopIfTrue="1">
      <formula>#REF!="Loại C"</formula>
    </cfRule>
    <cfRule type="expression" dxfId="23" priority="32" stopIfTrue="1">
      <formula>#REF!="Nhỏ lẻ"</formula>
    </cfRule>
    <cfRule type="expression" dxfId="22" priority="33" stopIfTrue="1">
      <formula>#REF!="Xem lại"</formula>
    </cfRule>
  </conditionalFormatting>
  <conditionalFormatting sqref="C23:C24">
    <cfRule type="expression" dxfId="21" priority="1" stopIfTrue="1">
      <formula>#REF!="HĐ"</formula>
    </cfRule>
    <cfRule type="expression" dxfId="20" priority="2" stopIfTrue="1">
      <formula>#REF!="HĐ,ĐK"</formula>
    </cfRule>
    <cfRule type="expression" dxfId="19" priority="3" stopIfTrue="1">
      <formula>#REF!="TN"</formula>
    </cfRule>
    <cfRule type="expression" dxfId="18" priority="4" stopIfTrue="1">
      <formula>#REF!="HH"</formula>
    </cfRule>
    <cfRule type="expression" dxfId="17" priority="5" stopIfTrue="1">
      <formula>#REF!="CNK"</formula>
    </cfRule>
    <cfRule type="expression" dxfId="16" priority="6" stopIfTrue="1">
      <formula>#REF!="Chuyển"</formula>
    </cfRule>
    <cfRule type="expression" dxfId="15" priority="7" stopIfTrue="1">
      <formula>#REF!="Nghỉ"</formula>
    </cfRule>
    <cfRule type="expression" dxfId="14" priority="8" stopIfTrue="1">
      <formula>#REF!="TK.C"</formula>
    </cfRule>
    <cfRule type="expression" dxfId="13" priority="9" stopIfTrue="1">
      <formula>#REF!="Loại C"</formula>
    </cfRule>
    <cfRule type="expression" dxfId="12" priority="10" stopIfTrue="1">
      <formula>#REF!="Nhỏ lẻ"</formula>
    </cfRule>
    <cfRule type="expression" dxfId="11" priority="11" stopIfTrue="1">
      <formula>#REF!="Xem lại"</formula>
    </cfRule>
  </conditionalFormatting>
  <dataValidations count="10">
    <dataValidation type="list" allowBlank="1" showInputMessage="1" showErrorMessage="1" sqref="G4:G343">
      <formula1>Thang</formula1>
    </dataValidation>
    <dataValidation type="list" allowBlank="1" showInputMessage="1" showErrorMessage="1" sqref="H4:H343">
      <formula1>Ngay</formula1>
    </dataValidation>
    <dataValidation type="list" allowBlank="1" showInputMessage="1" sqref="F4:F343">
      <formula1>Huyen</formula1>
    </dataValidation>
    <dataValidation type="list" allowBlank="1" showInputMessage="1" sqref="E4:E343">
      <formula1>IF(F4="Huyện Ba Tri",BT,IF(F4="Huyện Bình Đại",BĐ,IF(F4="Huyện Châu Thành",CT,IF(F4="Huyện Chợ Lách",CL,IF(F4="Huyện Giồng Trôm",GT,IF(F4="Huyện Mỏ Cày Bắc",MCB,IF(F4="Huyện Mỏ Cày Nam",MCN,IF(F4="Huyện Thạnh Phú",TP,TPBT))))))))</formula1>
    </dataValidation>
    <dataValidation type="list" allowBlank="1" showInputMessage="1" sqref="N4:N343">
      <formula1>Thang</formula1>
    </dataValidation>
    <dataValidation type="list" allowBlank="1" showInputMessage="1" showErrorMessage="1" sqref="J4:J343">
      <formula1>Chitieu</formula1>
    </dataValidation>
    <dataValidation type="list" allowBlank="1" showInputMessage="1" showErrorMessage="1" sqref="K4:K343">
      <formula1>Nguoilay</formula1>
    </dataValidation>
    <dataValidation type="list" allowBlank="1" showInputMessage="1" showErrorMessage="1" sqref="I4:I343">
      <formula1>Tenmau</formula1>
    </dataValidation>
    <dataValidation type="list" allowBlank="1" showInputMessage="1" showErrorMessage="1" sqref="C4:C343">
      <formula1>Coso</formula1>
    </dataValidation>
    <dataValidation type="list" allowBlank="1" showInputMessage="1" sqref="X4:X343">
      <formula1>Ghichu</formula1>
    </dataValidation>
  </dataValidations>
  <pageMargins left="0.36" right="0.2"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1"/>
  <sheetViews>
    <sheetView zoomScale="115" zoomScaleNormal="115" workbookViewId="0">
      <pane xSplit="5" ySplit="2" topLeftCell="F3" activePane="bottomRight" state="frozen"/>
      <selection pane="topRight" activeCell="L1" sqref="L1"/>
      <selection pane="bottomLeft" activeCell="A3" sqref="A3"/>
      <selection pane="bottomRight" activeCell="D26" sqref="D26"/>
    </sheetView>
  </sheetViews>
  <sheetFormatPr defaultColWidth="11.42578125" defaultRowHeight="16.5" x14ac:dyDescent="0.25"/>
  <cols>
    <col min="1" max="1" width="6.140625" style="3" customWidth="1"/>
    <col min="2" max="2" width="56.7109375" style="3" customWidth="1"/>
    <col min="3" max="3" width="25.7109375" style="3" customWidth="1"/>
    <col min="4" max="4" width="52.140625" style="3" customWidth="1"/>
    <col min="5" max="5" width="18.7109375" style="20" customWidth="1"/>
    <col min="6" max="6" width="33.42578125" style="7" customWidth="1"/>
    <col min="7" max="7" width="22.42578125" style="3" customWidth="1"/>
    <col min="8" max="16384" width="11.42578125" style="3"/>
  </cols>
  <sheetData>
    <row r="2" spans="1:7" s="1" customFormat="1" x14ac:dyDescent="0.25">
      <c r="A2" s="15" t="s">
        <v>0</v>
      </c>
      <c r="B2" s="15" t="s">
        <v>1</v>
      </c>
      <c r="C2" s="15" t="s">
        <v>235</v>
      </c>
      <c r="D2" s="11" t="s">
        <v>3</v>
      </c>
      <c r="E2" s="19" t="s">
        <v>2</v>
      </c>
      <c r="G2" s="15" t="s">
        <v>176</v>
      </c>
    </row>
    <row r="3" spans="1:7" x14ac:dyDescent="0.25">
      <c r="A3" s="5">
        <f>_xlfn.AGGREGATE(3,3,$B$4:B4)</f>
        <v>1</v>
      </c>
      <c r="B3" s="25" t="s">
        <v>211</v>
      </c>
      <c r="C3" s="25"/>
      <c r="D3" s="25" t="s">
        <v>212</v>
      </c>
      <c r="E3" s="21"/>
      <c r="F3" s="18"/>
      <c r="G3" s="4"/>
    </row>
    <row r="4" spans="1:7" s="6" customFormat="1" ht="33" x14ac:dyDescent="0.25">
      <c r="A4" s="5">
        <f>_xlfn.AGGREGATE(3,3,$B$4:B5)</f>
        <v>2</v>
      </c>
      <c r="B4" s="25" t="s">
        <v>232</v>
      </c>
      <c r="C4" s="25"/>
      <c r="D4" s="25" t="s">
        <v>210</v>
      </c>
      <c r="E4" s="21"/>
      <c r="F4" s="18"/>
      <c r="G4" s="5"/>
    </row>
    <row r="5" spans="1:7" ht="33" x14ac:dyDescent="0.25">
      <c r="A5" s="5">
        <f>_xlfn.AGGREGATE(3,3,$B$3:B5)</f>
        <v>3</v>
      </c>
      <c r="B5" s="25" t="s">
        <v>227</v>
      </c>
      <c r="C5" s="25"/>
      <c r="D5" s="25" t="s">
        <v>228</v>
      </c>
      <c r="E5" s="21"/>
      <c r="F5" s="18"/>
      <c r="G5" s="4"/>
    </row>
    <row r="6" spans="1:7" s="6" customFormat="1" ht="33" x14ac:dyDescent="0.25">
      <c r="A6" s="5">
        <f>_xlfn.AGGREGATE(3,3,$B$3:B6)</f>
        <v>4</v>
      </c>
      <c r="B6" s="25" t="s">
        <v>233</v>
      </c>
      <c r="C6" s="25"/>
      <c r="D6" s="25" t="s">
        <v>214</v>
      </c>
      <c r="E6" s="21" t="s">
        <v>226</v>
      </c>
      <c r="F6" s="18"/>
      <c r="G6" s="4"/>
    </row>
    <row r="7" spans="1:7" s="6" customFormat="1" ht="33" x14ac:dyDescent="0.25">
      <c r="A7" s="5">
        <f>_xlfn.AGGREGATE(3,3,$B$3:B7)</f>
        <v>5</v>
      </c>
      <c r="B7" s="25" t="s">
        <v>608</v>
      </c>
      <c r="C7" s="25"/>
      <c r="D7" s="25" t="s">
        <v>213</v>
      </c>
      <c r="E7" s="21"/>
      <c r="F7" s="18"/>
      <c r="G7" s="2"/>
    </row>
    <row r="8" spans="1:7" ht="33" x14ac:dyDescent="0.25">
      <c r="A8" s="5">
        <f>_xlfn.AGGREGATE(3,3,$B$3:B8)</f>
        <v>6</v>
      </c>
      <c r="B8" s="25" t="s">
        <v>234</v>
      </c>
      <c r="C8" s="25"/>
      <c r="D8" s="25" t="s">
        <v>220</v>
      </c>
      <c r="E8" s="21" t="s">
        <v>230</v>
      </c>
      <c r="F8" s="18"/>
      <c r="G8" s="2"/>
    </row>
    <row r="9" spans="1:7" s="6" customFormat="1" ht="33" x14ac:dyDescent="0.25">
      <c r="A9" s="5">
        <f>_xlfn.AGGREGATE(3,3,$B$3:B9)</f>
        <v>7</v>
      </c>
      <c r="B9" s="25" t="s">
        <v>652</v>
      </c>
      <c r="C9" s="25"/>
      <c r="D9" s="25" t="s">
        <v>215</v>
      </c>
      <c r="E9" s="21" t="s">
        <v>224</v>
      </c>
      <c r="F9" s="18"/>
      <c r="G9" s="2"/>
    </row>
    <row r="10" spans="1:7" ht="33" x14ac:dyDescent="0.25">
      <c r="A10" s="5">
        <f>_xlfn.AGGREGATE(3,3,$B$3:B10)</f>
        <v>8</v>
      </c>
      <c r="B10" s="25" t="s">
        <v>216</v>
      </c>
      <c r="C10" s="25"/>
      <c r="D10" s="25" t="s">
        <v>217</v>
      </c>
      <c r="E10" s="21" t="s">
        <v>225</v>
      </c>
      <c r="F10" s="18"/>
      <c r="G10" s="4"/>
    </row>
    <row r="11" spans="1:7" ht="24.75" customHeight="1" x14ac:dyDescent="0.25">
      <c r="A11" s="5">
        <f>_xlfn.AGGREGATE(3,3,$B$3:B11)</f>
        <v>9</v>
      </c>
      <c r="B11" s="25" t="s">
        <v>218</v>
      </c>
      <c r="C11" s="25"/>
      <c r="D11" s="25" t="s">
        <v>219</v>
      </c>
      <c r="E11" s="21"/>
      <c r="F11" s="18"/>
      <c r="G11" s="4"/>
    </row>
    <row r="12" spans="1:7" x14ac:dyDescent="0.25">
      <c r="A12" s="5">
        <f>_xlfn.AGGREGATE(3,3,$B$3:B12)</f>
        <v>10</v>
      </c>
      <c r="B12" s="25" t="s">
        <v>231</v>
      </c>
      <c r="C12" s="25"/>
      <c r="D12" s="25" t="s">
        <v>221</v>
      </c>
      <c r="E12" s="22"/>
      <c r="F12" s="18"/>
      <c r="G12" s="4"/>
    </row>
    <row r="13" spans="1:7" ht="33" x14ac:dyDescent="0.25">
      <c r="A13" s="5">
        <f>_xlfn.AGGREGATE(3,3,$B$3:B13)</f>
        <v>11</v>
      </c>
      <c r="B13" s="25" t="s">
        <v>209</v>
      </c>
      <c r="C13" s="25"/>
      <c r="D13" s="25" t="s">
        <v>229</v>
      </c>
      <c r="E13" s="21"/>
      <c r="F13" s="18"/>
      <c r="G13" s="2"/>
    </row>
    <row r="14" spans="1:7" x14ac:dyDescent="0.25">
      <c r="A14" s="5">
        <f>_xlfn.AGGREGATE(3,3,$B$3:B14)</f>
        <v>12</v>
      </c>
      <c r="B14" s="25" t="s">
        <v>222</v>
      </c>
      <c r="C14" s="25"/>
      <c r="D14" s="25" t="s">
        <v>223</v>
      </c>
      <c r="E14" s="21"/>
      <c r="F14" s="18"/>
      <c r="G14" s="4"/>
    </row>
    <row r="15" spans="1:7" x14ac:dyDescent="0.25">
      <c r="A15" s="5">
        <f>_xlfn.AGGREGATE(3,3,$B$3:B15)</f>
        <v>13</v>
      </c>
      <c r="B15" s="25" t="s">
        <v>353</v>
      </c>
      <c r="C15" s="25"/>
      <c r="D15" s="25"/>
      <c r="E15" s="21"/>
      <c r="F15" s="18"/>
      <c r="G15" s="4"/>
    </row>
    <row r="16" spans="1:7" x14ac:dyDescent="0.25">
      <c r="A16" s="5">
        <f>_xlfn.AGGREGATE(3,3,$B$3:B16)</f>
        <v>14</v>
      </c>
      <c r="B16" s="26" t="s">
        <v>252</v>
      </c>
      <c r="C16" s="26"/>
      <c r="D16" s="27" t="s">
        <v>654</v>
      </c>
      <c r="E16" s="23"/>
      <c r="F16" s="10"/>
      <c r="G16" s="4"/>
    </row>
    <row r="17" spans="1:7" s="6" customFormat="1" x14ac:dyDescent="0.25">
      <c r="A17" s="5">
        <f>_xlfn.AGGREGATE(3,3,$B$3:B17)</f>
        <v>15</v>
      </c>
      <c r="B17" s="26" t="s">
        <v>256</v>
      </c>
      <c r="C17" s="26"/>
      <c r="D17" s="26" t="s">
        <v>257</v>
      </c>
      <c r="E17" s="23"/>
      <c r="F17" s="10"/>
      <c r="G17" s="2"/>
    </row>
    <row r="18" spans="1:7" x14ac:dyDescent="0.25">
      <c r="A18" s="5">
        <f>_xlfn.AGGREGATE(3,3,$B$3:B18)</f>
        <v>16</v>
      </c>
      <c r="B18" s="26" t="s">
        <v>258</v>
      </c>
      <c r="C18" s="26"/>
      <c r="D18" s="26" t="s">
        <v>257</v>
      </c>
      <c r="E18" s="23"/>
      <c r="F18" s="10"/>
      <c r="G18" s="4"/>
    </row>
    <row r="19" spans="1:7" x14ac:dyDescent="0.25">
      <c r="A19" s="5">
        <f>_xlfn.AGGREGATE(3,3,$B$3:B19)</f>
        <v>17</v>
      </c>
      <c r="B19" s="27" t="s">
        <v>264</v>
      </c>
      <c r="C19" s="27"/>
      <c r="D19" s="27" t="s">
        <v>337</v>
      </c>
      <c r="E19" s="24"/>
      <c r="F19" s="10"/>
      <c r="G19" s="16"/>
    </row>
    <row r="20" spans="1:7" x14ac:dyDescent="0.25">
      <c r="A20" s="5">
        <f>_xlfn.AGGREGATE(3,3,$B$3:B20)</f>
        <v>18</v>
      </c>
      <c r="B20" s="27" t="s">
        <v>267</v>
      </c>
      <c r="C20" s="27"/>
      <c r="D20" s="27" t="s">
        <v>253</v>
      </c>
      <c r="E20" s="24"/>
      <c r="F20" s="10"/>
      <c r="G20" s="16"/>
    </row>
    <row r="21" spans="1:7" s="6" customFormat="1" x14ac:dyDescent="0.25">
      <c r="A21" s="5">
        <f>_xlfn.AGGREGATE(3,3,$B$3:B21)</f>
        <v>19</v>
      </c>
      <c r="B21" s="27" t="s">
        <v>268</v>
      </c>
      <c r="C21" s="27"/>
      <c r="D21" s="27" t="s">
        <v>269</v>
      </c>
      <c r="E21" s="24"/>
      <c r="F21" s="10"/>
      <c r="G21" s="2"/>
    </row>
    <row r="22" spans="1:7" x14ac:dyDescent="0.25">
      <c r="A22" s="5">
        <f>_xlfn.AGGREGATE(3,3,$B$3:B22)</f>
        <v>20</v>
      </c>
      <c r="B22" s="27" t="s">
        <v>270</v>
      </c>
      <c r="C22" s="27"/>
      <c r="D22" s="27" t="s">
        <v>271</v>
      </c>
      <c r="E22" s="24"/>
      <c r="F22" s="10"/>
      <c r="G22" s="4"/>
    </row>
    <row r="23" spans="1:7" x14ac:dyDescent="0.25">
      <c r="A23" s="5">
        <f>_xlfn.AGGREGATE(3,3,$B$3:B23)</f>
        <v>21</v>
      </c>
      <c r="B23" s="27" t="s">
        <v>300</v>
      </c>
      <c r="C23" s="27"/>
      <c r="D23" s="27" t="s">
        <v>301</v>
      </c>
      <c r="E23" s="24"/>
      <c r="F23" s="10"/>
      <c r="G23" s="4"/>
    </row>
    <row r="24" spans="1:7" x14ac:dyDescent="0.25">
      <c r="A24" s="5">
        <f>_xlfn.AGGREGATE(3,3,$B$3:B24)</f>
        <v>22</v>
      </c>
      <c r="B24" s="27" t="s">
        <v>321</v>
      </c>
      <c r="C24" s="27"/>
      <c r="D24" s="27" t="s">
        <v>322</v>
      </c>
      <c r="E24" s="24"/>
      <c r="F24" s="10"/>
      <c r="G24" s="4"/>
    </row>
    <row r="25" spans="1:7" x14ac:dyDescent="0.25">
      <c r="A25" s="5">
        <f>_xlfn.AGGREGATE(3,3,$B$3:B25)</f>
        <v>23</v>
      </c>
      <c r="B25" s="27" t="s">
        <v>323</v>
      </c>
      <c r="C25" s="27"/>
      <c r="D25" s="27" t="s">
        <v>257</v>
      </c>
      <c r="E25" s="24"/>
      <c r="F25" s="10"/>
      <c r="G25" s="16"/>
    </row>
    <row r="26" spans="1:7" x14ac:dyDescent="0.25">
      <c r="A26" s="5">
        <f>_xlfn.AGGREGATE(3,3,$B$3:B26)</f>
        <v>24</v>
      </c>
      <c r="B26" s="27" t="s">
        <v>324</v>
      </c>
      <c r="C26" s="27"/>
      <c r="D26" s="27" t="s">
        <v>325</v>
      </c>
      <c r="E26" s="24"/>
      <c r="F26" s="10"/>
      <c r="G26" s="16"/>
    </row>
    <row r="27" spans="1:7" x14ac:dyDescent="0.25">
      <c r="A27" s="5">
        <f>_xlfn.AGGREGATE(3,3,$B$3:B27)</f>
        <v>25</v>
      </c>
      <c r="B27" s="27" t="s">
        <v>328</v>
      </c>
      <c r="C27" s="27"/>
      <c r="D27" s="27" t="s">
        <v>322</v>
      </c>
      <c r="E27" s="24"/>
      <c r="F27" s="10"/>
      <c r="G27" s="4"/>
    </row>
    <row r="28" spans="1:7" x14ac:dyDescent="0.25">
      <c r="A28" s="5">
        <f>_xlfn.AGGREGATE(3,3,$B$3:B28)</f>
        <v>26</v>
      </c>
      <c r="B28" s="27" t="s">
        <v>329</v>
      </c>
      <c r="C28" s="27"/>
      <c r="D28" s="27" t="s">
        <v>330</v>
      </c>
      <c r="E28" s="24"/>
      <c r="F28" s="10"/>
      <c r="G28" s="16"/>
    </row>
    <row r="29" spans="1:7" s="6" customFormat="1" x14ac:dyDescent="0.25">
      <c r="A29" s="5">
        <f>_xlfn.AGGREGATE(3,3,$B$3:B29)</f>
        <v>27</v>
      </c>
      <c r="B29" s="27" t="s">
        <v>332</v>
      </c>
      <c r="C29" s="27"/>
      <c r="D29" s="27" t="s">
        <v>322</v>
      </c>
      <c r="E29" s="24"/>
      <c r="F29" s="10"/>
      <c r="G29" s="16"/>
    </row>
    <row r="30" spans="1:7" x14ac:dyDescent="0.25">
      <c r="A30" s="5">
        <f>_xlfn.AGGREGATE(3,3,$B$3:B30)</f>
        <v>28</v>
      </c>
      <c r="B30" s="27" t="s">
        <v>333</v>
      </c>
      <c r="C30" s="27"/>
      <c r="D30" s="26" t="s">
        <v>334</v>
      </c>
      <c r="E30" s="24"/>
      <c r="F30" s="10"/>
      <c r="G30" s="16"/>
    </row>
    <row r="31" spans="1:7" x14ac:dyDescent="0.25">
      <c r="A31" s="5">
        <f>_xlfn.AGGREGATE(3,3,$B$3:B31)</f>
        <v>29</v>
      </c>
      <c r="B31" s="27" t="s">
        <v>335</v>
      </c>
      <c r="C31" s="27"/>
      <c r="D31" s="27" t="s">
        <v>336</v>
      </c>
      <c r="E31" s="24"/>
      <c r="F31" s="10"/>
      <c r="G31" s="16"/>
    </row>
    <row r="32" spans="1:7" x14ac:dyDescent="0.25">
      <c r="A32" s="5">
        <f>_xlfn.AGGREGATE(3,3,$B$3:B32)</f>
        <v>30</v>
      </c>
      <c r="B32" s="27" t="s">
        <v>339</v>
      </c>
      <c r="C32" s="27"/>
      <c r="D32" s="27" t="s">
        <v>322</v>
      </c>
      <c r="E32" s="24"/>
      <c r="F32" s="10"/>
      <c r="G32" s="16"/>
    </row>
    <row r="33" spans="1:7" x14ac:dyDescent="0.25">
      <c r="A33" s="5">
        <f>_xlfn.AGGREGATE(3,3,$B$3:B33)</f>
        <v>31</v>
      </c>
      <c r="B33" s="26" t="s">
        <v>340</v>
      </c>
      <c r="C33" s="26"/>
      <c r="D33" s="27" t="s">
        <v>341</v>
      </c>
      <c r="E33" s="24"/>
      <c r="F33" s="10"/>
      <c r="G33" s="16"/>
    </row>
    <row r="34" spans="1:7" s="6" customFormat="1" x14ac:dyDescent="0.25">
      <c r="A34" s="5">
        <f>_xlfn.AGGREGATE(3,3,$B$3:B34)</f>
        <v>32</v>
      </c>
      <c r="B34" s="26" t="s">
        <v>342</v>
      </c>
      <c r="C34" s="26"/>
      <c r="D34" s="27" t="s">
        <v>343</v>
      </c>
      <c r="E34" s="24"/>
      <c r="F34" s="10"/>
      <c r="G34" s="16"/>
    </row>
    <row r="35" spans="1:7" x14ac:dyDescent="0.25">
      <c r="A35" s="5">
        <f>_xlfn.AGGREGATE(3,3,$B$3:B35)</f>
        <v>33</v>
      </c>
      <c r="B35" s="27" t="s">
        <v>346</v>
      </c>
      <c r="C35" s="27"/>
      <c r="D35" s="27" t="s">
        <v>344</v>
      </c>
      <c r="E35" s="24"/>
      <c r="F35" s="10"/>
      <c r="G35" s="16"/>
    </row>
    <row r="36" spans="1:7" x14ac:dyDescent="0.25">
      <c r="A36" s="5">
        <f>_xlfn.AGGREGATE(3,3,$B$3:B36)</f>
        <v>34</v>
      </c>
      <c r="B36" s="27" t="s">
        <v>347</v>
      </c>
      <c r="C36" s="27"/>
      <c r="D36" s="27" t="s">
        <v>345</v>
      </c>
      <c r="E36" s="24"/>
      <c r="F36" s="10"/>
      <c r="G36" s="16"/>
    </row>
    <row r="37" spans="1:7" x14ac:dyDescent="0.25">
      <c r="A37" s="5">
        <f>_xlfn.AGGREGATE(3,3,$B$3:B37)</f>
        <v>35</v>
      </c>
      <c r="B37" s="27" t="s">
        <v>372</v>
      </c>
      <c r="C37" s="27"/>
      <c r="D37" s="27" t="s">
        <v>253</v>
      </c>
      <c r="E37" s="24"/>
      <c r="F37" s="10"/>
      <c r="G37" s="16"/>
    </row>
    <row r="38" spans="1:7" x14ac:dyDescent="0.25">
      <c r="A38" s="5">
        <f>_xlfn.AGGREGATE(3,3,$B$3:B38)</f>
        <v>36</v>
      </c>
      <c r="B38" s="35" t="s">
        <v>374</v>
      </c>
      <c r="C38" s="27"/>
      <c r="D38" s="27" t="s">
        <v>375</v>
      </c>
      <c r="E38" s="24"/>
      <c r="F38" s="10"/>
      <c r="G38" s="16"/>
    </row>
    <row r="39" spans="1:7" x14ac:dyDescent="0.25">
      <c r="A39" s="5">
        <f>_xlfn.AGGREGATE(3,3,$B$3:B39)</f>
        <v>37</v>
      </c>
      <c r="B39" s="27" t="s">
        <v>538</v>
      </c>
      <c r="C39" s="27"/>
      <c r="D39" s="27" t="s">
        <v>376</v>
      </c>
      <c r="E39" s="24"/>
      <c r="F39" s="10"/>
      <c r="G39" s="4"/>
    </row>
    <row r="40" spans="1:7" x14ac:dyDescent="0.25">
      <c r="A40" s="5">
        <f>_xlfn.AGGREGATE(3,3,$B$3:B40)</f>
        <v>38</v>
      </c>
      <c r="B40" s="27" t="s">
        <v>377</v>
      </c>
      <c r="C40" s="27"/>
      <c r="D40" s="27" t="s">
        <v>378</v>
      </c>
      <c r="E40" s="24"/>
      <c r="F40" s="10"/>
      <c r="G40" s="16"/>
    </row>
    <row r="41" spans="1:7" x14ac:dyDescent="0.25">
      <c r="A41" s="5">
        <f>_xlfn.AGGREGATE(3,3,$B$3:B41)</f>
        <v>39</v>
      </c>
      <c r="B41" s="27" t="s">
        <v>379</v>
      </c>
      <c r="C41" s="27"/>
      <c r="D41" s="27" t="s">
        <v>380</v>
      </c>
      <c r="E41" s="24"/>
      <c r="F41" s="10"/>
      <c r="G41" s="16"/>
    </row>
    <row r="42" spans="1:7" s="6" customFormat="1" x14ac:dyDescent="0.25">
      <c r="A42" s="5">
        <f>_xlfn.AGGREGATE(3,3,$B$3:B42)</f>
        <v>40</v>
      </c>
      <c r="B42" s="27" t="s">
        <v>383</v>
      </c>
      <c r="C42" s="27"/>
      <c r="D42" s="27" t="s">
        <v>384</v>
      </c>
      <c r="E42" s="24"/>
      <c r="F42" s="10"/>
      <c r="G42" s="16"/>
    </row>
    <row r="43" spans="1:7" x14ac:dyDescent="0.25">
      <c r="A43" s="5">
        <f>_xlfn.AGGREGATE(3,3,$B$3:B43)</f>
        <v>41</v>
      </c>
      <c r="B43" s="27" t="s">
        <v>385</v>
      </c>
      <c r="C43" s="27"/>
      <c r="D43" s="27" t="s">
        <v>386</v>
      </c>
      <c r="E43" s="24"/>
      <c r="F43" s="10"/>
      <c r="G43" s="16"/>
    </row>
    <row r="44" spans="1:7" x14ac:dyDescent="0.25">
      <c r="A44" s="5">
        <f>_xlfn.AGGREGATE(3,3,$B$3:B44)</f>
        <v>42</v>
      </c>
      <c r="B44" s="27" t="s">
        <v>387</v>
      </c>
      <c r="C44" s="27"/>
      <c r="D44" s="27" t="s">
        <v>388</v>
      </c>
      <c r="E44" s="24"/>
      <c r="F44" s="10"/>
      <c r="G44" s="16"/>
    </row>
    <row r="45" spans="1:7" s="6" customFormat="1" x14ac:dyDescent="0.25">
      <c r="A45" s="5">
        <f>_xlfn.AGGREGATE(3,3,$B$3:B45)</f>
        <v>43</v>
      </c>
      <c r="B45" s="27" t="s">
        <v>401</v>
      </c>
      <c r="C45" s="27"/>
      <c r="D45" s="27" t="s">
        <v>337</v>
      </c>
      <c r="E45" s="24"/>
      <c r="F45" s="10"/>
      <c r="G45" s="16"/>
    </row>
    <row r="46" spans="1:7" s="1" customFormat="1" x14ac:dyDescent="0.25">
      <c r="A46" s="5">
        <f>_xlfn.AGGREGATE(3,3,$B$3:B46)</f>
        <v>44</v>
      </c>
      <c r="B46" s="27" t="s">
        <v>402</v>
      </c>
      <c r="C46" s="27"/>
      <c r="D46" s="27" t="s">
        <v>376</v>
      </c>
      <c r="E46" s="24"/>
      <c r="F46" s="10"/>
      <c r="G46" s="17"/>
    </row>
    <row r="47" spans="1:7" s="6" customFormat="1" x14ac:dyDescent="0.25">
      <c r="A47" s="5">
        <f>_xlfn.AGGREGATE(3,3,$B$3:B47)</f>
        <v>45</v>
      </c>
      <c r="B47" s="27" t="s">
        <v>403</v>
      </c>
      <c r="C47" s="27"/>
      <c r="D47" s="26" t="s">
        <v>257</v>
      </c>
      <c r="E47" s="24"/>
      <c r="F47" s="10"/>
      <c r="G47" s="2"/>
    </row>
    <row r="48" spans="1:7" s="6" customFormat="1" x14ac:dyDescent="0.25">
      <c r="A48" s="5">
        <f>_xlfn.AGGREGATE(3,3,$B$3:B48)</f>
        <v>46</v>
      </c>
      <c r="B48" s="27" t="s">
        <v>405</v>
      </c>
      <c r="C48" s="27"/>
      <c r="D48" s="27" t="s">
        <v>253</v>
      </c>
      <c r="E48" s="24"/>
      <c r="F48" s="10"/>
      <c r="G48" s="2"/>
    </row>
    <row r="49" spans="1:7" x14ac:dyDescent="0.25">
      <c r="A49" s="5">
        <f>_xlfn.AGGREGATE(3,3,$B$3:B49)</f>
        <v>47</v>
      </c>
      <c r="B49" s="26" t="s">
        <v>410</v>
      </c>
      <c r="C49" s="26"/>
      <c r="D49" s="27" t="s">
        <v>253</v>
      </c>
      <c r="E49" s="24"/>
      <c r="F49" s="10"/>
      <c r="G49" s="4"/>
    </row>
    <row r="50" spans="1:7" ht="33" x14ac:dyDescent="0.25">
      <c r="A50" s="5">
        <f>_xlfn.AGGREGATE(3,3,$B$3:B50)</f>
        <v>48</v>
      </c>
      <c r="B50" s="26" t="s">
        <v>414</v>
      </c>
      <c r="C50" s="26"/>
      <c r="D50" s="26" t="s">
        <v>415</v>
      </c>
      <c r="E50" s="23"/>
      <c r="F50" s="10"/>
      <c r="G50" s="4"/>
    </row>
    <row r="51" spans="1:7" x14ac:dyDescent="0.25">
      <c r="A51" s="5">
        <f>_xlfn.AGGREGATE(3,3,$B$3:B51)</f>
        <v>49</v>
      </c>
      <c r="B51" s="27" t="s">
        <v>417</v>
      </c>
      <c r="C51" s="27"/>
      <c r="D51" s="26" t="s">
        <v>334</v>
      </c>
      <c r="E51" s="24"/>
      <c r="F51" s="10"/>
      <c r="G51" s="16"/>
    </row>
    <row r="52" spans="1:7" s="1" customFormat="1" x14ac:dyDescent="0.25">
      <c r="A52" s="5">
        <f>_xlfn.AGGREGATE(3,3,$B$3:B52)</f>
        <v>50</v>
      </c>
      <c r="B52" s="27" t="s">
        <v>442</v>
      </c>
      <c r="C52" s="27"/>
      <c r="D52" s="27" t="s">
        <v>253</v>
      </c>
      <c r="E52" s="24"/>
      <c r="F52" s="10"/>
      <c r="G52" s="16"/>
    </row>
    <row r="53" spans="1:7" s="1" customFormat="1" ht="33" x14ac:dyDescent="0.25">
      <c r="A53" s="5">
        <f>_xlfn.AGGREGATE(3,3,$B$3:B53)</f>
        <v>51</v>
      </c>
      <c r="B53" s="26" t="s">
        <v>445</v>
      </c>
      <c r="C53" s="26"/>
      <c r="D53" s="26" t="s">
        <v>446</v>
      </c>
      <c r="E53" s="24"/>
      <c r="F53" s="10"/>
      <c r="G53" s="4"/>
    </row>
    <row r="54" spans="1:7" s="6" customFormat="1" x14ac:dyDescent="0.25">
      <c r="A54" s="5">
        <f>_xlfn.AGGREGATE(3,3,$B$3:B54)</f>
        <v>52</v>
      </c>
      <c r="B54" s="27" t="s">
        <v>447</v>
      </c>
      <c r="C54" s="27"/>
      <c r="D54" s="27" t="s">
        <v>448</v>
      </c>
      <c r="E54" s="24"/>
      <c r="F54" s="10"/>
      <c r="G54" s="2"/>
    </row>
    <row r="55" spans="1:7" s="6" customFormat="1" x14ac:dyDescent="0.25">
      <c r="A55" s="5">
        <f>_xlfn.AGGREGATE(3,3,$B$3:B55)</f>
        <v>53</v>
      </c>
      <c r="B55" s="27" t="s">
        <v>471</v>
      </c>
      <c r="C55" s="27"/>
      <c r="D55" s="27" t="s">
        <v>253</v>
      </c>
      <c r="E55" s="24"/>
      <c r="F55" s="10"/>
      <c r="G55" s="2"/>
    </row>
    <row r="56" spans="1:7" s="6" customFormat="1" x14ac:dyDescent="0.25">
      <c r="A56" s="5">
        <f>_xlfn.AGGREGATE(3,3,$B$3:B56)</f>
        <v>54</v>
      </c>
      <c r="B56" s="27" t="s">
        <v>472</v>
      </c>
      <c r="C56" s="27"/>
      <c r="D56" s="27" t="s">
        <v>476</v>
      </c>
      <c r="E56" s="24"/>
      <c r="F56" s="10"/>
      <c r="G56" s="17"/>
    </row>
    <row r="57" spans="1:7" x14ac:dyDescent="0.25">
      <c r="A57" s="5">
        <f>_xlfn.AGGREGATE(3,3,$B$3:B57)</f>
        <v>55</v>
      </c>
      <c r="B57" s="27" t="s">
        <v>474</v>
      </c>
      <c r="C57" s="27"/>
      <c r="D57" s="27" t="s">
        <v>475</v>
      </c>
      <c r="E57" s="24"/>
      <c r="F57" s="10"/>
      <c r="G57" s="17"/>
    </row>
    <row r="58" spans="1:7" x14ac:dyDescent="0.25">
      <c r="A58" s="5">
        <f>_xlfn.AGGREGATE(3,3,$B$3:B58)</f>
        <v>56</v>
      </c>
      <c r="B58" s="27" t="s">
        <v>487</v>
      </c>
      <c r="C58" s="27"/>
      <c r="D58" s="27" t="s">
        <v>345</v>
      </c>
      <c r="E58" s="24"/>
      <c r="F58" s="10"/>
      <c r="G58" s="17"/>
    </row>
    <row r="59" spans="1:7" x14ac:dyDescent="0.25">
      <c r="A59" s="5">
        <f>_xlfn.AGGREGATE(3,3,$B$3:B59)</f>
        <v>57</v>
      </c>
      <c r="B59" s="27" t="s">
        <v>491</v>
      </c>
      <c r="C59" s="27"/>
      <c r="D59" s="27" t="s">
        <v>341</v>
      </c>
      <c r="E59" s="24"/>
      <c r="F59" s="10"/>
      <c r="G59" s="17"/>
    </row>
    <row r="60" spans="1:7" x14ac:dyDescent="0.25">
      <c r="A60" s="5">
        <f>_xlfn.AGGREGATE(3,3,$B$3:B60)</f>
        <v>58</v>
      </c>
      <c r="B60" s="27" t="s">
        <v>495</v>
      </c>
      <c r="C60" s="27"/>
      <c r="D60" s="27" t="s">
        <v>253</v>
      </c>
      <c r="E60" s="24"/>
      <c r="F60" s="10"/>
      <c r="G60" s="17"/>
    </row>
    <row r="61" spans="1:7" x14ac:dyDescent="0.25">
      <c r="A61" s="5">
        <f>_xlfn.AGGREGATE(3,3,$B$3:B61)</f>
        <v>59</v>
      </c>
      <c r="B61" s="35" t="s">
        <v>496</v>
      </c>
      <c r="C61" s="27"/>
      <c r="D61" s="27" t="s">
        <v>341</v>
      </c>
      <c r="E61" s="24"/>
      <c r="F61" s="10"/>
      <c r="G61" s="17"/>
    </row>
    <row r="62" spans="1:7" x14ac:dyDescent="0.25">
      <c r="A62" s="5">
        <f>_xlfn.AGGREGATE(3,3,$B$3:B62)</f>
        <v>60</v>
      </c>
      <c r="B62" s="27" t="s">
        <v>507</v>
      </c>
      <c r="C62" s="27"/>
      <c r="D62" s="27" t="s">
        <v>508</v>
      </c>
      <c r="E62" s="24"/>
      <c r="F62" s="10"/>
      <c r="G62" s="17"/>
    </row>
    <row r="63" spans="1:7" x14ac:dyDescent="0.25">
      <c r="A63" s="5">
        <f>_xlfn.AGGREGATE(3,3,$B$3:B63)</f>
        <v>61</v>
      </c>
      <c r="B63" s="27" t="s">
        <v>524</v>
      </c>
      <c r="C63" s="27"/>
      <c r="D63" s="27" t="s">
        <v>253</v>
      </c>
      <c r="E63" s="24"/>
      <c r="F63" s="10"/>
      <c r="G63" s="17"/>
    </row>
    <row r="64" spans="1:7" x14ac:dyDescent="0.25">
      <c r="A64" s="5">
        <f>_xlfn.AGGREGATE(3,3,$B$3:B64)</f>
        <v>62</v>
      </c>
      <c r="B64" s="27" t="s">
        <v>537</v>
      </c>
      <c r="C64" s="27"/>
      <c r="D64" s="27" t="s">
        <v>253</v>
      </c>
      <c r="E64" s="24"/>
      <c r="F64" s="10"/>
      <c r="G64" s="17"/>
    </row>
    <row r="65" spans="1:7" x14ac:dyDescent="0.25">
      <c r="A65" s="5">
        <f>_xlfn.AGGREGATE(3,3,$B$3:B65)</f>
        <v>63</v>
      </c>
      <c r="B65" s="27" t="s">
        <v>544</v>
      </c>
      <c r="C65" s="27"/>
      <c r="D65" s="27" t="s">
        <v>253</v>
      </c>
      <c r="E65" s="24"/>
      <c r="F65" s="10"/>
      <c r="G65" s="17"/>
    </row>
    <row r="66" spans="1:7" x14ac:dyDescent="0.25">
      <c r="A66" s="5">
        <f>_xlfn.AGGREGATE(3,3,$B$3:B66)</f>
        <v>64</v>
      </c>
      <c r="B66" s="27" t="s">
        <v>545</v>
      </c>
      <c r="C66" s="27"/>
      <c r="D66" s="27" t="s">
        <v>476</v>
      </c>
      <c r="E66" s="24"/>
      <c r="F66" s="10"/>
      <c r="G66" s="17"/>
    </row>
    <row r="67" spans="1:7" x14ac:dyDescent="0.25">
      <c r="A67" s="5">
        <f>_xlfn.AGGREGATE(3,3,$B$3:B67)</f>
        <v>65</v>
      </c>
      <c r="B67" s="27" t="s">
        <v>597</v>
      </c>
      <c r="C67" s="27"/>
      <c r="D67" s="27" t="s">
        <v>253</v>
      </c>
      <c r="E67" s="24"/>
      <c r="F67" s="10"/>
      <c r="G67" s="17"/>
    </row>
    <row r="68" spans="1:7" x14ac:dyDescent="0.25">
      <c r="A68" s="5">
        <f>_xlfn.AGGREGATE(3,3,$B$3:B68)</f>
        <v>66</v>
      </c>
      <c r="B68" s="103" t="s">
        <v>636</v>
      </c>
      <c r="C68" s="27"/>
      <c r="D68" s="103" t="s">
        <v>637</v>
      </c>
      <c r="E68" s="24"/>
      <c r="F68" s="10"/>
      <c r="G68" s="17"/>
    </row>
    <row r="69" spans="1:7" x14ac:dyDescent="0.25">
      <c r="A69" s="5">
        <f>_xlfn.AGGREGATE(3,3,$B$3:B69)</f>
        <v>67</v>
      </c>
      <c r="B69" s="27" t="s">
        <v>653</v>
      </c>
      <c r="C69" s="27"/>
      <c r="D69" s="27" t="s">
        <v>654</v>
      </c>
      <c r="E69" s="24"/>
      <c r="F69" s="10"/>
      <c r="G69" s="17"/>
    </row>
    <row r="70" spans="1:7" x14ac:dyDescent="0.25">
      <c r="A70" s="5">
        <f>_xlfn.AGGREGATE(3,3,$B$3:B70)</f>
        <v>68</v>
      </c>
      <c r="B70" s="27" t="s">
        <v>668</v>
      </c>
      <c r="C70" s="27"/>
      <c r="D70" s="27" t="s">
        <v>669</v>
      </c>
      <c r="E70" s="24"/>
      <c r="F70" s="10"/>
      <c r="G70" s="17"/>
    </row>
    <row r="71" spans="1:7" x14ac:dyDescent="0.25">
      <c r="A71" s="5">
        <f>_xlfn.AGGREGATE(3,3,$B$3:B71)</f>
        <v>69</v>
      </c>
      <c r="B71" s="27" t="s">
        <v>295</v>
      </c>
      <c r="C71" s="27"/>
      <c r="D71" s="27"/>
      <c r="E71" s="24"/>
      <c r="F71" s="10"/>
      <c r="G71" s="17"/>
    </row>
    <row r="72" spans="1:7" x14ac:dyDescent="0.25">
      <c r="A72" s="5">
        <f>_xlfn.AGGREGATE(3,3,$B$3:B72)</f>
        <v>70</v>
      </c>
      <c r="B72" s="27" t="s">
        <v>295</v>
      </c>
      <c r="C72" s="27"/>
      <c r="D72" s="27"/>
      <c r="E72" s="24"/>
      <c r="F72" s="10"/>
      <c r="G72" s="17"/>
    </row>
    <row r="73" spans="1:7" x14ac:dyDescent="0.25">
      <c r="A73" s="5">
        <f>_xlfn.AGGREGATE(3,3,$B$3:B73)</f>
        <v>71</v>
      </c>
      <c r="B73" s="27" t="s">
        <v>295</v>
      </c>
      <c r="C73" s="27"/>
      <c r="D73" s="27"/>
      <c r="E73" s="24"/>
      <c r="F73" s="10"/>
      <c r="G73" s="17"/>
    </row>
    <row r="74" spans="1:7" x14ac:dyDescent="0.25">
      <c r="A74" s="5">
        <f>_xlfn.AGGREGATE(3,3,$B$3:B74)</f>
        <v>72</v>
      </c>
      <c r="B74" s="27" t="s">
        <v>295</v>
      </c>
      <c r="C74" s="27"/>
      <c r="D74" s="27"/>
      <c r="E74" s="24"/>
      <c r="F74" s="10"/>
      <c r="G74" s="17"/>
    </row>
    <row r="75" spans="1:7" x14ac:dyDescent="0.25">
      <c r="A75" s="5">
        <f>_xlfn.AGGREGATE(3,3,$B$3:B75)</f>
        <v>73</v>
      </c>
      <c r="B75" s="27" t="s">
        <v>295</v>
      </c>
      <c r="C75" s="27"/>
      <c r="D75" s="27"/>
      <c r="E75" s="24"/>
      <c r="F75" s="10"/>
      <c r="G75" s="17"/>
    </row>
    <row r="76" spans="1:7" x14ac:dyDescent="0.25">
      <c r="A76" s="5">
        <f>_xlfn.AGGREGATE(3,3,$B$3:B76)</f>
        <v>74</v>
      </c>
      <c r="B76" s="27" t="s">
        <v>295</v>
      </c>
      <c r="C76" s="27"/>
      <c r="D76" s="27"/>
      <c r="E76" s="24"/>
      <c r="F76" s="10"/>
      <c r="G76" s="17"/>
    </row>
    <row r="77" spans="1:7" x14ac:dyDescent="0.25">
      <c r="A77" s="5">
        <f>_xlfn.AGGREGATE(3,3,$B$3:B77)</f>
        <v>75</v>
      </c>
      <c r="B77" s="27" t="s">
        <v>295</v>
      </c>
      <c r="C77" s="27"/>
      <c r="D77" s="27"/>
      <c r="E77" s="24"/>
      <c r="F77" s="10"/>
      <c r="G77" s="17"/>
    </row>
    <row r="78" spans="1:7" x14ac:dyDescent="0.25">
      <c r="A78" s="5">
        <f>_xlfn.AGGREGATE(3,3,$B$3:B78)</f>
        <v>76</v>
      </c>
      <c r="B78" s="27" t="s">
        <v>295</v>
      </c>
      <c r="C78" s="27"/>
      <c r="D78" s="27"/>
      <c r="E78" s="24"/>
      <c r="F78" s="10"/>
      <c r="G78" s="17"/>
    </row>
    <row r="79" spans="1:7" x14ac:dyDescent="0.25">
      <c r="A79" s="5">
        <f>_xlfn.AGGREGATE(3,3,$B$3:B79)</f>
        <v>77</v>
      </c>
      <c r="B79" s="27" t="s">
        <v>295</v>
      </c>
      <c r="C79" s="27"/>
      <c r="D79" s="27"/>
      <c r="E79" s="24"/>
      <c r="F79" s="10"/>
      <c r="G79" s="17"/>
    </row>
    <row r="80" spans="1:7" x14ac:dyDescent="0.25">
      <c r="A80" s="5">
        <f>_xlfn.AGGREGATE(3,3,$B$3:B80)</f>
        <v>78</v>
      </c>
      <c r="B80" s="27" t="s">
        <v>295</v>
      </c>
      <c r="C80" s="27"/>
      <c r="D80" s="27"/>
      <c r="E80" s="24"/>
      <c r="F80" s="10"/>
      <c r="G80" s="17"/>
    </row>
    <row r="81" spans="1:7" x14ac:dyDescent="0.25">
      <c r="A81" s="5">
        <f>_xlfn.AGGREGATE(3,3,$B$3:B81)</f>
        <v>79</v>
      </c>
      <c r="B81" s="27" t="s">
        <v>295</v>
      </c>
      <c r="C81" s="27"/>
      <c r="D81" s="27"/>
      <c r="E81" s="24"/>
      <c r="F81" s="10"/>
      <c r="G81" s="17"/>
    </row>
    <row r="82" spans="1:7" x14ac:dyDescent="0.25">
      <c r="A82" s="5">
        <f>_xlfn.AGGREGATE(3,3,$B$3:B82)</f>
        <v>80</v>
      </c>
      <c r="B82" s="27" t="s">
        <v>295</v>
      </c>
      <c r="C82" s="27"/>
      <c r="D82" s="27"/>
      <c r="E82" s="24"/>
      <c r="F82" s="10"/>
      <c r="G82" s="17"/>
    </row>
    <row r="83" spans="1:7" x14ac:dyDescent="0.25">
      <c r="A83" s="5">
        <f>_xlfn.AGGREGATE(3,3,$B$3:B83)</f>
        <v>81</v>
      </c>
      <c r="B83" s="27" t="s">
        <v>295</v>
      </c>
      <c r="C83" s="27"/>
      <c r="D83" s="27"/>
      <c r="E83" s="24"/>
      <c r="F83" s="10"/>
      <c r="G83" s="17"/>
    </row>
    <row r="84" spans="1:7" x14ac:dyDescent="0.25">
      <c r="A84" s="5">
        <f>_xlfn.AGGREGATE(3,3,$B$3:B84)</f>
        <v>82</v>
      </c>
      <c r="B84" s="27" t="s">
        <v>295</v>
      </c>
      <c r="C84" s="27"/>
      <c r="D84" s="27"/>
      <c r="E84" s="24"/>
      <c r="F84" s="10"/>
      <c r="G84" s="17"/>
    </row>
    <row r="85" spans="1:7" x14ac:dyDescent="0.25">
      <c r="A85" s="5">
        <f>_xlfn.AGGREGATE(3,3,$B$3:B85)</f>
        <v>83</v>
      </c>
      <c r="B85" s="27" t="s">
        <v>295</v>
      </c>
      <c r="C85" s="27"/>
      <c r="D85" s="27"/>
      <c r="E85" s="24"/>
      <c r="F85" s="10"/>
      <c r="G85" s="17"/>
    </row>
    <row r="86" spans="1:7" x14ac:dyDescent="0.25">
      <c r="A86" s="5">
        <f>_xlfn.AGGREGATE(3,3,$B$3:B86)</f>
        <v>84</v>
      </c>
      <c r="B86" s="27" t="s">
        <v>295</v>
      </c>
      <c r="C86" s="27"/>
      <c r="D86" s="27"/>
      <c r="E86" s="24"/>
      <c r="F86" s="10"/>
      <c r="G86" s="17"/>
    </row>
    <row r="87" spans="1:7" x14ac:dyDescent="0.25">
      <c r="A87" s="5">
        <f>_xlfn.AGGREGATE(3,3,$B$3:B87)</f>
        <v>85</v>
      </c>
      <c r="B87" s="27" t="s">
        <v>295</v>
      </c>
      <c r="C87" s="27"/>
      <c r="D87" s="27"/>
      <c r="E87" s="24"/>
      <c r="F87" s="10"/>
      <c r="G87" s="17"/>
    </row>
    <row r="88" spans="1:7" x14ac:dyDescent="0.25">
      <c r="A88" s="5">
        <f>_xlfn.AGGREGATE(3,3,$B$3:B88)</f>
        <v>86</v>
      </c>
      <c r="B88" s="27" t="s">
        <v>295</v>
      </c>
      <c r="C88" s="27"/>
      <c r="D88" s="27"/>
      <c r="E88" s="24"/>
      <c r="F88" s="10"/>
      <c r="G88" s="17"/>
    </row>
    <row r="89" spans="1:7" x14ac:dyDescent="0.25">
      <c r="A89" s="5">
        <f>_xlfn.AGGREGATE(3,3,$B$3:B89)</f>
        <v>87</v>
      </c>
      <c r="B89" s="27" t="s">
        <v>295</v>
      </c>
      <c r="C89" s="27"/>
      <c r="D89" s="27"/>
      <c r="E89" s="24"/>
      <c r="F89" s="10"/>
      <c r="G89" s="17"/>
    </row>
    <row r="90" spans="1:7" x14ac:dyDescent="0.25">
      <c r="A90" s="5">
        <f>_xlfn.AGGREGATE(3,3,$B$3:B90)</f>
        <v>88</v>
      </c>
      <c r="B90" s="27" t="s">
        <v>295</v>
      </c>
      <c r="C90" s="27"/>
      <c r="D90" s="27"/>
      <c r="E90" s="24"/>
      <c r="F90" s="10"/>
      <c r="G90" s="17"/>
    </row>
    <row r="91" spans="1:7" x14ac:dyDescent="0.25">
      <c r="A91" s="5">
        <f>_xlfn.AGGREGATE(3,3,$B$3:B91)</f>
        <v>89</v>
      </c>
      <c r="B91" s="27" t="s">
        <v>295</v>
      </c>
      <c r="C91" s="27"/>
      <c r="D91" s="27"/>
      <c r="E91" s="24"/>
      <c r="F91" s="10"/>
      <c r="G91" s="17"/>
    </row>
    <row r="92" spans="1:7" x14ac:dyDescent="0.25">
      <c r="A92" s="5">
        <f>_xlfn.AGGREGATE(3,3,$B$3:B92)</f>
        <v>90</v>
      </c>
      <c r="B92" s="27" t="s">
        <v>295</v>
      </c>
      <c r="C92" s="27"/>
      <c r="D92" s="27"/>
      <c r="E92" s="24"/>
      <c r="F92" s="10"/>
      <c r="G92" s="17"/>
    </row>
    <row r="93" spans="1:7" x14ac:dyDescent="0.25">
      <c r="A93" s="5">
        <f>_xlfn.AGGREGATE(3,3,$B$3:B93)</f>
        <v>91</v>
      </c>
      <c r="B93" s="27" t="s">
        <v>295</v>
      </c>
      <c r="C93" s="27"/>
      <c r="D93" s="27"/>
      <c r="E93" s="24"/>
      <c r="F93" s="10"/>
      <c r="G93" s="17"/>
    </row>
    <row r="94" spans="1:7" x14ac:dyDescent="0.25">
      <c r="A94" s="5">
        <f>_xlfn.AGGREGATE(3,3,$B$3:B94)</f>
        <v>92</v>
      </c>
      <c r="B94" s="27" t="s">
        <v>295</v>
      </c>
      <c r="C94" s="27"/>
      <c r="D94" s="27"/>
      <c r="E94" s="24"/>
      <c r="F94" s="10"/>
      <c r="G94" s="17"/>
    </row>
    <row r="95" spans="1:7" x14ac:dyDescent="0.25">
      <c r="A95" s="5">
        <f>_xlfn.AGGREGATE(3,3,$B$3:B95)</f>
        <v>93</v>
      </c>
      <c r="B95" s="27" t="s">
        <v>295</v>
      </c>
      <c r="C95" s="27"/>
      <c r="D95" s="27"/>
      <c r="E95" s="24"/>
      <c r="F95" s="10"/>
      <c r="G95" s="17"/>
    </row>
    <row r="96" spans="1:7" x14ac:dyDescent="0.25">
      <c r="A96" s="5">
        <f>_xlfn.AGGREGATE(3,3,$B$3:B96)</f>
        <v>94</v>
      </c>
      <c r="B96" s="27" t="s">
        <v>295</v>
      </c>
      <c r="C96" s="27"/>
      <c r="D96" s="27"/>
      <c r="E96" s="24"/>
      <c r="F96" s="10"/>
      <c r="G96" s="17"/>
    </row>
    <row r="97" spans="1:7" x14ac:dyDescent="0.25">
      <c r="A97" s="5">
        <f>_xlfn.AGGREGATE(3,3,$B$3:B97)</f>
        <v>95</v>
      </c>
      <c r="B97" s="27" t="s">
        <v>295</v>
      </c>
      <c r="C97" s="27"/>
      <c r="D97" s="27"/>
      <c r="E97" s="24"/>
      <c r="F97" s="10"/>
      <c r="G97" s="17"/>
    </row>
    <row r="98" spans="1:7" x14ac:dyDescent="0.25">
      <c r="A98" s="5">
        <f>_xlfn.AGGREGATE(3,3,$B$3:B98)</f>
        <v>96</v>
      </c>
      <c r="B98" s="27" t="s">
        <v>295</v>
      </c>
      <c r="C98" s="27"/>
      <c r="D98" s="27"/>
      <c r="E98" s="24"/>
      <c r="F98" s="10"/>
      <c r="G98" s="17"/>
    </row>
    <row r="99" spans="1:7" x14ac:dyDescent="0.25">
      <c r="A99" s="5">
        <f>_xlfn.AGGREGATE(3,3,$B$3:B99)</f>
        <v>97</v>
      </c>
      <c r="B99" s="27" t="s">
        <v>295</v>
      </c>
      <c r="C99" s="27"/>
      <c r="D99" s="27"/>
      <c r="E99" s="24"/>
      <c r="F99" s="10"/>
      <c r="G99" s="17"/>
    </row>
    <row r="100" spans="1:7" x14ac:dyDescent="0.25">
      <c r="A100" s="5">
        <f>_xlfn.AGGREGATE(3,3,$B$3:B100)</f>
        <v>98</v>
      </c>
      <c r="B100" s="27" t="s">
        <v>295</v>
      </c>
      <c r="C100" s="27"/>
      <c r="D100" s="27"/>
      <c r="E100" s="24"/>
      <c r="F100" s="10"/>
      <c r="G100" s="17"/>
    </row>
    <row r="101" spans="1:7" x14ac:dyDescent="0.25">
      <c r="A101" s="5">
        <f>_xlfn.AGGREGATE(3,3,$B$3:B101)</f>
        <v>99</v>
      </c>
      <c r="B101" s="27" t="s">
        <v>295</v>
      </c>
      <c r="C101" s="27"/>
      <c r="D101" s="27"/>
      <c r="E101" s="24"/>
      <c r="F101" s="10"/>
      <c r="G101" s="17"/>
    </row>
  </sheetData>
  <autoFilter ref="A2:G57"/>
  <dataConsolidate/>
  <conditionalFormatting sqref="A1:G1 G2 F3:G15 B4:E5 A2:E3 A17:G37 A4:A16 A38 C38:G38 A39:G60 A61 C61:G61 A62:G67 A68 C68 E68:G68 A69:G65536 B12:G16">
    <cfRule type="expression" dxfId="10" priority="2" stopIfTrue="1">
      <formula>#REF!="HĐ"</formula>
    </cfRule>
    <cfRule type="expression" dxfId="9" priority="3" stopIfTrue="1">
      <formula>#REF!="HĐ,ĐK"</formula>
    </cfRule>
    <cfRule type="expression" dxfId="8" priority="4" stopIfTrue="1">
      <formula>#REF!="TN"</formula>
    </cfRule>
    <cfRule type="expression" dxfId="7" priority="5" stopIfTrue="1">
      <formula>#REF!="HH"</formula>
    </cfRule>
    <cfRule type="expression" dxfId="6" priority="6" stopIfTrue="1">
      <formula>#REF!="CNK"</formula>
    </cfRule>
    <cfRule type="expression" dxfId="5" priority="7" stopIfTrue="1">
      <formula>#REF!="Chuyển"</formula>
    </cfRule>
    <cfRule type="expression" dxfId="4" priority="8" stopIfTrue="1">
      <formula>#REF!="Nghỉ"</formula>
    </cfRule>
    <cfRule type="expression" dxfId="3" priority="9" stopIfTrue="1">
      <formula>#REF!="TK.C"</formula>
    </cfRule>
    <cfRule type="expression" dxfId="2" priority="10" stopIfTrue="1">
      <formula>#REF!="Loại C"</formula>
    </cfRule>
    <cfRule type="expression" dxfId="1" priority="11" stopIfTrue="1">
      <formula>#REF!="Nhỏ lẻ"</formula>
    </cfRule>
    <cfRule type="expression" dxfId="0" priority="12" stopIfTrue="1">
      <formula>#REF!="Xem lại"</formula>
    </cfRule>
  </conditionalFormatting>
  <pageMargins left="0.36" right="0.2"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6"/>
  <sheetViews>
    <sheetView workbookViewId="0">
      <selection activeCell="E31" sqref="E31"/>
    </sheetView>
  </sheetViews>
  <sheetFormatPr defaultColWidth="8.85546875" defaultRowHeight="15" x14ac:dyDescent="0.25"/>
  <cols>
    <col min="1" max="2" width="8.85546875" customWidth="1"/>
    <col min="3" max="3" width="19.140625" customWidth="1"/>
    <col min="4" max="4" width="11.28515625" bestFit="1" customWidth="1"/>
    <col min="5" max="5" width="26" customWidth="1"/>
    <col min="6" max="6" width="9.5703125" customWidth="1"/>
    <col min="7" max="8" width="17.28515625" customWidth="1"/>
    <col min="9" max="9" width="15.42578125" customWidth="1"/>
    <col min="10" max="24" width="8.85546875" customWidth="1"/>
    <col min="25" max="25" width="16.7109375" bestFit="1" customWidth="1"/>
    <col min="26" max="26" width="8.85546875" customWidth="1"/>
    <col min="27" max="27" width="16.7109375" bestFit="1" customWidth="1"/>
    <col min="28" max="28" width="20.7109375" bestFit="1" customWidth="1"/>
  </cols>
  <sheetData>
    <row r="1" spans="1:28" x14ac:dyDescent="0.25">
      <c r="F1" s="47">
        <f>SUM(F3:F58)</f>
        <v>152</v>
      </c>
    </row>
    <row r="2" spans="1:28" s="9" customFormat="1" x14ac:dyDescent="0.25">
      <c r="C2" s="28" t="s">
        <v>205</v>
      </c>
      <c r="D2" s="28" t="s">
        <v>206</v>
      </c>
      <c r="E2" s="28" t="s">
        <v>206</v>
      </c>
      <c r="F2" s="28"/>
      <c r="G2" s="28" t="s">
        <v>236</v>
      </c>
      <c r="H2" s="28"/>
      <c r="I2" s="28" t="s">
        <v>318</v>
      </c>
      <c r="J2" s="28" t="s">
        <v>265</v>
      </c>
      <c r="K2" s="28" t="s">
        <v>176</v>
      </c>
      <c r="L2" s="28"/>
      <c r="M2" s="28"/>
      <c r="N2" s="28"/>
      <c r="O2" s="28"/>
      <c r="P2" s="28"/>
      <c r="Q2" s="28"/>
      <c r="R2" s="28"/>
      <c r="S2" s="28"/>
      <c r="T2" s="28"/>
      <c r="U2" s="28"/>
      <c r="V2" s="28"/>
      <c r="W2" s="28"/>
      <c r="X2" s="28"/>
    </row>
    <row r="3" spans="1:28" x14ac:dyDescent="0.25">
      <c r="A3">
        <v>1</v>
      </c>
      <c r="C3" s="8" t="s">
        <v>207</v>
      </c>
      <c r="D3" s="102" t="s">
        <v>620</v>
      </c>
      <c r="E3" s="8" t="s">
        <v>620</v>
      </c>
      <c r="F3" s="46">
        <f>COUNTIF(Thuysan!T:T,E3)</f>
        <v>0</v>
      </c>
      <c r="G3" s="8" t="s">
        <v>243</v>
      </c>
      <c r="H3" s="8" t="s">
        <v>363</v>
      </c>
      <c r="I3" s="8" t="s">
        <v>304</v>
      </c>
      <c r="J3" s="8" t="s">
        <v>311</v>
      </c>
      <c r="K3" s="8" t="s">
        <v>353</v>
      </c>
      <c r="L3" s="8"/>
      <c r="M3" s="8"/>
      <c r="N3" s="8"/>
      <c r="O3" s="8"/>
      <c r="P3" s="8"/>
      <c r="Q3" s="8"/>
      <c r="R3" s="8"/>
      <c r="S3" s="8"/>
      <c r="T3" s="8"/>
      <c r="U3" s="8"/>
      <c r="V3" s="8"/>
      <c r="W3" s="8"/>
      <c r="X3" s="8"/>
      <c r="Y3" s="8" t="s">
        <v>4</v>
      </c>
      <c r="Z3">
        <v>1</v>
      </c>
      <c r="AA3" s="8" t="s">
        <v>4</v>
      </c>
      <c r="AB3" s="8" t="s">
        <v>13</v>
      </c>
    </row>
    <row r="4" spans="1:28" x14ac:dyDescent="0.25">
      <c r="A4">
        <v>2</v>
      </c>
      <c r="C4" s="8" t="s">
        <v>208</v>
      </c>
      <c r="D4" s="102" t="s">
        <v>615</v>
      </c>
      <c r="E4" s="8" t="s">
        <v>187</v>
      </c>
      <c r="F4" s="46">
        <f>COUNTIF(Thuysan!T:T,E4)</f>
        <v>5</v>
      </c>
      <c r="G4" s="8" t="s">
        <v>244</v>
      </c>
      <c r="H4" s="8" t="s">
        <v>364</v>
      </c>
      <c r="I4" s="8" t="s">
        <v>305</v>
      </c>
      <c r="J4" s="8" t="s">
        <v>312</v>
      </c>
      <c r="K4" s="8"/>
      <c r="L4" s="8"/>
      <c r="M4" s="8"/>
      <c r="N4" s="8"/>
      <c r="O4" s="8"/>
      <c r="P4" s="8"/>
      <c r="Q4" s="8"/>
      <c r="R4" s="8"/>
      <c r="S4" s="8"/>
      <c r="T4" s="8"/>
      <c r="U4" s="8"/>
      <c r="V4" s="8"/>
      <c r="W4" s="8"/>
      <c r="X4" s="8"/>
      <c r="Y4" s="8" t="s">
        <v>5</v>
      </c>
      <c r="Z4">
        <v>2</v>
      </c>
      <c r="AA4" s="8" t="s">
        <v>4</v>
      </c>
      <c r="AB4" s="8" t="s">
        <v>14</v>
      </c>
    </row>
    <row r="5" spans="1:28" x14ac:dyDescent="0.25">
      <c r="A5">
        <v>3</v>
      </c>
      <c r="C5" s="8" t="s">
        <v>240</v>
      </c>
      <c r="D5" s="102" t="s">
        <v>273</v>
      </c>
      <c r="E5" s="8" t="s">
        <v>186</v>
      </c>
      <c r="F5" s="46">
        <f>COUNTIF(Thuysan!T:T,E5)</f>
        <v>12</v>
      </c>
      <c r="G5" s="8" t="s">
        <v>245</v>
      </c>
      <c r="H5" s="8" t="s">
        <v>365</v>
      </c>
      <c r="I5" s="8" t="s">
        <v>306</v>
      </c>
      <c r="J5" s="8" t="s">
        <v>313</v>
      </c>
      <c r="K5" s="8"/>
      <c r="L5" s="8"/>
      <c r="M5" s="8"/>
      <c r="N5" s="8"/>
      <c r="O5" s="8"/>
      <c r="P5" s="8"/>
      <c r="Q5" s="8"/>
      <c r="R5" s="8"/>
      <c r="S5" s="8"/>
      <c r="T5" s="8"/>
      <c r="U5" s="8"/>
      <c r="V5" s="8"/>
      <c r="W5" s="8"/>
      <c r="X5" s="8"/>
      <c r="Y5" s="8" t="s">
        <v>6</v>
      </c>
      <c r="Z5">
        <v>3</v>
      </c>
      <c r="AA5" s="8" t="s">
        <v>4</v>
      </c>
      <c r="AB5" s="8" t="s">
        <v>15</v>
      </c>
    </row>
    <row r="6" spans="1:28" x14ac:dyDescent="0.25">
      <c r="A6">
        <v>4</v>
      </c>
      <c r="C6" s="8" t="s">
        <v>241</v>
      </c>
      <c r="D6" s="102" t="s">
        <v>274</v>
      </c>
      <c r="E6" s="8" t="s">
        <v>188</v>
      </c>
      <c r="F6" s="46">
        <f>COUNTIF(Thuysan!T:T,E6)</f>
        <v>12</v>
      </c>
      <c r="G6" s="8" t="s">
        <v>249</v>
      </c>
      <c r="H6" s="8" t="s">
        <v>366</v>
      </c>
      <c r="I6" s="8" t="s">
        <v>307</v>
      </c>
      <c r="J6" s="8" t="s">
        <v>314</v>
      </c>
      <c r="K6" s="8"/>
      <c r="L6" s="8"/>
      <c r="M6" s="8"/>
      <c r="N6" s="8"/>
      <c r="O6" s="8"/>
      <c r="P6" s="8"/>
      <c r="Q6" s="8"/>
      <c r="R6" s="8"/>
      <c r="S6" s="8"/>
      <c r="T6" s="8"/>
      <c r="U6" s="8"/>
      <c r="V6" s="8"/>
      <c r="W6" s="8"/>
      <c r="X6" s="8"/>
      <c r="Y6" s="8" t="s">
        <v>7</v>
      </c>
      <c r="Z6">
        <v>4</v>
      </c>
      <c r="AA6" s="8" t="s">
        <v>4</v>
      </c>
      <c r="AB6" s="8" t="s">
        <v>16</v>
      </c>
    </row>
    <row r="7" spans="1:28" x14ac:dyDescent="0.25">
      <c r="A7">
        <v>5</v>
      </c>
      <c r="C7" s="8" t="s">
        <v>237</v>
      </c>
      <c r="D7" s="102" t="s">
        <v>616</v>
      </c>
      <c r="E7" s="8" t="s">
        <v>389</v>
      </c>
      <c r="F7" s="46">
        <f>COUNTIF(Thuysan!T:T,E7)</f>
        <v>6</v>
      </c>
      <c r="G7" s="8" t="s">
        <v>246</v>
      </c>
      <c r="H7" s="8" t="s">
        <v>367</v>
      </c>
      <c r="I7" s="8" t="s">
        <v>308</v>
      </c>
      <c r="J7" s="8" t="s">
        <v>315</v>
      </c>
      <c r="K7" s="8"/>
      <c r="L7" s="8"/>
      <c r="M7" s="8"/>
      <c r="N7" s="8"/>
      <c r="O7" s="8"/>
      <c r="P7" s="8"/>
      <c r="Q7" s="8"/>
      <c r="R7" s="8"/>
      <c r="S7" s="8"/>
      <c r="T7" s="8"/>
      <c r="U7" s="8"/>
      <c r="V7" s="8"/>
      <c r="W7" s="8"/>
      <c r="X7" s="8"/>
      <c r="Y7" s="8" t="s">
        <v>8</v>
      </c>
      <c r="Z7">
        <v>5</v>
      </c>
      <c r="AA7" s="8" t="s">
        <v>4</v>
      </c>
      <c r="AB7" s="8" t="s">
        <v>17</v>
      </c>
    </row>
    <row r="8" spans="1:28" x14ac:dyDescent="0.25">
      <c r="A8">
        <v>6</v>
      </c>
      <c r="C8" s="8" t="s">
        <v>238</v>
      </c>
      <c r="D8" s="102" t="s">
        <v>276</v>
      </c>
      <c r="E8" s="8" t="s">
        <v>189</v>
      </c>
      <c r="F8" s="46">
        <f>COUNTIF(Thuysan!T:T,E8)</f>
        <v>8</v>
      </c>
      <c r="G8" s="8" t="s">
        <v>247</v>
      </c>
      <c r="H8" s="8" t="s">
        <v>368</v>
      </c>
      <c r="I8" s="8" t="s">
        <v>309</v>
      </c>
      <c r="J8" s="8" t="s">
        <v>316</v>
      </c>
      <c r="K8" s="8"/>
      <c r="L8" s="8"/>
      <c r="M8" s="8"/>
      <c r="N8" s="8"/>
      <c r="O8" s="8"/>
      <c r="P8" s="8"/>
      <c r="Q8" s="8"/>
      <c r="R8" s="8"/>
      <c r="S8" s="8"/>
      <c r="T8" s="8"/>
      <c r="U8" s="8"/>
      <c r="V8" s="8"/>
      <c r="W8" s="8"/>
      <c r="X8" s="8"/>
      <c r="Y8" s="8" t="s">
        <v>9</v>
      </c>
      <c r="Z8">
        <v>6</v>
      </c>
      <c r="AA8" s="8" t="s">
        <v>4</v>
      </c>
      <c r="AB8" s="8" t="s">
        <v>18</v>
      </c>
    </row>
    <row r="9" spans="1:28" x14ac:dyDescent="0.25">
      <c r="A9">
        <v>7</v>
      </c>
      <c r="C9" s="8" t="s">
        <v>239</v>
      </c>
      <c r="D9" s="102" t="s">
        <v>277</v>
      </c>
      <c r="E9" s="8" t="s">
        <v>190</v>
      </c>
      <c r="F9" s="46">
        <f>COUNTIF(Thuysan!T:T,E9)</f>
        <v>6</v>
      </c>
      <c r="G9" s="8" t="s">
        <v>248</v>
      </c>
      <c r="H9" s="8" t="s">
        <v>369</v>
      </c>
      <c r="I9" s="8" t="s">
        <v>310</v>
      </c>
      <c r="J9" s="8" t="s">
        <v>317</v>
      </c>
      <c r="K9" s="8"/>
      <c r="L9" s="8"/>
      <c r="M9" s="8"/>
      <c r="N9" s="8"/>
      <c r="O9" s="8"/>
      <c r="P9" s="8"/>
      <c r="Q9" s="8"/>
      <c r="R9" s="8"/>
      <c r="S9" s="8"/>
      <c r="T9" s="8"/>
      <c r="U9" s="8"/>
      <c r="V9" s="8"/>
      <c r="W9" s="8"/>
      <c r="X9" s="8"/>
      <c r="Y9" s="8" t="s">
        <v>10</v>
      </c>
      <c r="Z9">
        <v>7</v>
      </c>
      <c r="AA9" s="8" t="s">
        <v>4</v>
      </c>
      <c r="AB9" s="8" t="s">
        <v>19</v>
      </c>
    </row>
    <row r="10" spans="1:28" x14ac:dyDescent="0.25">
      <c r="A10">
        <v>8</v>
      </c>
      <c r="C10" s="8" t="s">
        <v>242</v>
      </c>
      <c r="D10" s="102" t="s">
        <v>278</v>
      </c>
      <c r="E10" s="8" t="s">
        <v>191</v>
      </c>
      <c r="F10" s="46">
        <f>COUNTIF(Thuysan!T:T,E10)</f>
        <v>12</v>
      </c>
      <c r="G10" s="8" t="s">
        <v>295</v>
      </c>
      <c r="H10" s="8"/>
      <c r="J10" s="8"/>
      <c r="K10" s="8"/>
      <c r="L10" s="8"/>
      <c r="M10" s="8"/>
      <c r="N10" s="8"/>
      <c r="O10" s="8"/>
      <c r="P10" s="8"/>
      <c r="Q10" s="8"/>
      <c r="R10" s="8"/>
      <c r="S10" s="8"/>
      <c r="T10" s="8"/>
      <c r="U10" s="8"/>
      <c r="V10" s="8"/>
      <c r="W10" s="8"/>
      <c r="X10" s="8"/>
      <c r="Y10" s="8" t="s">
        <v>11</v>
      </c>
      <c r="Z10">
        <v>8</v>
      </c>
      <c r="AA10" s="8" t="s">
        <v>4</v>
      </c>
      <c r="AB10" s="8" t="s">
        <v>20</v>
      </c>
    </row>
    <row r="11" spans="1:28" x14ac:dyDescent="0.25">
      <c r="A11">
        <v>9</v>
      </c>
      <c r="C11" s="8" t="s">
        <v>613</v>
      </c>
      <c r="D11" s="102" t="s">
        <v>279</v>
      </c>
      <c r="E11" s="8" t="s">
        <v>192</v>
      </c>
      <c r="F11" s="46">
        <f>COUNTIF(Thuysan!T:T,E11)</f>
        <v>5</v>
      </c>
      <c r="G11" s="8" t="s">
        <v>296</v>
      </c>
      <c r="H11" s="8"/>
      <c r="J11" s="8"/>
      <c r="Y11" s="8" t="s">
        <v>12</v>
      </c>
      <c r="Z11">
        <v>9</v>
      </c>
      <c r="AA11" s="8" t="s">
        <v>4</v>
      </c>
      <c r="AB11" s="8" t="s">
        <v>21</v>
      </c>
    </row>
    <row r="12" spans="1:28" x14ac:dyDescent="0.25">
      <c r="A12">
        <v>10</v>
      </c>
      <c r="C12" s="8" t="s">
        <v>614</v>
      </c>
      <c r="D12" s="102" t="s">
        <v>280</v>
      </c>
      <c r="E12" s="8" t="s">
        <v>193</v>
      </c>
      <c r="F12" s="46">
        <f>COUNTIF(Thuysan!T:T,E12)</f>
        <v>6</v>
      </c>
      <c r="G12" s="8" t="s">
        <v>297</v>
      </c>
      <c r="H12" s="8"/>
      <c r="I12" s="8"/>
      <c r="J12" s="8"/>
      <c r="K12" s="8"/>
      <c r="L12" s="8"/>
      <c r="M12" s="8"/>
      <c r="N12" s="8"/>
      <c r="O12" s="8"/>
      <c r="P12" s="8"/>
      <c r="Q12" s="8"/>
      <c r="R12" s="8"/>
      <c r="S12" s="8"/>
      <c r="T12" s="8"/>
      <c r="U12" s="8"/>
      <c r="V12" s="8"/>
      <c r="W12" s="8"/>
      <c r="X12" s="8"/>
      <c r="Z12">
        <v>10</v>
      </c>
      <c r="AA12" s="8" t="s">
        <v>4</v>
      </c>
      <c r="AB12" s="8" t="s">
        <v>22</v>
      </c>
    </row>
    <row r="13" spans="1:28" x14ac:dyDescent="0.25">
      <c r="A13">
        <v>11</v>
      </c>
      <c r="C13" s="8" t="s">
        <v>297</v>
      </c>
      <c r="D13" s="102" t="s">
        <v>281</v>
      </c>
      <c r="E13" s="8" t="s">
        <v>194</v>
      </c>
      <c r="F13" s="46">
        <f>COUNTIF(Thuysan!T:T,E13)</f>
        <v>7</v>
      </c>
      <c r="G13" s="8" t="s">
        <v>298</v>
      </c>
      <c r="H13" s="8"/>
      <c r="I13" s="8"/>
      <c r="J13" s="8"/>
      <c r="K13" s="8"/>
      <c r="L13" s="8"/>
      <c r="M13" s="8"/>
      <c r="N13" s="8"/>
      <c r="O13" s="8"/>
      <c r="P13" s="8"/>
      <c r="Q13" s="8"/>
      <c r="R13" s="8"/>
      <c r="S13" s="8"/>
      <c r="T13" s="8"/>
      <c r="U13" s="8"/>
      <c r="V13" s="8"/>
      <c r="W13" s="8"/>
      <c r="X13" s="8"/>
      <c r="Z13">
        <v>11</v>
      </c>
      <c r="AA13" s="8" t="s">
        <v>4</v>
      </c>
      <c r="AB13" s="8" t="s">
        <v>23</v>
      </c>
    </row>
    <row r="14" spans="1:28" x14ac:dyDescent="0.25">
      <c r="A14">
        <v>12</v>
      </c>
      <c r="C14" s="8" t="s">
        <v>298</v>
      </c>
      <c r="D14" s="102" t="s">
        <v>282</v>
      </c>
      <c r="E14" s="8" t="s">
        <v>197</v>
      </c>
      <c r="F14" s="46">
        <f>COUNTIF(Thuysan!T:T,E14)</f>
        <v>5</v>
      </c>
      <c r="I14" s="8"/>
      <c r="J14" s="8"/>
      <c r="K14" s="8"/>
      <c r="L14" s="8"/>
      <c r="M14" s="8"/>
      <c r="N14" s="8"/>
      <c r="O14" s="8"/>
      <c r="P14" s="8"/>
      <c r="Q14" s="8"/>
      <c r="R14" s="8"/>
      <c r="S14" s="8"/>
      <c r="T14" s="8"/>
      <c r="U14" s="8"/>
      <c r="V14" s="8"/>
      <c r="W14" s="8"/>
      <c r="X14" s="8"/>
      <c r="Z14">
        <v>12</v>
      </c>
      <c r="AA14" s="8" t="s">
        <v>4</v>
      </c>
      <c r="AB14" s="8" t="s">
        <v>24</v>
      </c>
    </row>
    <row r="15" spans="1:28" x14ac:dyDescent="0.25">
      <c r="A15">
        <v>13</v>
      </c>
      <c r="C15" s="8" t="s">
        <v>299</v>
      </c>
      <c r="D15" s="102" t="s">
        <v>283</v>
      </c>
      <c r="E15" s="8" t="s">
        <v>195</v>
      </c>
      <c r="F15" s="46">
        <f>COUNTIF(Thuysan!T:T,E15)</f>
        <v>3</v>
      </c>
      <c r="I15" s="8"/>
      <c r="J15" s="8"/>
      <c r="K15" s="8"/>
      <c r="L15" s="8"/>
      <c r="M15" s="8"/>
      <c r="N15" s="8"/>
      <c r="O15" s="8"/>
      <c r="P15" s="8"/>
      <c r="Q15" s="8"/>
      <c r="R15" s="8"/>
      <c r="S15" s="8"/>
      <c r="T15" s="8"/>
      <c r="U15" s="8"/>
      <c r="V15" s="8"/>
      <c r="W15" s="8"/>
      <c r="X15" s="8"/>
      <c r="Z15">
        <v>13</v>
      </c>
      <c r="AA15" s="8" t="s">
        <v>4</v>
      </c>
      <c r="AB15" s="8" t="s">
        <v>25</v>
      </c>
    </row>
    <row r="16" spans="1:28" x14ac:dyDescent="0.25">
      <c r="A16">
        <v>14</v>
      </c>
      <c r="C16" s="8"/>
      <c r="D16" s="102" t="s">
        <v>284</v>
      </c>
      <c r="E16" s="8" t="s">
        <v>198</v>
      </c>
      <c r="F16" s="46">
        <f>COUNTIF(Thuysan!T:T,E16)</f>
        <v>4</v>
      </c>
      <c r="Z16">
        <v>14</v>
      </c>
      <c r="AA16" s="8" t="s">
        <v>4</v>
      </c>
      <c r="AB16" s="8" t="s">
        <v>26</v>
      </c>
    </row>
    <row r="17" spans="1:28" x14ac:dyDescent="0.25">
      <c r="A17">
        <v>15</v>
      </c>
      <c r="D17" s="102" t="s">
        <v>285</v>
      </c>
      <c r="E17" s="8" t="s">
        <v>196</v>
      </c>
      <c r="F17" s="46">
        <f>COUNTIF(Thuysan!T:T,E17)</f>
        <v>3</v>
      </c>
      <c r="Z17">
        <v>15</v>
      </c>
      <c r="AA17" s="8" t="s">
        <v>4</v>
      </c>
      <c r="AB17" s="8" t="s">
        <v>27</v>
      </c>
    </row>
    <row r="18" spans="1:28" x14ac:dyDescent="0.25">
      <c r="A18">
        <v>16</v>
      </c>
      <c r="C18" s="8"/>
      <c r="D18" s="102" t="s">
        <v>623</v>
      </c>
      <c r="E18" s="8" t="s">
        <v>628</v>
      </c>
      <c r="F18" s="46">
        <f>COUNTIF(Thuysan!T:T,E18)</f>
        <v>2</v>
      </c>
      <c r="Z18">
        <v>16</v>
      </c>
      <c r="AA18" s="8" t="s">
        <v>4</v>
      </c>
      <c r="AB18" s="8" t="s">
        <v>28</v>
      </c>
    </row>
    <row r="19" spans="1:28" x14ac:dyDescent="0.25">
      <c r="A19">
        <v>17</v>
      </c>
      <c r="C19" s="8"/>
      <c r="D19" s="102" t="s">
        <v>287</v>
      </c>
      <c r="E19" s="8" t="s">
        <v>201</v>
      </c>
      <c r="F19" s="46">
        <f>COUNTIF(Thuysan!T:T,E19)</f>
        <v>4</v>
      </c>
      <c r="Z19">
        <v>17</v>
      </c>
      <c r="AA19" s="8" t="s">
        <v>4</v>
      </c>
      <c r="AB19" s="8" t="s">
        <v>29</v>
      </c>
    </row>
    <row r="20" spans="1:28" x14ac:dyDescent="0.25">
      <c r="A20">
        <v>18</v>
      </c>
      <c r="C20" s="8"/>
      <c r="D20" s="102" t="s">
        <v>288</v>
      </c>
      <c r="E20" s="8" t="s">
        <v>199</v>
      </c>
      <c r="F20" s="46">
        <f>COUNTIF(Thuysan!T:T,E20)</f>
        <v>2</v>
      </c>
      <c r="Z20">
        <v>18</v>
      </c>
      <c r="AA20" s="8" t="s">
        <v>4</v>
      </c>
      <c r="AB20" s="8" t="s">
        <v>30</v>
      </c>
    </row>
    <row r="21" spans="1:28" x14ac:dyDescent="0.25">
      <c r="A21">
        <v>19</v>
      </c>
      <c r="C21" s="8"/>
      <c r="D21" s="102" t="s">
        <v>289</v>
      </c>
      <c r="E21" s="8" t="s">
        <v>200</v>
      </c>
      <c r="F21" s="46">
        <f>COUNTIF(Thuysan!T:T,E21)</f>
        <v>2</v>
      </c>
      <c r="Z21">
        <v>19</v>
      </c>
      <c r="AA21" s="8" t="s">
        <v>4</v>
      </c>
      <c r="AB21" s="8" t="s">
        <v>31</v>
      </c>
    </row>
    <row r="22" spans="1:28" x14ac:dyDescent="0.25">
      <c r="A22">
        <v>20</v>
      </c>
      <c r="C22" s="8"/>
      <c r="D22" s="102" t="s">
        <v>622</v>
      </c>
      <c r="E22" s="8" t="s">
        <v>635</v>
      </c>
      <c r="F22" s="46">
        <f>COUNTIF(Thuysan!T:T,E22)</f>
        <v>5</v>
      </c>
      <c r="Z22">
        <v>20</v>
      </c>
      <c r="AA22" s="8" t="s">
        <v>4</v>
      </c>
      <c r="AB22" s="8" t="s">
        <v>32</v>
      </c>
    </row>
    <row r="23" spans="1:28" x14ac:dyDescent="0.25">
      <c r="A23">
        <v>21</v>
      </c>
      <c r="C23" s="8"/>
      <c r="D23" s="102" t="s">
        <v>630</v>
      </c>
      <c r="E23" s="8" t="s">
        <v>631</v>
      </c>
      <c r="F23" s="46">
        <f>COUNTIF(Thuysan!T:T,E23)</f>
        <v>0</v>
      </c>
      <c r="Z23">
        <v>21</v>
      </c>
      <c r="AA23" s="8" t="s">
        <v>4</v>
      </c>
      <c r="AB23" s="8" t="s">
        <v>33</v>
      </c>
    </row>
    <row r="24" spans="1:28" x14ac:dyDescent="0.25">
      <c r="A24">
        <v>22</v>
      </c>
      <c r="C24" s="8"/>
      <c r="D24" s="102" t="s">
        <v>621</v>
      </c>
      <c r="E24" s="8" t="s">
        <v>202</v>
      </c>
      <c r="F24" s="46">
        <f>COUNTIF(Thuysan!T:T,E24)</f>
        <v>9</v>
      </c>
      <c r="Z24">
        <v>22</v>
      </c>
      <c r="AA24" s="8" t="s">
        <v>4</v>
      </c>
      <c r="AB24" s="8" t="s">
        <v>34</v>
      </c>
    </row>
    <row r="25" spans="1:28" x14ac:dyDescent="0.25">
      <c r="A25">
        <v>23</v>
      </c>
      <c r="C25" s="8"/>
      <c r="D25" s="102" t="s">
        <v>618</v>
      </c>
      <c r="E25" s="8" t="s">
        <v>619</v>
      </c>
      <c r="F25" s="46">
        <f>COUNTIF(Thuysan!T:T,E25)</f>
        <v>2</v>
      </c>
      <c r="Z25">
        <v>23</v>
      </c>
      <c r="AA25" s="8" t="s">
        <v>4</v>
      </c>
      <c r="AB25" s="8" t="s">
        <v>35</v>
      </c>
    </row>
    <row r="26" spans="1:28" x14ac:dyDescent="0.25">
      <c r="A26">
        <v>24</v>
      </c>
      <c r="C26" s="8"/>
      <c r="D26" s="102" t="s">
        <v>617</v>
      </c>
      <c r="E26" s="8" t="s">
        <v>203</v>
      </c>
      <c r="F26" s="46">
        <f>COUNTIF(Thuysan!T:T,E26)</f>
        <v>3</v>
      </c>
      <c r="Z26">
        <v>24</v>
      </c>
      <c r="AA26" s="8" t="s">
        <v>4</v>
      </c>
      <c r="AB26" s="8" t="s">
        <v>36</v>
      </c>
    </row>
    <row r="27" spans="1:28" x14ac:dyDescent="0.25">
      <c r="A27">
        <v>25</v>
      </c>
      <c r="C27" s="8"/>
      <c r="D27" s="102" t="s">
        <v>624</v>
      </c>
      <c r="E27" s="8" t="s">
        <v>650</v>
      </c>
      <c r="F27" s="46">
        <f>COUNTIF(Thuysan!T:T,E27)</f>
        <v>1</v>
      </c>
      <c r="Z27">
        <v>1</v>
      </c>
      <c r="AA27" s="8" t="s">
        <v>5</v>
      </c>
      <c r="AB27" s="8" t="s">
        <v>37</v>
      </c>
    </row>
    <row r="28" spans="1:28" x14ac:dyDescent="0.25">
      <c r="A28">
        <v>26</v>
      </c>
      <c r="C28" s="8"/>
      <c r="D28" s="102" t="s">
        <v>625</v>
      </c>
      <c r="E28" s="8" t="s">
        <v>627</v>
      </c>
      <c r="F28" s="46">
        <f>COUNTIF(Thuysan!T:T,E28)</f>
        <v>1</v>
      </c>
      <c r="Z28">
        <v>2</v>
      </c>
      <c r="AA28" s="8" t="s">
        <v>5</v>
      </c>
      <c r="AB28" s="8" t="s">
        <v>38</v>
      </c>
    </row>
    <row r="29" spans="1:28" x14ac:dyDescent="0.25">
      <c r="A29">
        <v>27</v>
      </c>
      <c r="C29" s="8"/>
      <c r="D29" s="102" t="s">
        <v>626</v>
      </c>
      <c r="E29" s="8" t="s">
        <v>629</v>
      </c>
      <c r="F29" s="46">
        <f>COUNTIF(Thuysan!T:T,E29)</f>
        <v>1</v>
      </c>
      <c r="Z29">
        <v>3</v>
      </c>
      <c r="AA29" s="8" t="s">
        <v>5</v>
      </c>
      <c r="AB29" s="8" t="s">
        <v>39</v>
      </c>
    </row>
    <row r="30" spans="1:28" x14ac:dyDescent="0.25">
      <c r="A30">
        <v>28</v>
      </c>
      <c r="C30" s="8"/>
      <c r="D30" s="102" t="s">
        <v>632</v>
      </c>
      <c r="E30" s="8" t="s">
        <v>633</v>
      </c>
      <c r="F30" s="46">
        <f>COUNTIF(Thuysan!T:T,E30)</f>
        <v>0</v>
      </c>
      <c r="Z30">
        <v>4</v>
      </c>
      <c r="AA30" s="8" t="s">
        <v>5</v>
      </c>
      <c r="AB30" s="8" t="s">
        <v>40</v>
      </c>
    </row>
    <row r="31" spans="1:28" x14ac:dyDescent="0.25">
      <c r="A31">
        <v>29</v>
      </c>
      <c r="C31" s="8"/>
      <c r="D31" s="8" t="s">
        <v>349</v>
      </c>
      <c r="E31" s="8" t="s">
        <v>348</v>
      </c>
      <c r="F31" s="46">
        <f>COUNTIF(Thuysan!T:T,E31)</f>
        <v>0</v>
      </c>
      <c r="Z31">
        <v>5</v>
      </c>
      <c r="AA31" s="8" t="s">
        <v>5</v>
      </c>
      <c r="AB31" s="8" t="s">
        <v>41</v>
      </c>
    </row>
    <row r="32" spans="1:28" x14ac:dyDescent="0.25">
      <c r="A32">
        <v>30</v>
      </c>
      <c r="C32" s="8"/>
      <c r="D32" s="8" t="s">
        <v>350</v>
      </c>
      <c r="E32" s="8" t="s">
        <v>351</v>
      </c>
      <c r="F32" s="46">
        <f>COUNTIF(Thuysan!T:T,E32)</f>
        <v>4</v>
      </c>
      <c r="Z32">
        <v>6</v>
      </c>
      <c r="AA32" s="8" t="s">
        <v>5</v>
      </c>
      <c r="AB32" s="8" t="s">
        <v>42</v>
      </c>
    </row>
    <row r="33" spans="1:28" x14ac:dyDescent="0.25">
      <c r="A33">
        <v>31</v>
      </c>
      <c r="C33" s="8"/>
      <c r="D33" s="102" t="s">
        <v>634</v>
      </c>
      <c r="E33" s="8" t="s">
        <v>634</v>
      </c>
      <c r="F33" s="46">
        <f>COUNTIF(Thuysan!T:T,E33)</f>
        <v>1</v>
      </c>
      <c r="Z33">
        <v>7</v>
      </c>
      <c r="AA33" s="8" t="s">
        <v>5</v>
      </c>
      <c r="AB33" s="8" t="s">
        <v>43</v>
      </c>
    </row>
    <row r="34" spans="1:28" x14ac:dyDescent="0.25">
      <c r="A34">
        <v>32</v>
      </c>
      <c r="C34" s="8"/>
      <c r="D34" s="102" t="s">
        <v>638</v>
      </c>
      <c r="E34" s="8" t="s">
        <v>638</v>
      </c>
      <c r="F34" s="46">
        <f>COUNTIF(Thuysan!T:T,E34)</f>
        <v>1</v>
      </c>
      <c r="Z34">
        <v>8</v>
      </c>
      <c r="AA34" s="8" t="s">
        <v>5</v>
      </c>
      <c r="AB34" s="8" t="s">
        <v>44</v>
      </c>
    </row>
    <row r="35" spans="1:28" x14ac:dyDescent="0.25">
      <c r="A35">
        <v>33</v>
      </c>
      <c r="C35" s="8"/>
      <c r="D35" s="8" t="s">
        <v>424</v>
      </c>
      <c r="E35" s="8" t="s">
        <v>425</v>
      </c>
      <c r="F35" s="46">
        <f>COUNTIF(Thuysan!T:T,E35)</f>
        <v>6</v>
      </c>
      <c r="Z35">
        <v>9</v>
      </c>
      <c r="AA35" s="8" t="s">
        <v>5</v>
      </c>
      <c r="AB35" s="8" t="s">
        <v>45</v>
      </c>
    </row>
    <row r="36" spans="1:28" x14ac:dyDescent="0.25">
      <c r="A36">
        <v>34</v>
      </c>
      <c r="C36" s="8"/>
      <c r="D36" s="8" t="s">
        <v>426</v>
      </c>
      <c r="E36" s="8" t="s">
        <v>427</v>
      </c>
      <c r="F36" s="46">
        <f>COUNTIF(Thuysan!T:T,E36)</f>
        <v>2</v>
      </c>
      <c r="Z36">
        <v>10</v>
      </c>
      <c r="AA36" s="8" t="s">
        <v>5</v>
      </c>
      <c r="AB36" s="8" t="s">
        <v>46</v>
      </c>
    </row>
    <row r="37" spans="1:28" x14ac:dyDescent="0.25">
      <c r="A37">
        <v>35</v>
      </c>
      <c r="C37" s="8"/>
      <c r="D37" s="8" t="s">
        <v>428</v>
      </c>
      <c r="E37" s="8" t="s">
        <v>429</v>
      </c>
      <c r="F37" s="46">
        <f>COUNTIF(Thuysan!T:T,E37)</f>
        <v>7</v>
      </c>
      <c r="Z37">
        <v>11</v>
      </c>
      <c r="AA37" s="8" t="s">
        <v>5</v>
      </c>
      <c r="AB37" s="8" t="s">
        <v>47</v>
      </c>
    </row>
    <row r="38" spans="1:28" x14ac:dyDescent="0.25">
      <c r="A38">
        <v>36</v>
      </c>
      <c r="C38" s="8"/>
      <c r="D38" s="8" t="s">
        <v>430</v>
      </c>
      <c r="E38" s="8" t="s">
        <v>431</v>
      </c>
      <c r="F38" s="46">
        <f>COUNTIF(Thuysan!T:T,E38)</f>
        <v>1</v>
      </c>
      <c r="Z38">
        <v>12</v>
      </c>
      <c r="AA38" s="8" t="s">
        <v>5</v>
      </c>
      <c r="AB38" s="8" t="s">
        <v>48</v>
      </c>
    </row>
    <row r="39" spans="1:28" x14ac:dyDescent="0.25">
      <c r="A39">
        <v>37</v>
      </c>
      <c r="C39" s="8"/>
      <c r="D39" s="8" t="s">
        <v>432</v>
      </c>
      <c r="E39" s="8" t="s">
        <v>433</v>
      </c>
      <c r="F39" s="46">
        <f>COUNTIF(Thuysan!T:T,E39)</f>
        <v>0</v>
      </c>
      <c r="Z39">
        <v>13</v>
      </c>
      <c r="AA39" s="8" t="s">
        <v>5</v>
      </c>
      <c r="AB39" s="8" t="s">
        <v>49</v>
      </c>
    </row>
    <row r="40" spans="1:28" x14ac:dyDescent="0.25">
      <c r="A40">
        <v>38</v>
      </c>
      <c r="C40" s="8"/>
      <c r="D40" s="8" t="s">
        <v>434</v>
      </c>
      <c r="E40" s="8" t="s">
        <v>435</v>
      </c>
      <c r="F40" s="46">
        <f>COUNTIF(Thuysan!T:T,E40)</f>
        <v>1</v>
      </c>
      <c r="Z40">
        <v>14</v>
      </c>
      <c r="AA40" s="8" t="s">
        <v>5</v>
      </c>
      <c r="AB40" s="8" t="s">
        <v>50</v>
      </c>
    </row>
    <row r="41" spans="1:28" x14ac:dyDescent="0.25">
      <c r="A41">
        <v>39</v>
      </c>
      <c r="C41" s="8"/>
      <c r="D41" s="8" t="s">
        <v>436</v>
      </c>
      <c r="E41" s="8" t="s">
        <v>437</v>
      </c>
      <c r="F41" s="46">
        <f>COUNTIF(Thuysan!T:T,E41)</f>
        <v>1</v>
      </c>
      <c r="Z41">
        <v>15</v>
      </c>
      <c r="AA41" s="8" t="s">
        <v>5</v>
      </c>
      <c r="AB41" s="8" t="s">
        <v>51</v>
      </c>
    </row>
    <row r="42" spans="1:28" x14ac:dyDescent="0.25">
      <c r="A42">
        <v>40</v>
      </c>
      <c r="D42" s="8" t="s">
        <v>438</v>
      </c>
      <c r="E42" s="8" t="s">
        <v>439</v>
      </c>
      <c r="F42" s="46">
        <f>COUNTIF(Thuysan!T:T,E42)</f>
        <v>2</v>
      </c>
      <c r="Z42">
        <v>16</v>
      </c>
      <c r="AA42" s="8" t="s">
        <v>5</v>
      </c>
      <c r="AB42" s="8" t="s">
        <v>52</v>
      </c>
    </row>
    <row r="43" spans="1:28" x14ac:dyDescent="0.25">
      <c r="A43">
        <v>41</v>
      </c>
      <c r="D43" s="8" t="s">
        <v>440</v>
      </c>
      <c r="E43" s="8" t="s">
        <v>441</v>
      </c>
      <c r="F43" s="46">
        <f>COUNTIF(Thuysan!T:T,E43)</f>
        <v>0</v>
      </c>
      <c r="Z43">
        <v>17</v>
      </c>
      <c r="AA43" s="8" t="s">
        <v>5</v>
      </c>
      <c r="AB43" s="8" t="s">
        <v>53</v>
      </c>
    </row>
    <row r="44" spans="1:28" x14ac:dyDescent="0.25">
      <c r="A44">
        <v>42</v>
      </c>
      <c r="D44" s="8" t="s">
        <v>299</v>
      </c>
      <c r="E44" s="8"/>
      <c r="F44" s="46">
        <f>COUNTIF(Thuysan!T:T,E44)</f>
        <v>0</v>
      </c>
      <c r="Z44">
        <v>18</v>
      </c>
      <c r="AA44" s="8" t="s">
        <v>5</v>
      </c>
      <c r="AB44" s="8" t="s">
        <v>54</v>
      </c>
    </row>
    <row r="45" spans="1:28" x14ac:dyDescent="0.25">
      <c r="A45">
        <v>43</v>
      </c>
      <c r="D45" s="8" t="s">
        <v>461</v>
      </c>
      <c r="E45" s="8" t="s">
        <v>462</v>
      </c>
      <c r="Z45">
        <v>19</v>
      </c>
      <c r="AA45" s="8" t="s">
        <v>5</v>
      </c>
      <c r="AB45" s="8" t="s">
        <v>55</v>
      </c>
    </row>
    <row r="46" spans="1:28" x14ac:dyDescent="0.25">
      <c r="A46">
        <v>44</v>
      </c>
      <c r="D46" s="8" t="s">
        <v>493</v>
      </c>
      <c r="E46" s="8" t="s">
        <v>494</v>
      </c>
      <c r="Z46">
        <v>20</v>
      </c>
      <c r="AA46" s="8" t="s">
        <v>5</v>
      </c>
      <c r="AB46" s="8" t="s">
        <v>56</v>
      </c>
    </row>
    <row r="47" spans="1:28" x14ac:dyDescent="0.25">
      <c r="A47">
        <v>45</v>
      </c>
      <c r="D47" s="8" t="s">
        <v>559</v>
      </c>
      <c r="E47" s="8" t="s">
        <v>560</v>
      </c>
      <c r="Z47">
        <v>1</v>
      </c>
      <c r="AA47" s="8" t="s">
        <v>6</v>
      </c>
      <c r="AB47" s="8" t="s">
        <v>57</v>
      </c>
    </row>
    <row r="48" spans="1:28" x14ac:dyDescent="0.25">
      <c r="A48">
        <v>46</v>
      </c>
      <c r="D48" s="8" t="s">
        <v>561</v>
      </c>
      <c r="E48" s="8" t="s">
        <v>562</v>
      </c>
      <c r="Z48">
        <v>2</v>
      </c>
      <c r="AA48" s="8" t="s">
        <v>6</v>
      </c>
      <c r="AB48" s="8" t="s">
        <v>16</v>
      </c>
    </row>
    <row r="49" spans="1:28" x14ac:dyDescent="0.25">
      <c r="A49">
        <v>47</v>
      </c>
      <c r="D49" s="8" t="s">
        <v>563</v>
      </c>
      <c r="E49" s="8" t="s">
        <v>564</v>
      </c>
      <c r="Z49">
        <v>3</v>
      </c>
      <c r="AA49" s="8" t="s">
        <v>6</v>
      </c>
      <c r="AB49" s="8" t="s">
        <v>58</v>
      </c>
    </row>
    <row r="50" spans="1:28" x14ac:dyDescent="0.25">
      <c r="A50">
        <v>48</v>
      </c>
      <c r="D50" s="8" t="s">
        <v>565</v>
      </c>
      <c r="E50" s="8" t="s">
        <v>566</v>
      </c>
      <c r="Z50">
        <v>4</v>
      </c>
      <c r="AA50" s="8" t="s">
        <v>6</v>
      </c>
      <c r="AB50" s="8" t="s">
        <v>59</v>
      </c>
    </row>
    <row r="51" spans="1:28" x14ac:dyDescent="0.25">
      <c r="A51">
        <v>49</v>
      </c>
      <c r="D51" s="8" t="s">
        <v>567</v>
      </c>
      <c r="E51" s="8" t="s">
        <v>568</v>
      </c>
      <c r="Z51">
        <v>5</v>
      </c>
      <c r="AA51" s="8" t="s">
        <v>6</v>
      </c>
      <c r="AB51" s="8" t="s">
        <v>60</v>
      </c>
    </row>
    <row r="52" spans="1:28" x14ac:dyDescent="0.25">
      <c r="A52">
        <v>50</v>
      </c>
      <c r="D52" s="8" t="s">
        <v>569</v>
      </c>
      <c r="E52" s="8" t="s">
        <v>570</v>
      </c>
      <c r="Z52">
        <v>6</v>
      </c>
      <c r="AA52" s="8" t="s">
        <v>6</v>
      </c>
      <c r="AB52" s="8" t="s">
        <v>61</v>
      </c>
    </row>
    <row r="53" spans="1:28" x14ac:dyDescent="0.25">
      <c r="A53">
        <v>51</v>
      </c>
      <c r="D53" s="8" t="s">
        <v>571</v>
      </c>
      <c r="E53" s="8" t="s">
        <v>573</v>
      </c>
      <c r="Z53">
        <v>7</v>
      </c>
      <c r="AA53" s="8" t="s">
        <v>6</v>
      </c>
      <c r="AB53" s="8" t="s">
        <v>62</v>
      </c>
    </row>
    <row r="54" spans="1:28" x14ac:dyDescent="0.25">
      <c r="A54">
        <v>52</v>
      </c>
      <c r="D54" s="8" t="s">
        <v>572</v>
      </c>
      <c r="E54" s="8" t="s">
        <v>574</v>
      </c>
      <c r="Z54">
        <v>8</v>
      </c>
      <c r="AA54" s="8" t="s">
        <v>6</v>
      </c>
      <c r="AB54" s="8" t="s">
        <v>63</v>
      </c>
    </row>
    <row r="55" spans="1:28" x14ac:dyDescent="0.25">
      <c r="A55">
        <v>53</v>
      </c>
      <c r="D55" s="8" t="s">
        <v>575</v>
      </c>
      <c r="E55" s="8" t="s">
        <v>577</v>
      </c>
      <c r="Z55">
        <v>9</v>
      </c>
      <c r="AA55" s="8" t="s">
        <v>6</v>
      </c>
      <c r="AB55" s="8" t="s">
        <v>65</v>
      </c>
    </row>
    <row r="56" spans="1:28" x14ac:dyDescent="0.25">
      <c r="A56">
        <v>54</v>
      </c>
      <c r="D56" s="8" t="s">
        <v>576</v>
      </c>
      <c r="E56" s="8" t="s">
        <v>578</v>
      </c>
      <c r="Z56">
        <v>10</v>
      </c>
      <c r="AA56" s="8" t="s">
        <v>6</v>
      </c>
      <c r="AB56" s="8" t="s">
        <v>66</v>
      </c>
    </row>
    <row r="57" spans="1:28" x14ac:dyDescent="0.25">
      <c r="A57">
        <v>55</v>
      </c>
      <c r="D57" s="8" t="s">
        <v>583</v>
      </c>
      <c r="E57" s="8" t="s">
        <v>584</v>
      </c>
      <c r="Z57">
        <v>11</v>
      </c>
      <c r="AA57" s="8" t="s">
        <v>6</v>
      </c>
      <c r="AB57" s="8" t="s">
        <v>67</v>
      </c>
    </row>
    <row r="58" spans="1:28" x14ac:dyDescent="0.25">
      <c r="A58">
        <v>56</v>
      </c>
      <c r="D58" s="8" t="s">
        <v>585</v>
      </c>
      <c r="E58" s="8" t="s">
        <v>587</v>
      </c>
      <c r="Z58">
        <v>12</v>
      </c>
      <c r="AA58" s="8" t="s">
        <v>6</v>
      </c>
      <c r="AB58" s="8" t="s">
        <v>68</v>
      </c>
    </row>
    <row r="59" spans="1:28" x14ac:dyDescent="0.25">
      <c r="A59">
        <v>57</v>
      </c>
      <c r="D59" s="8" t="s">
        <v>586</v>
      </c>
      <c r="E59" s="8" t="s">
        <v>588</v>
      </c>
      <c r="Z59">
        <v>13</v>
      </c>
      <c r="AA59" s="8" t="s">
        <v>6</v>
      </c>
      <c r="AB59" s="8" t="s">
        <v>69</v>
      </c>
    </row>
    <row r="60" spans="1:28" x14ac:dyDescent="0.25">
      <c r="A60">
        <v>58</v>
      </c>
      <c r="D60" s="8" t="s">
        <v>589</v>
      </c>
      <c r="E60" s="8" t="s">
        <v>591</v>
      </c>
      <c r="Z60">
        <v>14</v>
      </c>
      <c r="AA60" s="8" t="s">
        <v>6</v>
      </c>
      <c r="AB60" s="8" t="s">
        <v>70</v>
      </c>
    </row>
    <row r="61" spans="1:28" x14ac:dyDescent="0.25">
      <c r="A61">
        <v>59</v>
      </c>
      <c r="D61" s="8" t="s">
        <v>590</v>
      </c>
      <c r="E61" s="8" t="s">
        <v>592</v>
      </c>
      <c r="Z61">
        <v>15</v>
      </c>
      <c r="AA61" s="8" t="s">
        <v>6</v>
      </c>
      <c r="AB61" s="8" t="s">
        <v>71</v>
      </c>
    </row>
    <row r="62" spans="1:28" x14ac:dyDescent="0.25">
      <c r="A62">
        <v>60</v>
      </c>
      <c r="D62" s="8" t="s">
        <v>593</v>
      </c>
      <c r="E62" s="8" t="s">
        <v>594</v>
      </c>
      <c r="Z62">
        <v>16</v>
      </c>
      <c r="AA62" s="8" t="s">
        <v>6</v>
      </c>
      <c r="AB62" s="8" t="s">
        <v>72</v>
      </c>
    </row>
    <row r="63" spans="1:28" x14ac:dyDescent="0.25">
      <c r="A63">
        <v>61</v>
      </c>
      <c r="D63" s="8" t="s">
        <v>409</v>
      </c>
      <c r="E63" s="8" t="s">
        <v>595</v>
      </c>
      <c r="Z63">
        <v>17</v>
      </c>
      <c r="AA63" s="8" t="s">
        <v>6</v>
      </c>
      <c r="AB63" s="8" t="s">
        <v>73</v>
      </c>
    </row>
    <row r="64" spans="1:28" x14ac:dyDescent="0.25">
      <c r="A64">
        <v>62</v>
      </c>
      <c r="D64" s="8" t="s">
        <v>603</v>
      </c>
      <c r="E64" s="8" t="s">
        <v>604</v>
      </c>
      <c r="Z64">
        <v>18</v>
      </c>
      <c r="AA64" s="8" t="s">
        <v>6</v>
      </c>
      <c r="AB64" s="8" t="s">
        <v>74</v>
      </c>
    </row>
    <row r="65" spans="1:28" x14ac:dyDescent="0.25">
      <c r="A65">
        <v>63</v>
      </c>
      <c r="Z65">
        <v>19</v>
      </c>
      <c r="AA65" s="8" t="s">
        <v>6</v>
      </c>
      <c r="AB65" s="8" t="s">
        <v>75</v>
      </c>
    </row>
    <row r="66" spans="1:28" x14ac:dyDescent="0.25">
      <c r="A66">
        <v>64</v>
      </c>
      <c r="Z66">
        <v>20</v>
      </c>
      <c r="AA66" s="8" t="s">
        <v>6</v>
      </c>
      <c r="AB66" s="8" t="s">
        <v>76</v>
      </c>
    </row>
    <row r="67" spans="1:28" x14ac:dyDescent="0.25">
      <c r="A67">
        <v>65</v>
      </c>
      <c r="Z67">
        <v>21</v>
      </c>
      <c r="AA67" s="8" t="s">
        <v>6</v>
      </c>
      <c r="AB67" s="8" t="s">
        <v>77</v>
      </c>
    </row>
    <row r="68" spans="1:28" x14ac:dyDescent="0.25">
      <c r="A68">
        <v>66</v>
      </c>
      <c r="Z68">
        <v>22</v>
      </c>
      <c r="AA68" s="8" t="s">
        <v>6</v>
      </c>
      <c r="AB68" s="8" t="s">
        <v>78</v>
      </c>
    </row>
    <row r="69" spans="1:28" x14ac:dyDescent="0.25">
      <c r="A69">
        <v>67</v>
      </c>
      <c r="Z69">
        <v>1</v>
      </c>
      <c r="AA69" s="8" t="s">
        <v>7</v>
      </c>
      <c r="AB69" s="8" t="s">
        <v>79</v>
      </c>
    </row>
    <row r="70" spans="1:28" x14ac:dyDescent="0.25">
      <c r="A70">
        <v>68</v>
      </c>
      <c r="Z70">
        <v>2</v>
      </c>
      <c r="AA70" s="8" t="s">
        <v>7</v>
      </c>
      <c r="AB70" s="8" t="s">
        <v>80</v>
      </c>
    </row>
    <row r="71" spans="1:28" x14ac:dyDescent="0.25">
      <c r="A71">
        <v>69</v>
      </c>
      <c r="Z71">
        <v>3</v>
      </c>
      <c r="AA71" s="8" t="s">
        <v>7</v>
      </c>
      <c r="AB71" s="8" t="s">
        <v>81</v>
      </c>
    </row>
    <row r="72" spans="1:28" x14ac:dyDescent="0.25">
      <c r="A72">
        <v>70</v>
      </c>
      <c r="Z72">
        <v>4</v>
      </c>
      <c r="AA72" s="8" t="s">
        <v>7</v>
      </c>
      <c r="AB72" s="8" t="s">
        <v>82</v>
      </c>
    </row>
    <row r="73" spans="1:28" x14ac:dyDescent="0.25">
      <c r="A73">
        <v>71</v>
      </c>
      <c r="Z73">
        <v>5</v>
      </c>
      <c r="AA73" s="8" t="s">
        <v>7</v>
      </c>
      <c r="AB73" s="8" t="s">
        <v>83</v>
      </c>
    </row>
    <row r="74" spans="1:28" x14ac:dyDescent="0.25">
      <c r="A74">
        <v>72</v>
      </c>
      <c r="Z74">
        <v>6</v>
      </c>
      <c r="AA74" s="8" t="s">
        <v>7</v>
      </c>
      <c r="AB74" s="8" t="s">
        <v>84</v>
      </c>
    </row>
    <row r="75" spans="1:28" x14ac:dyDescent="0.25">
      <c r="A75">
        <v>73</v>
      </c>
      <c r="Z75">
        <v>7</v>
      </c>
      <c r="AA75" s="8" t="s">
        <v>7</v>
      </c>
      <c r="AB75" s="8" t="s">
        <v>85</v>
      </c>
    </row>
    <row r="76" spans="1:28" x14ac:dyDescent="0.25">
      <c r="A76">
        <v>74</v>
      </c>
      <c r="Z76">
        <v>8</v>
      </c>
      <c r="AA76" s="8" t="s">
        <v>7</v>
      </c>
      <c r="AB76" s="8" t="s">
        <v>86</v>
      </c>
    </row>
    <row r="77" spans="1:28" x14ac:dyDescent="0.25">
      <c r="A77">
        <v>75</v>
      </c>
      <c r="Z77">
        <v>9</v>
      </c>
      <c r="AA77" s="8" t="s">
        <v>7</v>
      </c>
      <c r="AB77" s="8" t="s">
        <v>87</v>
      </c>
    </row>
    <row r="78" spans="1:28" x14ac:dyDescent="0.25">
      <c r="A78">
        <v>76</v>
      </c>
      <c r="Z78">
        <v>10</v>
      </c>
      <c r="AA78" s="8" t="s">
        <v>7</v>
      </c>
      <c r="AB78" s="8" t="s">
        <v>36</v>
      </c>
    </row>
    <row r="79" spans="1:28" x14ac:dyDescent="0.25">
      <c r="A79">
        <v>77</v>
      </c>
      <c r="Z79">
        <v>11</v>
      </c>
      <c r="AA79" s="8" t="s">
        <v>7</v>
      </c>
      <c r="AB79" s="8" t="s">
        <v>88</v>
      </c>
    </row>
    <row r="80" spans="1:28" x14ac:dyDescent="0.25">
      <c r="A80">
        <v>78</v>
      </c>
      <c r="Z80">
        <v>1</v>
      </c>
      <c r="AA80" s="8" t="s">
        <v>8</v>
      </c>
      <c r="AB80" s="8" t="s">
        <v>89</v>
      </c>
    </row>
    <row r="81" spans="1:28" x14ac:dyDescent="0.25">
      <c r="A81">
        <v>79</v>
      </c>
      <c r="Z81">
        <v>2</v>
      </c>
      <c r="AA81" s="8" t="s">
        <v>8</v>
      </c>
      <c r="AB81" s="8" t="s">
        <v>90</v>
      </c>
    </row>
    <row r="82" spans="1:28" x14ac:dyDescent="0.25">
      <c r="A82">
        <v>80</v>
      </c>
      <c r="Z82">
        <v>3</v>
      </c>
      <c r="AA82" s="8" t="s">
        <v>8</v>
      </c>
      <c r="AB82" s="8" t="s">
        <v>91</v>
      </c>
    </row>
    <row r="83" spans="1:28" x14ac:dyDescent="0.25">
      <c r="A83">
        <v>81</v>
      </c>
      <c r="Z83">
        <v>4</v>
      </c>
      <c r="AA83" s="8" t="s">
        <v>8</v>
      </c>
      <c r="AB83" s="8" t="s">
        <v>92</v>
      </c>
    </row>
    <row r="84" spans="1:28" x14ac:dyDescent="0.25">
      <c r="A84">
        <v>82</v>
      </c>
      <c r="Z84">
        <v>5</v>
      </c>
      <c r="AA84" s="8" t="s">
        <v>8</v>
      </c>
      <c r="AB84" s="8" t="s">
        <v>93</v>
      </c>
    </row>
    <row r="85" spans="1:28" x14ac:dyDescent="0.25">
      <c r="A85">
        <v>83</v>
      </c>
      <c r="Z85">
        <v>6</v>
      </c>
      <c r="AA85" s="8" t="s">
        <v>8</v>
      </c>
      <c r="AB85" s="8" t="s">
        <v>94</v>
      </c>
    </row>
    <row r="86" spans="1:28" x14ac:dyDescent="0.25">
      <c r="A86">
        <v>84</v>
      </c>
      <c r="Z86">
        <v>7</v>
      </c>
      <c r="AA86" s="8" t="s">
        <v>8</v>
      </c>
      <c r="AB86" s="8" t="s">
        <v>95</v>
      </c>
    </row>
    <row r="87" spans="1:28" x14ac:dyDescent="0.25">
      <c r="A87">
        <v>85</v>
      </c>
      <c r="Z87">
        <v>8</v>
      </c>
      <c r="AA87" s="8" t="s">
        <v>8</v>
      </c>
      <c r="AB87" s="8" t="s">
        <v>96</v>
      </c>
    </row>
    <row r="88" spans="1:28" x14ac:dyDescent="0.25">
      <c r="A88">
        <v>86</v>
      </c>
      <c r="Z88">
        <v>9</v>
      </c>
      <c r="AA88" s="8" t="s">
        <v>8</v>
      </c>
      <c r="AB88" s="8" t="s">
        <v>97</v>
      </c>
    </row>
    <row r="89" spans="1:28" x14ac:dyDescent="0.25">
      <c r="A89">
        <v>87</v>
      </c>
      <c r="Z89">
        <v>10</v>
      </c>
      <c r="AA89" s="8" t="s">
        <v>8</v>
      </c>
      <c r="AB89" s="8" t="s">
        <v>98</v>
      </c>
    </row>
    <row r="90" spans="1:28" x14ac:dyDescent="0.25">
      <c r="A90">
        <v>88</v>
      </c>
      <c r="Z90">
        <v>11</v>
      </c>
      <c r="AA90" s="8" t="s">
        <v>8</v>
      </c>
      <c r="AB90" s="8" t="s">
        <v>99</v>
      </c>
    </row>
    <row r="91" spans="1:28" x14ac:dyDescent="0.25">
      <c r="A91">
        <v>89</v>
      </c>
      <c r="Z91">
        <v>12</v>
      </c>
      <c r="AA91" s="8" t="s">
        <v>8</v>
      </c>
      <c r="AB91" s="8" t="s">
        <v>100</v>
      </c>
    </row>
    <row r="92" spans="1:28" x14ac:dyDescent="0.25">
      <c r="A92">
        <v>90</v>
      </c>
      <c r="Z92">
        <v>13</v>
      </c>
      <c r="AA92" s="8" t="s">
        <v>8</v>
      </c>
      <c r="AB92" s="8" t="s">
        <v>27</v>
      </c>
    </row>
    <row r="93" spans="1:28" x14ac:dyDescent="0.25">
      <c r="A93">
        <v>91</v>
      </c>
      <c r="Z93">
        <v>14</v>
      </c>
      <c r="AA93" s="8" t="s">
        <v>8</v>
      </c>
      <c r="AB93" s="8" t="s">
        <v>101</v>
      </c>
    </row>
    <row r="94" spans="1:28" x14ac:dyDescent="0.25">
      <c r="A94">
        <v>92</v>
      </c>
      <c r="Z94">
        <v>15</v>
      </c>
      <c r="AA94" s="8" t="s">
        <v>8</v>
      </c>
      <c r="AB94" s="8" t="s">
        <v>102</v>
      </c>
    </row>
    <row r="95" spans="1:28" x14ac:dyDescent="0.25">
      <c r="A95">
        <v>93</v>
      </c>
      <c r="Z95">
        <v>16</v>
      </c>
      <c r="AA95" s="8" t="s">
        <v>8</v>
      </c>
      <c r="AB95" s="8" t="s">
        <v>103</v>
      </c>
    </row>
    <row r="96" spans="1:28" x14ac:dyDescent="0.25">
      <c r="A96">
        <v>94</v>
      </c>
      <c r="Z96">
        <v>17</v>
      </c>
      <c r="AA96" s="8" t="s">
        <v>8</v>
      </c>
      <c r="AB96" s="8" t="s">
        <v>104</v>
      </c>
    </row>
    <row r="97" spans="1:28" x14ac:dyDescent="0.25">
      <c r="A97">
        <v>95</v>
      </c>
      <c r="Z97">
        <v>18</v>
      </c>
      <c r="AA97" s="8" t="s">
        <v>8</v>
      </c>
      <c r="AB97" s="8" t="s">
        <v>105</v>
      </c>
    </row>
    <row r="98" spans="1:28" x14ac:dyDescent="0.25">
      <c r="A98">
        <v>96</v>
      </c>
      <c r="Z98">
        <v>19</v>
      </c>
      <c r="AA98" s="8" t="s">
        <v>8</v>
      </c>
      <c r="AB98" s="8" t="s">
        <v>106</v>
      </c>
    </row>
    <row r="99" spans="1:28" x14ac:dyDescent="0.25">
      <c r="A99">
        <v>97</v>
      </c>
      <c r="Z99">
        <v>20</v>
      </c>
      <c r="AA99" s="8" t="s">
        <v>8</v>
      </c>
      <c r="AB99" s="8" t="s">
        <v>107</v>
      </c>
    </row>
    <row r="100" spans="1:28" x14ac:dyDescent="0.25">
      <c r="A100">
        <v>98</v>
      </c>
      <c r="Z100">
        <v>21</v>
      </c>
      <c r="AA100" s="8" t="s">
        <v>8</v>
      </c>
      <c r="AB100" s="8" t="s">
        <v>108</v>
      </c>
    </row>
    <row r="101" spans="1:28" x14ac:dyDescent="0.25">
      <c r="A101">
        <v>99</v>
      </c>
      <c r="Z101">
        <v>22</v>
      </c>
      <c r="AA101" s="8" t="s">
        <v>8</v>
      </c>
      <c r="AB101" s="8" t="s">
        <v>109</v>
      </c>
    </row>
    <row r="102" spans="1:28" x14ac:dyDescent="0.25">
      <c r="A102">
        <v>100</v>
      </c>
      <c r="Z102">
        <v>1</v>
      </c>
      <c r="AA102" s="8" t="s">
        <v>9</v>
      </c>
      <c r="AB102" s="8" t="s">
        <v>110</v>
      </c>
    </row>
    <row r="103" spans="1:28" x14ac:dyDescent="0.25">
      <c r="A103">
        <v>101</v>
      </c>
      <c r="Z103">
        <v>2</v>
      </c>
      <c r="AA103" s="8" t="s">
        <v>9</v>
      </c>
      <c r="AB103" s="8" t="s">
        <v>111</v>
      </c>
    </row>
    <row r="104" spans="1:28" x14ac:dyDescent="0.25">
      <c r="A104">
        <v>102</v>
      </c>
      <c r="Z104">
        <v>3</v>
      </c>
      <c r="AA104" s="8" t="s">
        <v>9</v>
      </c>
      <c r="AB104" s="8" t="s">
        <v>112</v>
      </c>
    </row>
    <row r="105" spans="1:28" x14ac:dyDescent="0.25">
      <c r="A105">
        <v>103</v>
      </c>
      <c r="Z105">
        <v>4</v>
      </c>
      <c r="AA105" s="8" t="s">
        <v>9</v>
      </c>
      <c r="AB105" s="8" t="s">
        <v>113</v>
      </c>
    </row>
    <row r="106" spans="1:28" x14ac:dyDescent="0.25">
      <c r="A106">
        <v>104</v>
      </c>
      <c r="Z106">
        <v>5</v>
      </c>
      <c r="AA106" s="8" t="s">
        <v>9</v>
      </c>
      <c r="AB106" s="8" t="s">
        <v>114</v>
      </c>
    </row>
    <row r="107" spans="1:28" x14ac:dyDescent="0.25">
      <c r="A107">
        <v>105</v>
      </c>
      <c r="Z107">
        <v>6</v>
      </c>
      <c r="AA107" s="8" t="s">
        <v>9</v>
      </c>
      <c r="AB107" s="8" t="s">
        <v>115</v>
      </c>
    </row>
    <row r="108" spans="1:28" x14ac:dyDescent="0.25">
      <c r="A108">
        <v>106</v>
      </c>
      <c r="Z108">
        <v>7</v>
      </c>
      <c r="AA108" s="8" t="s">
        <v>9</v>
      </c>
      <c r="AB108" s="8" t="s">
        <v>116</v>
      </c>
    </row>
    <row r="109" spans="1:28" x14ac:dyDescent="0.25">
      <c r="A109">
        <v>107</v>
      </c>
      <c r="Z109">
        <v>8</v>
      </c>
      <c r="AA109" s="8" t="s">
        <v>9</v>
      </c>
      <c r="AB109" s="8" t="s">
        <v>117</v>
      </c>
    </row>
    <row r="110" spans="1:28" x14ac:dyDescent="0.25">
      <c r="A110">
        <v>108</v>
      </c>
      <c r="Z110">
        <v>9</v>
      </c>
      <c r="AA110" s="8" t="s">
        <v>9</v>
      </c>
      <c r="AB110" s="8" t="s">
        <v>118</v>
      </c>
    </row>
    <row r="111" spans="1:28" x14ac:dyDescent="0.25">
      <c r="A111">
        <v>109</v>
      </c>
      <c r="Z111">
        <v>10</v>
      </c>
      <c r="AA111" s="8" t="s">
        <v>9</v>
      </c>
      <c r="AB111" s="8" t="s">
        <v>119</v>
      </c>
    </row>
    <row r="112" spans="1:28" x14ac:dyDescent="0.25">
      <c r="A112">
        <v>110</v>
      </c>
      <c r="Z112">
        <v>11</v>
      </c>
      <c r="AA112" s="8" t="s">
        <v>9</v>
      </c>
      <c r="AB112" s="8" t="s">
        <v>120</v>
      </c>
    </row>
    <row r="113" spans="1:28" x14ac:dyDescent="0.25">
      <c r="A113">
        <v>111</v>
      </c>
      <c r="Z113">
        <v>12</v>
      </c>
      <c r="AA113" s="8" t="s">
        <v>9</v>
      </c>
      <c r="AB113" s="8" t="s">
        <v>121</v>
      </c>
    </row>
    <row r="114" spans="1:28" x14ac:dyDescent="0.25">
      <c r="A114">
        <v>112</v>
      </c>
      <c r="Z114">
        <v>13</v>
      </c>
      <c r="AA114" s="8" t="s">
        <v>9</v>
      </c>
      <c r="AB114" s="8" t="s">
        <v>122</v>
      </c>
    </row>
    <row r="115" spans="1:28" x14ac:dyDescent="0.25">
      <c r="A115">
        <v>113</v>
      </c>
      <c r="Z115">
        <v>1</v>
      </c>
      <c r="AA115" s="8" t="s">
        <v>10</v>
      </c>
      <c r="AB115" s="8" t="s">
        <v>123</v>
      </c>
    </row>
    <row r="116" spans="1:28" x14ac:dyDescent="0.25">
      <c r="A116">
        <v>114</v>
      </c>
      <c r="Z116">
        <v>2</v>
      </c>
      <c r="AA116" s="8" t="s">
        <v>10</v>
      </c>
      <c r="AB116" s="8" t="s">
        <v>124</v>
      </c>
    </row>
    <row r="117" spans="1:28" x14ac:dyDescent="0.25">
      <c r="A117">
        <v>115</v>
      </c>
      <c r="Z117">
        <v>3</v>
      </c>
      <c r="AA117" s="8" t="s">
        <v>10</v>
      </c>
      <c r="AB117" s="8" t="s">
        <v>125</v>
      </c>
    </row>
    <row r="118" spans="1:28" x14ac:dyDescent="0.25">
      <c r="A118">
        <v>116</v>
      </c>
      <c r="Z118">
        <v>4</v>
      </c>
      <c r="AA118" s="8" t="s">
        <v>10</v>
      </c>
      <c r="AB118" s="8" t="s">
        <v>126</v>
      </c>
    </row>
    <row r="119" spans="1:28" x14ac:dyDescent="0.25">
      <c r="A119">
        <v>117</v>
      </c>
      <c r="Z119">
        <v>5</v>
      </c>
      <c r="AA119" s="8" t="s">
        <v>10</v>
      </c>
      <c r="AB119" s="8" t="s">
        <v>127</v>
      </c>
    </row>
    <row r="120" spans="1:28" x14ac:dyDescent="0.25">
      <c r="A120">
        <v>118</v>
      </c>
      <c r="Z120">
        <v>6</v>
      </c>
      <c r="AA120" s="8" t="s">
        <v>10</v>
      </c>
      <c r="AB120" s="8" t="s">
        <v>128</v>
      </c>
    </row>
    <row r="121" spans="1:28" x14ac:dyDescent="0.25">
      <c r="A121">
        <v>119</v>
      </c>
      <c r="Z121">
        <v>7</v>
      </c>
      <c r="AA121" s="8" t="s">
        <v>10</v>
      </c>
      <c r="AB121" s="8" t="s">
        <v>129</v>
      </c>
    </row>
    <row r="122" spans="1:28" x14ac:dyDescent="0.25">
      <c r="A122">
        <v>120</v>
      </c>
      <c r="Z122">
        <v>8</v>
      </c>
      <c r="AA122" s="8" t="s">
        <v>10</v>
      </c>
      <c r="AB122" s="8" t="s">
        <v>130</v>
      </c>
    </row>
    <row r="123" spans="1:28" x14ac:dyDescent="0.25">
      <c r="A123">
        <v>121</v>
      </c>
      <c r="Z123">
        <v>9</v>
      </c>
      <c r="AA123" s="8" t="s">
        <v>10</v>
      </c>
      <c r="AB123" s="8" t="s">
        <v>131</v>
      </c>
    </row>
    <row r="124" spans="1:28" x14ac:dyDescent="0.25">
      <c r="A124">
        <v>122</v>
      </c>
      <c r="Z124">
        <v>10</v>
      </c>
      <c r="AA124" s="8" t="s">
        <v>10</v>
      </c>
      <c r="AB124" s="8" t="s">
        <v>132</v>
      </c>
    </row>
    <row r="125" spans="1:28" x14ac:dyDescent="0.25">
      <c r="A125">
        <v>123</v>
      </c>
      <c r="Z125">
        <v>11</v>
      </c>
      <c r="AA125" s="8" t="s">
        <v>10</v>
      </c>
      <c r="AB125" s="8" t="s">
        <v>133</v>
      </c>
    </row>
    <row r="126" spans="1:28" x14ac:dyDescent="0.25">
      <c r="A126">
        <v>124</v>
      </c>
      <c r="Z126">
        <v>12</v>
      </c>
      <c r="AA126" s="8" t="s">
        <v>10</v>
      </c>
      <c r="AB126" s="8" t="s">
        <v>134</v>
      </c>
    </row>
    <row r="127" spans="1:28" x14ac:dyDescent="0.25">
      <c r="A127">
        <v>125</v>
      </c>
      <c r="Z127">
        <v>13</v>
      </c>
      <c r="AA127" s="8" t="s">
        <v>10</v>
      </c>
      <c r="AB127" s="8" t="s">
        <v>135</v>
      </c>
    </row>
    <row r="128" spans="1:28" x14ac:dyDescent="0.25">
      <c r="A128">
        <v>126</v>
      </c>
      <c r="Z128">
        <v>14</v>
      </c>
      <c r="AA128" s="8" t="s">
        <v>10</v>
      </c>
      <c r="AB128" s="8" t="s">
        <v>136</v>
      </c>
    </row>
    <row r="129" spans="1:28" x14ac:dyDescent="0.25">
      <c r="A129">
        <v>127</v>
      </c>
      <c r="Z129">
        <v>15</v>
      </c>
      <c r="AA129" s="8" t="s">
        <v>10</v>
      </c>
      <c r="AB129" s="8" t="s">
        <v>137</v>
      </c>
    </row>
    <row r="130" spans="1:28" x14ac:dyDescent="0.25">
      <c r="A130">
        <v>128</v>
      </c>
      <c r="Z130">
        <v>16</v>
      </c>
      <c r="AA130" s="8" t="s">
        <v>10</v>
      </c>
      <c r="AB130" s="8" t="s">
        <v>138</v>
      </c>
    </row>
    <row r="131" spans="1:28" x14ac:dyDescent="0.25">
      <c r="A131">
        <v>129</v>
      </c>
      <c r="Z131">
        <v>17</v>
      </c>
      <c r="AA131" s="8" t="s">
        <v>10</v>
      </c>
      <c r="AB131" s="8" t="s">
        <v>139</v>
      </c>
    </row>
    <row r="132" spans="1:28" x14ac:dyDescent="0.25">
      <c r="A132">
        <v>130</v>
      </c>
      <c r="Z132">
        <v>1</v>
      </c>
      <c r="AA132" s="8" t="s">
        <v>11</v>
      </c>
      <c r="AB132" s="8" t="s">
        <v>140</v>
      </c>
    </row>
    <row r="133" spans="1:28" x14ac:dyDescent="0.25">
      <c r="A133">
        <v>131</v>
      </c>
      <c r="Z133">
        <v>2</v>
      </c>
      <c r="AA133" s="8" t="s">
        <v>11</v>
      </c>
      <c r="AB133" s="8" t="s">
        <v>141</v>
      </c>
    </row>
    <row r="134" spans="1:28" x14ac:dyDescent="0.25">
      <c r="A134">
        <v>132</v>
      </c>
      <c r="Z134">
        <v>3</v>
      </c>
      <c r="AA134" s="8" t="s">
        <v>11</v>
      </c>
      <c r="AB134" s="8" t="s">
        <v>142</v>
      </c>
    </row>
    <row r="135" spans="1:28" x14ac:dyDescent="0.25">
      <c r="A135">
        <v>133</v>
      </c>
      <c r="Z135">
        <v>4</v>
      </c>
      <c r="AA135" s="8" t="s">
        <v>11</v>
      </c>
      <c r="AB135" s="8" t="s">
        <v>143</v>
      </c>
    </row>
    <row r="136" spans="1:28" x14ac:dyDescent="0.25">
      <c r="A136">
        <v>134</v>
      </c>
      <c r="Z136">
        <v>5</v>
      </c>
      <c r="AA136" s="8" t="s">
        <v>11</v>
      </c>
      <c r="AB136" s="8" t="s">
        <v>125</v>
      </c>
    </row>
    <row r="137" spans="1:28" x14ac:dyDescent="0.25">
      <c r="A137">
        <v>135</v>
      </c>
      <c r="Z137">
        <v>6</v>
      </c>
      <c r="AA137" s="8" t="s">
        <v>11</v>
      </c>
      <c r="AB137" s="8" t="s">
        <v>144</v>
      </c>
    </row>
    <row r="138" spans="1:28" x14ac:dyDescent="0.25">
      <c r="A138">
        <v>136</v>
      </c>
      <c r="Z138">
        <v>7</v>
      </c>
      <c r="AA138" s="8" t="s">
        <v>11</v>
      </c>
      <c r="AB138" s="8" t="s">
        <v>145</v>
      </c>
    </row>
    <row r="139" spans="1:28" x14ac:dyDescent="0.25">
      <c r="A139">
        <v>137</v>
      </c>
      <c r="Z139">
        <v>8</v>
      </c>
      <c r="AA139" s="8" t="s">
        <v>11</v>
      </c>
      <c r="AB139" s="8" t="s">
        <v>146</v>
      </c>
    </row>
    <row r="140" spans="1:28" x14ac:dyDescent="0.25">
      <c r="A140">
        <v>138</v>
      </c>
      <c r="Z140">
        <v>9</v>
      </c>
      <c r="AA140" s="8" t="s">
        <v>11</v>
      </c>
      <c r="AB140" s="8" t="s">
        <v>147</v>
      </c>
    </row>
    <row r="141" spans="1:28" x14ac:dyDescent="0.25">
      <c r="A141">
        <v>139</v>
      </c>
      <c r="Z141">
        <v>10</v>
      </c>
      <c r="AA141" s="8" t="s">
        <v>11</v>
      </c>
      <c r="AB141" s="8" t="s">
        <v>148</v>
      </c>
    </row>
    <row r="142" spans="1:28" x14ac:dyDescent="0.25">
      <c r="A142">
        <v>140</v>
      </c>
      <c r="Z142">
        <v>11</v>
      </c>
      <c r="AA142" s="8" t="s">
        <v>11</v>
      </c>
      <c r="AB142" s="8" t="s">
        <v>149</v>
      </c>
    </row>
    <row r="143" spans="1:28" x14ac:dyDescent="0.25">
      <c r="A143">
        <v>141</v>
      </c>
      <c r="Z143">
        <v>12</v>
      </c>
      <c r="AA143" s="8" t="s">
        <v>11</v>
      </c>
      <c r="AB143" s="8" t="s">
        <v>150</v>
      </c>
    </row>
    <row r="144" spans="1:28" x14ac:dyDescent="0.25">
      <c r="A144">
        <v>142</v>
      </c>
      <c r="Z144">
        <v>13</v>
      </c>
      <c r="AA144" s="8" t="s">
        <v>11</v>
      </c>
      <c r="AB144" s="8" t="s">
        <v>151</v>
      </c>
    </row>
    <row r="145" spans="1:28" x14ac:dyDescent="0.25">
      <c r="A145">
        <v>143</v>
      </c>
      <c r="Z145">
        <v>14</v>
      </c>
      <c r="AA145" s="8" t="s">
        <v>11</v>
      </c>
      <c r="AB145" s="8" t="s">
        <v>152</v>
      </c>
    </row>
    <row r="146" spans="1:28" x14ac:dyDescent="0.25">
      <c r="A146">
        <v>144</v>
      </c>
      <c r="Z146">
        <v>15</v>
      </c>
      <c r="AA146" s="8" t="s">
        <v>11</v>
      </c>
      <c r="AB146" s="8" t="s">
        <v>153</v>
      </c>
    </row>
    <row r="147" spans="1:28" x14ac:dyDescent="0.25">
      <c r="A147">
        <v>145</v>
      </c>
      <c r="Z147">
        <v>16</v>
      </c>
      <c r="AA147" s="8" t="s">
        <v>11</v>
      </c>
      <c r="AB147" s="8" t="s">
        <v>154</v>
      </c>
    </row>
    <row r="148" spans="1:28" x14ac:dyDescent="0.25">
      <c r="A148">
        <v>146</v>
      </c>
      <c r="Z148">
        <v>17</v>
      </c>
      <c r="AA148" s="8" t="s">
        <v>11</v>
      </c>
      <c r="AB148" s="8" t="s">
        <v>155</v>
      </c>
    </row>
    <row r="149" spans="1:28" x14ac:dyDescent="0.25">
      <c r="A149">
        <v>147</v>
      </c>
      <c r="Z149">
        <v>18</v>
      </c>
      <c r="AA149" s="8" t="s">
        <v>11</v>
      </c>
      <c r="AB149" s="8" t="s">
        <v>156</v>
      </c>
    </row>
    <row r="150" spans="1:28" x14ac:dyDescent="0.25">
      <c r="A150">
        <v>148</v>
      </c>
      <c r="Z150">
        <v>1</v>
      </c>
      <c r="AA150" s="8" t="s">
        <v>12</v>
      </c>
      <c r="AB150" s="8" t="s">
        <v>157</v>
      </c>
    </row>
    <row r="151" spans="1:28" x14ac:dyDescent="0.25">
      <c r="A151">
        <v>149</v>
      </c>
      <c r="Z151">
        <v>2</v>
      </c>
      <c r="AA151" s="8" t="s">
        <v>12</v>
      </c>
      <c r="AB151" s="8" t="s">
        <v>158</v>
      </c>
    </row>
    <row r="152" spans="1:28" x14ac:dyDescent="0.25">
      <c r="A152">
        <v>150</v>
      </c>
      <c r="Z152">
        <v>3</v>
      </c>
      <c r="AA152" s="8" t="s">
        <v>12</v>
      </c>
      <c r="AB152" s="8" t="s">
        <v>159</v>
      </c>
    </row>
    <row r="153" spans="1:28" x14ac:dyDescent="0.25">
      <c r="A153">
        <v>151</v>
      </c>
      <c r="Z153">
        <v>4</v>
      </c>
      <c r="AA153" s="8" t="s">
        <v>12</v>
      </c>
      <c r="AB153" s="8" t="s">
        <v>160</v>
      </c>
    </row>
    <row r="154" spans="1:28" x14ac:dyDescent="0.25">
      <c r="A154">
        <v>152</v>
      </c>
      <c r="Z154">
        <v>5</v>
      </c>
      <c r="AA154" s="8" t="s">
        <v>12</v>
      </c>
      <c r="AB154" s="8" t="s">
        <v>161</v>
      </c>
    </row>
    <row r="155" spans="1:28" x14ac:dyDescent="0.25">
      <c r="A155">
        <v>153</v>
      </c>
      <c r="Z155">
        <v>6</v>
      </c>
      <c r="AA155" s="8" t="s">
        <v>12</v>
      </c>
      <c r="AB155" s="8" t="s">
        <v>162</v>
      </c>
    </row>
    <row r="156" spans="1:28" x14ac:dyDescent="0.25">
      <c r="A156">
        <v>154</v>
      </c>
      <c r="Z156">
        <v>7</v>
      </c>
      <c r="AA156" s="8" t="s">
        <v>12</v>
      </c>
      <c r="AB156" s="8" t="s">
        <v>163</v>
      </c>
    </row>
    <row r="157" spans="1:28" x14ac:dyDescent="0.25">
      <c r="A157">
        <v>155</v>
      </c>
      <c r="Z157">
        <v>8</v>
      </c>
      <c r="AA157" s="8" t="s">
        <v>12</v>
      </c>
      <c r="AB157" s="8" t="s">
        <v>164</v>
      </c>
    </row>
    <row r="158" spans="1:28" x14ac:dyDescent="0.25">
      <c r="A158">
        <v>156</v>
      </c>
      <c r="Z158">
        <v>9</v>
      </c>
      <c r="AA158" s="8" t="s">
        <v>12</v>
      </c>
      <c r="AB158" s="8" t="s">
        <v>165</v>
      </c>
    </row>
    <row r="159" spans="1:28" x14ac:dyDescent="0.25">
      <c r="A159">
        <v>157</v>
      </c>
      <c r="Z159">
        <v>10</v>
      </c>
      <c r="AA159" s="8" t="s">
        <v>12</v>
      </c>
      <c r="AB159" s="8" t="s">
        <v>166</v>
      </c>
    </row>
    <row r="160" spans="1:28" x14ac:dyDescent="0.25">
      <c r="A160">
        <v>158</v>
      </c>
      <c r="Z160">
        <v>11</v>
      </c>
      <c r="AA160" s="8" t="s">
        <v>12</v>
      </c>
      <c r="AB160" s="8" t="s">
        <v>167</v>
      </c>
    </row>
    <row r="161" spans="1:28" x14ac:dyDescent="0.25">
      <c r="A161">
        <v>159</v>
      </c>
      <c r="Z161">
        <v>12</v>
      </c>
      <c r="AA161" s="8" t="s">
        <v>12</v>
      </c>
      <c r="AB161" s="8" t="s">
        <v>64</v>
      </c>
    </row>
    <row r="162" spans="1:28" x14ac:dyDescent="0.25">
      <c r="A162">
        <v>160</v>
      </c>
      <c r="Z162">
        <v>13</v>
      </c>
      <c r="AA162" s="8" t="s">
        <v>12</v>
      </c>
      <c r="AB162" s="8" t="s">
        <v>168</v>
      </c>
    </row>
    <row r="163" spans="1:28" x14ac:dyDescent="0.25">
      <c r="A163">
        <v>161</v>
      </c>
      <c r="Z163">
        <v>14</v>
      </c>
      <c r="AA163" s="8" t="s">
        <v>12</v>
      </c>
      <c r="AB163" s="8" t="s">
        <v>169</v>
      </c>
    </row>
    <row r="164" spans="1:28" x14ac:dyDescent="0.25">
      <c r="A164">
        <v>162</v>
      </c>
      <c r="Z164">
        <v>15</v>
      </c>
      <c r="AA164" s="8" t="s">
        <v>12</v>
      </c>
      <c r="AB164" s="8" t="s">
        <v>170</v>
      </c>
    </row>
    <row r="165" spans="1:28" x14ac:dyDescent="0.25">
      <c r="A165">
        <v>163</v>
      </c>
      <c r="Z165">
        <v>16</v>
      </c>
      <c r="AA165" s="8" t="s">
        <v>12</v>
      </c>
      <c r="AB165" s="8" t="s">
        <v>171</v>
      </c>
    </row>
    <row r="166" spans="1:28" x14ac:dyDescent="0.25">
      <c r="A166">
        <v>164</v>
      </c>
      <c r="Z166">
        <v>17</v>
      </c>
      <c r="AA166" s="8" t="s">
        <v>12</v>
      </c>
      <c r="AB166" s="8" t="s">
        <v>172</v>
      </c>
    </row>
  </sheetData>
  <phoneticPr fontId="6" type="noConversion"/>
  <dataValidations count="1">
    <dataValidation type="list" allowBlank="1" showInputMessage="1" showErrorMessage="1" sqref="AB2">
      <formula1>OFFSET($E$3,0,0,COUNTA($E:$E))</formula1>
    </dataValidation>
  </dataValidation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zoomScale="85" zoomScaleNormal="85" workbookViewId="0">
      <selection activeCell="G5" sqref="G5"/>
    </sheetView>
  </sheetViews>
  <sheetFormatPr defaultColWidth="11.42578125" defaultRowHeight="15" x14ac:dyDescent="0.25"/>
  <cols>
    <col min="1" max="1" width="5.42578125" style="38" customWidth="1"/>
    <col min="2" max="2" width="21.7109375" style="33" customWidth="1"/>
    <col min="3" max="3" width="11.85546875" style="33" customWidth="1"/>
    <col min="4" max="4" width="7.85546875" style="33" customWidth="1"/>
    <col min="5" max="5" width="23.5703125" style="33" customWidth="1"/>
    <col min="6" max="6" width="6.85546875" style="33" customWidth="1"/>
    <col min="7" max="7" width="28.5703125" style="33" customWidth="1"/>
    <col min="8" max="8" width="12.28515625" style="33" customWidth="1"/>
    <col min="9" max="9" width="11.85546875" style="33" customWidth="1"/>
    <col min="10" max="10" width="9.85546875" style="38" customWidth="1"/>
    <col min="11" max="11" width="11.42578125" style="33" customWidth="1"/>
    <col min="12" max="12" width="7.140625" style="33" customWidth="1"/>
    <col min="13"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477</v>
      </c>
      <c r="B2" s="127"/>
      <c r="C2" s="127"/>
      <c r="D2" s="127"/>
      <c r="E2" s="127"/>
      <c r="F2" s="127"/>
      <c r="G2" s="127"/>
      <c r="H2" s="127"/>
      <c r="I2" s="127"/>
      <c r="J2" s="127"/>
    </row>
    <row r="3" spans="1:10" ht="34.5" customHeight="1" x14ac:dyDescent="0.25">
      <c r="A3" s="128" t="s">
        <v>357</v>
      </c>
      <c r="B3" s="128"/>
      <c r="C3" s="128"/>
      <c r="D3" s="128"/>
      <c r="E3" s="128"/>
      <c r="F3" s="128"/>
      <c r="G3" s="128"/>
      <c r="H3" s="128"/>
      <c r="I3" s="128"/>
      <c r="J3" s="128"/>
    </row>
    <row r="5" spans="1:10" ht="63" x14ac:dyDescent="0.25">
      <c r="A5" s="31" t="s">
        <v>175</v>
      </c>
      <c r="B5" s="32" t="s">
        <v>205</v>
      </c>
      <c r="C5" s="32" t="s">
        <v>371</v>
      </c>
      <c r="D5" s="32" t="s">
        <v>390</v>
      </c>
      <c r="E5" s="31" t="s">
        <v>391</v>
      </c>
      <c r="F5" s="32" t="s">
        <v>392</v>
      </c>
      <c r="G5" s="31" t="s">
        <v>361</v>
      </c>
      <c r="H5" s="32" t="s">
        <v>360</v>
      </c>
      <c r="I5" s="32" t="s">
        <v>359</v>
      </c>
      <c r="J5" s="31" t="s">
        <v>176</v>
      </c>
    </row>
    <row r="6" spans="1:10" ht="31.5" customHeight="1" x14ac:dyDescent="0.25">
      <c r="A6" s="37">
        <f>_xlfn.AGGREGATE(3,3,$C$6:C6)</f>
        <v>1</v>
      </c>
      <c r="B6" s="34" t="str">
        <f>Thuysan!O197</f>
        <v>Tôm chân trắng thương phẩm</v>
      </c>
      <c r="C6" s="34" t="str">
        <f>Thuysan!P197</f>
        <v>83/1222/01</v>
      </c>
      <c r="D6" s="124" t="str">
        <f>Thuysan!Q197</f>
        <v>Ba Tri 83/01</v>
      </c>
      <c r="E6" s="34" t="str">
        <f>Thuysan!R197</f>
        <v>Phạm Văn Ba - Ấp 7, Xã An Thủy</v>
      </c>
      <c r="F6" s="34">
        <f>Thuysan!S197</f>
        <v>1</v>
      </c>
      <c r="G6" s="34" t="str">
        <f>Thuysan!T197</f>
        <v>Chloramphenicol, Nhóm Quinolones</v>
      </c>
      <c r="H6" s="124" t="str">
        <f>Thuysan!U197</f>
        <v>13/12/2022</v>
      </c>
      <c r="I6" s="124" t="str">
        <f>Thuysan!V197</f>
        <v>Phạm Minh Thuận</v>
      </c>
      <c r="J6" s="34" t="str">
        <f>Thuysan!W197</f>
        <v>Ao 1</v>
      </c>
    </row>
    <row r="7" spans="1:10" ht="33" customHeight="1" x14ac:dyDescent="0.25">
      <c r="A7" s="37">
        <f>_xlfn.AGGREGATE(3,3,$C$6:C7)</f>
        <v>2</v>
      </c>
      <c r="B7" s="34" t="str">
        <f>Thuysan!O198</f>
        <v>Tôm chân trắng thương phẩm</v>
      </c>
      <c r="C7" s="34" t="str">
        <f>Thuysan!P198</f>
        <v>83/1222/02</v>
      </c>
      <c r="D7" s="126"/>
      <c r="E7" s="34" t="str">
        <f>Thuysan!R198</f>
        <v>Phạm Văn Ba - Ấp 7, Xã An Thủy</v>
      </c>
      <c r="F7" s="34">
        <f>Thuysan!S198</f>
        <v>1</v>
      </c>
      <c r="G7" s="34" t="str">
        <f>Thuysan!T198</f>
        <v>Thuốc trừ sâu gốc Chlor hữu cơ, Pb, Hg, Cd</v>
      </c>
      <c r="H7" s="126"/>
      <c r="I7" s="126"/>
      <c r="J7" s="34" t="str">
        <f>Thuysan!W198</f>
        <v>Ao 2</v>
      </c>
    </row>
    <row r="8" spans="1:10" ht="31.5" customHeight="1" x14ac:dyDescent="0.25">
      <c r="A8" s="37">
        <f>_xlfn.AGGREGATE(3,3,$C$6:C8)</f>
        <v>3</v>
      </c>
      <c r="B8" s="34" t="str">
        <f>Thuysan!O199</f>
        <v>Tôm chân trắng thương phẩm</v>
      </c>
      <c r="C8" s="34" t="str">
        <f>Thuysan!P199</f>
        <v>83/1222/03</v>
      </c>
      <c r="D8" s="124" t="str">
        <f>Thuysan!Q199</f>
        <v>Bình Đại 83/02</v>
      </c>
      <c r="E8" s="34" t="str">
        <f>Thuysan!R199</f>
        <v>Võ Huỳnh Tiến Nghĩa  - Ấp 4, Xã Bình Thới</v>
      </c>
      <c r="F8" s="34">
        <f>Thuysan!S199</f>
        <v>1</v>
      </c>
      <c r="G8" s="34" t="str">
        <f>Thuysan!T199</f>
        <v>Chloramphenicol, Nhóm Quinolones</v>
      </c>
      <c r="H8" s="124" t="str">
        <f>Thuysan!U199</f>
        <v>13/12/2022</v>
      </c>
      <c r="I8" s="124" t="str">
        <f>Thuysan!V199</f>
        <v>Cao Quang Nguyên</v>
      </c>
      <c r="J8" s="34" t="str">
        <f>Thuysan!W199</f>
        <v>Ao 1</v>
      </c>
    </row>
    <row r="9" spans="1:10" ht="45" customHeight="1" x14ac:dyDescent="0.25">
      <c r="A9" s="37">
        <f>_xlfn.AGGREGATE(3,3,$C$6:C9)</f>
        <v>4</v>
      </c>
      <c r="B9" s="34" t="str">
        <f>Thuysan!O200</f>
        <v>Tôm chân trắng thương phẩm</v>
      </c>
      <c r="C9" s="34" t="str">
        <f>Thuysan!P200</f>
        <v>83/1222/04</v>
      </c>
      <c r="D9" s="126"/>
      <c r="E9" s="34" t="str">
        <f>Thuysan!R200</f>
        <v>Võ Huỳnh Tiến Nghĩa  - Ấp 4, Xã Bình Thới</v>
      </c>
      <c r="F9" s="34">
        <f>Thuysan!S200</f>
        <v>1</v>
      </c>
      <c r="G9" s="34" t="str">
        <f>Thuysan!T200</f>
        <v>Thuốc trừ sâu gốc Chlor hữu cơ, Pb, Hg, Cd</v>
      </c>
      <c r="H9" s="126"/>
      <c r="I9" s="125"/>
      <c r="J9" s="34" t="str">
        <f>Thuysan!W200</f>
        <v>Ao 2</v>
      </c>
    </row>
    <row r="10" spans="1:10" ht="46.5" customHeight="1" x14ac:dyDescent="0.25">
      <c r="A10" s="37">
        <f>_xlfn.AGGREGATE(3,3,$C$6:C10)</f>
        <v>5</v>
      </c>
      <c r="B10" s="34" t="str">
        <f>Thuysan!O201</f>
        <v>Tôm chân trắng thương phẩm</v>
      </c>
      <c r="C10" s="34" t="str">
        <f>Thuysan!P201</f>
        <v>83/1222/05</v>
      </c>
      <c r="D10" s="124" t="str">
        <f>Thuysan!Q201</f>
        <v>Thạnh Phú 83/03</v>
      </c>
      <c r="E10" s="34" t="str">
        <f>Thuysan!R201</f>
        <v>Trần Văn Tần  - Ấp Thạnh Thới B, Xã Thạnh Hải</v>
      </c>
      <c r="F10" s="34">
        <f>Thuysan!S201</f>
        <v>1</v>
      </c>
      <c r="G10" s="34" t="str">
        <f>Thuysan!T201</f>
        <v>Chloramphenicol, Nhóm Quinolones</v>
      </c>
      <c r="H10" s="124" t="str">
        <f>Thuysan!U201</f>
        <v>14/12/2022</v>
      </c>
      <c r="I10" s="125"/>
      <c r="J10" s="34" t="str">
        <f>Thuysan!W201</f>
        <v>Ao 1</v>
      </c>
    </row>
    <row r="11" spans="1:10" ht="47.25" customHeight="1" x14ac:dyDescent="0.25">
      <c r="A11" s="37">
        <f>_xlfn.AGGREGATE(3,3,$C$6:C11)</f>
        <v>6</v>
      </c>
      <c r="B11" s="34" t="str">
        <f>Thuysan!O202</f>
        <v>Tôm chân trắng thương phẩm</v>
      </c>
      <c r="C11" s="34" t="str">
        <f>Thuysan!P202</f>
        <v>83/1222/06</v>
      </c>
      <c r="D11" s="126"/>
      <c r="E11" s="34" t="str">
        <f>Thuysan!R202</f>
        <v>Trần Văn Tần  - Ấp Thạnh Thới B, Xã Thạnh Hải</v>
      </c>
      <c r="F11" s="34">
        <f>Thuysan!S202</f>
        <v>1</v>
      </c>
      <c r="G11" s="34" t="str">
        <f>Thuysan!T202</f>
        <v>Thuốc trừ sâu gốc Chlor hữu cơ, Pb, Hg, Cd</v>
      </c>
      <c r="H11" s="126"/>
      <c r="I11" s="126"/>
      <c r="J11" s="34" t="str">
        <f>Thuysan!W202</f>
        <v>Ao 2</v>
      </c>
    </row>
    <row r="12" spans="1:10" ht="55.5" customHeight="1" x14ac:dyDescent="0.25">
      <c r="A12" s="37">
        <f>_xlfn.AGGREGATE(3,3,$C$6:C12)</f>
        <v>7</v>
      </c>
      <c r="B12" s="34" t="str">
        <f>Thuysan!O203</f>
        <v>Cá tra thương phẩm</v>
      </c>
      <c r="C12" s="34" t="str">
        <f>Thuysan!P203</f>
        <v>83/1222/07</v>
      </c>
      <c r="D12" s="124" t="str">
        <f>Thuysan!Q203</f>
        <v>Châu Thành 83/05</v>
      </c>
      <c r="E12" s="34" t="str">
        <f>Thuysan!R203</f>
        <v>Công ty CP Gò Đàng - ấp Tân Tây, Xã Tân Phú</v>
      </c>
      <c r="F12" s="34">
        <f>Thuysan!S203</f>
        <v>1.5</v>
      </c>
      <c r="G12" s="34" t="str">
        <f>Thuysan!T203</f>
        <v>Chloramphenicol, Nhóm Quinolones</v>
      </c>
      <c r="H12" s="124" t="str">
        <f>Thuysan!U203</f>
        <v>13/12/2022</v>
      </c>
      <c r="I12" s="124" t="str">
        <f>Thuysan!V203</f>
        <v>Phạm Châu An</v>
      </c>
      <c r="J12" s="34" t="str">
        <f>Thuysan!W203</f>
        <v>Ao 4</v>
      </c>
    </row>
    <row r="13" spans="1:10" ht="78.75" x14ac:dyDescent="0.25">
      <c r="A13" s="37">
        <f>_xlfn.AGGREGATE(3,3,$C$6:C13)</f>
        <v>8</v>
      </c>
      <c r="B13" s="34" t="str">
        <f>Thuysan!O204</f>
        <v>Cá tra thương phẩm</v>
      </c>
      <c r="C13" s="34" t="str">
        <f>Thuysan!P204</f>
        <v>83/1222/08</v>
      </c>
      <c r="D13" s="126"/>
      <c r="E13" s="34" t="str">
        <f>Thuysan!R204</f>
        <v>Công ty CP Gò Đàng - ấp Tân Tây, Xã Tân Phú</v>
      </c>
      <c r="F13" s="34">
        <f>Thuysan!S204</f>
        <v>1.5</v>
      </c>
      <c r="G13" s="34" t="str">
        <f>Thuysan!T204</f>
        <v>Ivermectin, Praziquantel, Trichlorfon, Avermectin B1a, Malachite Green, Leuco Malachite Green, Crystal Violet, Leuco Crystal Violet</v>
      </c>
      <c r="H13" s="126"/>
      <c r="I13" s="126"/>
      <c r="J13" s="34" t="str">
        <f>Thuysan!W204</f>
        <v>Ao 5</v>
      </c>
    </row>
    <row r="14" spans="1:10" ht="35.25" customHeight="1" x14ac:dyDescent="0.25">
      <c r="A14" s="37">
        <f>_xlfn.AGGREGATE(3,3,$C$6:C14)</f>
        <v>9</v>
      </c>
      <c r="B14" s="34" t="str">
        <f>Thuysan!O205</f>
        <v>Cá tra thương phẩm</v>
      </c>
      <c r="C14" s="34" t="str">
        <f>Thuysan!P205</f>
        <v>83/1222/09</v>
      </c>
      <c r="D14" s="124" t="str">
        <f>Thuysan!Q205</f>
        <v>Giồng Trôm 83/06</v>
      </c>
      <c r="E14" s="34" t="str">
        <f>Thuysan!R205</f>
        <v>Công ty CP Gò Đàng - Ấp 8, Xã Phước Long</v>
      </c>
      <c r="F14" s="34">
        <f>Thuysan!S205</f>
        <v>1.5</v>
      </c>
      <c r="G14" s="34" t="str">
        <f>Thuysan!T205</f>
        <v>Chloramphenicol, Nhóm Quinolones</v>
      </c>
      <c r="H14" s="124" t="str">
        <f>Thuysan!U205</f>
        <v>14/12/2022</v>
      </c>
      <c r="I14" s="124" t="str">
        <f>Thuysan!V205</f>
        <v>Phạm Minh Thuận</v>
      </c>
      <c r="J14" s="34" t="str">
        <f>Thuysan!W205</f>
        <v>Ao 1</v>
      </c>
    </row>
    <row r="15" spans="1:10" ht="31.5" x14ac:dyDescent="0.25">
      <c r="A15" s="37">
        <f>_xlfn.AGGREGATE(3,3,$C$6:C15)</f>
        <v>10</v>
      </c>
      <c r="B15" s="34" t="str">
        <f>Thuysan!O206</f>
        <v>Cá tra thương phẩm</v>
      </c>
      <c r="C15" s="34" t="str">
        <f>Thuysan!P206</f>
        <v>83/1222/10</v>
      </c>
      <c r="D15" s="125"/>
      <c r="E15" s="34" t="str">
        <f>Thuysan!R206</f>
        <v>Công ty CP Gò Đàng - Ấp 8, Xã Phước Long</v>
      </c>
      <c r="F15" s="34">
        <f>Thuysan!S206</f>
        <v>1.5</v>
      </c>
      <c r="G15" s="34" t="str">
        <f>Thuysan!T206</f>
        <v>-</v>
      </c>
      <c r="H15" s="125"/>
      <c r="I15" s="125"/>
      <c r="J15" s="34" t="str">
        <f>Thuysan!W206</f>
        <v>Ao 2</v>
      </c>
    </row>
    <row r="16" spans="1:10" ht="44.25" customHeight="1" x14ac:dyDescent="0.25">
      <c r="A16" s="37">
        <f>_xlfn.AGGREGATE(3,3,$C$6:C16)</f>
        <v>11</v>
      </c>
      <c r="B16" s="34" t="str">
        <f>Thuysan!O207</f>
        <v>Cá tra thương phẩm</v>
      </c>
      <c r="C16" s="34" t="str">
        <f>Thuysan!P207</f>
        <v>83/1222/11</v>
      </c>
      <c r="D16" s="126"/>
      <c r="E16" s="34" t="str">
        <f>Thuysan!R207</f>
        <v>Công ty CP Gò Đàng - Ấp 8, Xã Phước Long</v>
      </c>
      <c r="F16" s="34">
        <f>Thuysan!S207</f>
        <v>1.5</v>
      </c>
      <c r="G16" s="34" t="str">
        <f>Thuysan!T207</f>
        <v>-</v>
      </c>
      <c r="H16" s="126"/>
      <c r="I16" s="126"/>
      <c r="J16" s="34" t="str">
        <f>Thuysan!W207</f>
        <v>Ao 5</v>
      </c>
    </row>
    <row r="17" spans="1:10" ht="48" customHeight="1" x14ac:dyDescent="0.25">
      <c r="A17" s="37">
        <f>_xlfn.AGGREGATE(3,3,$C$6:C17)</f>
        <v>12</v>
      </c>
      <c r="B17" s="34" t="str">
        <f>Thuysan!O208</f>
        <v>Cá tra thương phẩm</v>
      </c>
      <c r="C17" s="34" t="str">
        <f>Thuysan!P208</f>
        <v>83/1222/12</v>
      </c>
      <c r="D17" s="124" t="str">
        <f>Thuysan!Q208</f>
        <v>Chợ Lách 83/07</v>
      </c>
      <c r="E17" s="34" t="str">
        <f>Thuysan!R208</f>
        <v>Công ty TNHH CBTPXK Vạn Đức Tiền Giang - ấp Phú Bình, Xã Vĩnh Bình</v>
      </c>
      <c r="F17" s="34">
        <f>Thuysan!S208</f>
        <v>1.5</v>
      </c>
      <c r="G17" s="34" t="str">
        <f>Thuysan!T208</f>
        <v>-</v>
      </c>
      <c r="H17" s="124" t="str">
        <f>Thuysan!U208</f>
        <v>14/12/2022</v>
      </c>
      <c r="I17" s="124" t="str">
        <f>Thuysan!V208</f>
        <v>Phạm Châu An</v>
      </c>
      <c r="J17" s="34" t="str">
        <f>Thuysan!W208</f>
        <v>Ao 20</v>
      </c>
    </row>
    <row r="18" spans="1:10" ht="46.5" customHeight="1" x14ac:dyDescent="0.25">
      <c r="A18" s="37">
        <f>_xlfn.AGGREGATE(3,3,$C$6:C18)</f>
        <v>13</v>
      </c>
      <c r="B18" s="34" t="str">
        <f>Thuysan!O209</f>
        <v>Cá tra thương phẩm</v>
      </c>
      <c r="C18" s="34" t="str">
        <f>Thuysan!P209</f>
        <v>83/1222/13</v>
      </c>
      <c r="D18" s="125"/>
      <c r="E18" s="34" t="str">
        <f>Thuysan!R209</f>
        <v>Công ty TNHH CBTPXK Vạn Đức Tiền Giang - ấp Bình An, Xã Hòa Nghĩa</v>
      </c>
      <c r="F18" s="34">
        <f>Thuysan!S209</f>
        <v>1.5</v>
      </c>
      <c r="G18" s="34" t="str">
        <f>Thuysan!T209</f>
        <v>Nhóm Quinolones, Ivermectin, Praziquantel, Trichlorfon, Avermectin B1a</v>
      </c>
      <c r="H18" s="125"/>
      <c r="I18" s="125"/>
      <c r="J18" s="34" t="str">
        <f>Thuysan!W209</f>
        <v>Ao 13</v>
      </c>
    </row>
    <row r="19" spans="1:10" ht="56.25" customHeight="1" x14ac:dyDescent="0.25">
      <c r="A19" s="37">
        <f>_xlfn.AGGREGATE(3,3,$C$6:C19)</f>
        <v>14</v>
      </c>
      <c r="B19" s="34" t="str">
        <f>Thuysan!O210</f>
        <v>Cá tra thương phẩm</v>
      </c>
      <c r="C19" s="34" t="str">
        <f>Thuysan!P210</f>
        <v>83/1222/14</v>
      </c>
      <c r="D19" s="125"/>
      <c r="E19" s="34" t="str">
        <f>Thuysan!R210</f>
        <v>Công ty TNHH CBTPXK Vạn Đức Tiền Giang - ấp Phú Bình, Xã Vĩnh Bình</v>
      </c>
      <c r="F19" s="34">
        <f>Thuysan!S210</f>
        <v>1.5</v>
      </c>
      <c r="G19" s="34" t="str">
        <f>Thuysan!T210</f>
        <v>-</v>
      </c>
      <c r="H19" s="125"/>
      <c r="I19" s="125"/>
      <c r="J19" s="34" t="str">
        <f>Thuysan!W210</f>
        <v>Ao 17</v>
      </c>
    </row>
    <row r="20" spans="1:10" ht="55.5" customHeight="1" x14ac:dyDescent="0.25">
      <c r="A20" s="37">
        <f>_xlfn.AGGREGATE(3,3,$C$6:C20)</f>
        <v>15</v>
      </c>
      <c r="B20" s="34" t="str">
        <f>Thuysan!O211</f>
        <v>Cá tra thương phẩm</v>
      </c>
      <c r="C20" s="34" t="str">
        <f>Thuysan!P211</f>
        <v>83/1222/15</v>
      </c>
      <c r="D20" s="125"/>
      <c r="E20" s="34" t="str">
        <f>Thuysan!R211</f>
        <v>Công ty TNHH CBTPXK Vạn Đức Tiền Giang - ấp Bình An, Xã Hòa Nghĩa</v>
      </c>
      <c r="F20" s="34">
        <f>Thuysan!S211</f>
        <v>1.5</v>
      </c>
      <c r="G20" s="34" t="str">
        <f>Thuysan!T211</f>
        <v>-</v>
      </c>
      <c r="H20" s="125"/>
      <c r="I20" s="125"/>
      <c r="J20" s="34" t="str">
        <f>Thuysan!W211</f>
        <v>Ao 5</v>
      </c>
    </row>
    <row r="21" spans="1:10" ht="54.75" customHeight="1" x14ac:dyDescent="0.25">
      <c r="A21" s="37">
        <f>_xlfn.AGGREGATE(3,3,$C$6:C21)</f>
        <v>16</v>
      </c>
      <c r="B21" s="34" t="str">
        <f>Thuysan!O212</f>
        <v>Cá tra thương phẩm</v>
      </c>
      <c r="C21" s="34" t="str">
        <f>Thuysan!P212</f>
        <v>83/1222/16</v>
      </c>
      <c r="D21" s="126"/>
      <c r="E21" s="34" t="str">
        <f>Thuysan!R212</f>
        <v>Công ty TNHH CBTPXK Vạn Đức Tiền Giang - ấp Phú Bình, Xã Vĩnh Bình</v>
      </c>
      <c r="F21" s="34">
        <f>Thuysan!S212</f>
        <v>1.5</v>
      </c>
      <c r="G21" s="34" t="str">
        <f>Thuysan!T212</f>
        <v>-</v>
      </c>
      <c r="H21" s="126"/>
      <c r="I21" s="126"/>
      <c r="J21" s="34" t="str">
        <f>Thuysan!W212</f>
        <v>Ao 21</v>
      </c>
    </row>
    <row r="22" spans="1:10" ht="33" customHeight="1" x14ac:dyDescent="0.25">
      <c r="A22" s="37">
        <f>_xlfn.AGGREGATE(3,3,$C$6:C22)</f>
        <v>17</v>
      </c>
      <c r="B22" s="34" t="str">
        <f>Thuysan!O213</f>
        <v>Cá tra thương phẩm</v>
      </c>
      <c r="C22" s="34" t="str">
        <f>Thuysan!P213</f>
        <v>83/0922/04</v>
      </c>
      <c r="D22" s="34" t="str">
        <f>Thuysan!Q213</f>
        <v>Ba Tri 83/01</v>
      </c>
      <c r="E22" s="34" t="str">
        <f>Thuysan!R213</f>
        <v>Công ty CP Gò Đàng - ấp 4, Xã Tân Xuân</v>
      </c>
      <c r="F22" s="34">
        <f>Thuysan!S213</f>
        <v>1.5</v>
      </c>
      <c r="G22" s="34" t="str">
        <f>Thuysan!T213</f>
        <v>-</v>
      </c>
      <c r="H22" s="49">
        <f>Thuysan!U213</f>
        <v>44908</v>
      </c>
      <c r="I22" s="34" t="str">
        <f>Thuysan!V213</f>
        <v>Phạm Minh Thuận</v>
      </c>
      <c r="J22" s="124" t="s">
        <v>467</v>
      </c>
    </row>
    <row r="23" spans="1:10" ht="18" customHeight="1" x14ac:dyDescent="0.25">
      <c r="A23" s="37">
        <f>_xlfn.AGGREGATE(3,3,$C$6:C23)</f>
        <v>18</v>
      </c>
      <c r="B23" s="34" t="str">
        <f>Thuysan!O214</f>
        <v>Cá tra thương phẩm</v>
      </c>
      <c r="C23" s="34" t="str">
        <f>Thuysan!P214</f>
        <v>83/0922/10</v>
      </c>
      <c r="D23" s="124" t="str">
        <f>Thuysan!Q214</f>
        <v>Bình Đại 83/02</v>
      </c>
      <c r="E23" s="124" t="str">
        <f>Thuysan!R214</f>
        <v>Công ty CP Gò Đàng - Khu A Lộc Thuận, ấp Lộc Sơn, Xã Lộc Thuận</v>
      </c>
      <c r="F23" s="34">
        <f>Thuysan!S214</f>
        <v>1.5</v>
      </c>
      <c r="G23" s="34" t="str">
        <f>Thuysan!T214</f>
        <v>Chloramphenicol</v>
      </c>
      <c r="H23" s="121">
        <f>Thuysan!U214</f>
        <v>44908</v>
      </c>
      <c r="I23" s="124" t="str">
        <f>Thuysan!V214</f>
        <v>Cao Quang Nguyên</v>
      </c>
      <c r="J23" s="125"/>
    </row>
    <row r="24" spans="1:10" ht="15.75" x14ac:dyDescent="0.25">
      <c r="A24" s="37">
        <f>_xlfn.AGGREGATE(3,3,$C$6:C24)</f>
        <v>19</v>
      </c>
      <c r="B24" s="34" t="str">
        <f>Thuysan!O215</f>
        <v>Cá tra thương phẩm</v>
      </c>
      <c r="C24" s="34" t="str">
        <f>Thuysan!P215</f>
        <v>83/0922/11</v>
      </c>
      <c r="D24" s="125"/>
      <c r="E24" s="125"/>
      <c r="F24" s="34">
        <f>Thuysan!S215</f>
        <v>1.5</v>
      </c>
      <c r="G24" s="34" t="str">
        <f>Thuysan!T215</f>
        <v>-</v>
      </c>
      <c r="H24" s="122"/>
      <c r="I24" s="125"/>
      <c r="J24" s="125"/>
    </row>
    <row r="25" spans="1:10" ht="20.25" customHeight="1" x14ac:dyDescent="0.25">
      <c r="A25" s="37">
        <f>_xlfn.AGGREGATE(3,3,$C$6:C25)</f>
        <v>20</v>
      </c>
      <c r="B25" s="34" t="str">
        <f>Thuysan!O216</f>
        <v>Cá tra thương phẩm</v>
      </c>
      <c r="C25" s="34" t="str">
        <f>Thuysan!P216</f>
        <v>83/0922/12</v>
      </c>
      <c r="D25" s="126"/>
      <c r="E25" s="126"/>
      <c r="F25" s="34">
        <f>Thuysan!S216</f>
        <v>1.5</v>
      </c>
      <c r="G25" s="34" t="str">
        <f>Thuysan!T216</f>
        <v>Fenbendazole</v>
      </c>
      <c r="H25" s="123"/>
      <c r="I25" s="126"/>
      <c r="J25" s="126"/>
    </row>
  </sheetData>
  <mergeCells count="25">
    <mergeCell ref="A1:J1"/>
    <mergeCell ref="A2:J2"/>
    <mergeCell ref="A3:J3"/>
    <mergeCell ref="D17:D21"/>
    <mergeCell ref="D23:D25"/>
    <mergeCell ref="E23:E25"/>
    <mergeCell ref="I6:I7"/>
    <mergeCell ref="H17:H21"/>
    <mergeCell ref="I17:I21"/>
    <mergeCell ref="H14:H16"/>
    <mergeCell ref="I14:I16"/>
    <mergeCell ref="D6:D7"/>
    <mergeCell ref="D8:D9"/>
    <mergeCell ref="D10:D11"/>
    <mergeCell ref="D12:D13"/>
    <mergeCell ref="D14:D16"/>
    <mergeCell ref="H23:H25"/>
    <mergeCell ref="I23:I25"/>
    <mergeCell ref="J22:J25"/>
    <mergeCell ref="H6:H7"/>
    <mergeCell ref="H8:H9"/>
    <mergeCell ref="H10:H11"/>
    <mergeCell ref="I8:I11"/>
    <mergeCell ref="H12:H13"/>
    <mergeCell ref="I12:I13"/>
  </mergeCells>
  <pageMargins left="0.34" right="0.19" top="0.43" bottom="0.3" header="0.3" footer="0.18"/>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zoomScale="85" zoomScaleNormal="85" workbookViewId="0">
      <selection activeCell="A3" sqref="A3:J3"/>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5.42578125" style="33" customWidth="1"/>
    <col min="6" max="6" width="6.28515625" style="33" customWidth="1"/>
    <col min="7" max="7" width="30.140625" style="33" customWidth="1"/>
    <col min="8" max="8" width="7.42578125" style="33" customWidth="1"/>
    <col min="9" max="9" width="10.85546875" style="33" customWidth="1"/>
    <col min="10" max="10" width="9.28515625" style="38" customWidth="1"/>
    <col min="11" max="11" width="11.42578125" style="33" customWidth="1"/>
    <col min="12" max="12" width="7.140625" style="33" customWidth="1"/>
    <col min="13"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607</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33.75" customHeight="1" x14ac:dyDescent="0.25">
      <c r="A6" s="37">
        <f>_xlfn.AGGREGATE(3,3,$C$6:C6)</f>
        <v>1</v>
      </c>
      <c r="B6" s="34" t="str">
        <f>Thuysan!O165</f>
        <v>Cá tra thương phẩm</v>
      </c>
      <c r="C6" s="34" t="str">
        <f>Thuysan!P165</f>
        <v>83/1123/01</v>
      </c>
      <c r="D6" s="124" t="str">
        <f>Thuysan!Q165</f>
        <v>Bình Đại 83/02</v>
      </c>
      <c r="E6" s="124" t="str">
        <f>Thuysan!R165</f>
        <v>Công ty CP Gò Đàng - Khu A Lộc Thuận, ấp Lộc Sơn, Xã Lộc Thuận</v>
      </c>
      <c r="F6" s="34">
        <f>Thuysan!S165</f>
        <v>1.5</v>
      </c>
      <c r="G6" s="34" t="str">
        <f>Thuysan!T165</f>
        <v>Erythromycin, Pb, Hg, Cd</v>
      </c>
      <c r="H6" s="124" t="str">
        <f>Thuysan!U165</f>
        <v>28/11/2023</v>
      </c>
      <c r="I6" s="124" t="str">
        <f>Thuysan!V165</f>
        <v>Cao Quang Nguyên</v>
      </c>
      <c r="J6" s="34" t="str">
        <f>Thuysan!W165</f>
        <v>Ao 4</v>
      </c>
    </row>
    <row r="7" spans="1:10" ht="47.25" customHeight="1" x14ac:dyDescent="0.25">
      <c r="A7" s="37">
        <f>_xlfn.AGGREGATE(3,3,$C$6:C7)</f>
        <v>2</v>
      </c>
      <c r="B7" s="34" t="str">
        <f>Thuysan!O166</f>
        <v>Cá tra thương phẩm</v>
      </c>
      <c r="C7" s="34" t="str">
        <f>Thuysan!P166</f>
        <v>83/1123/02</v>
      </c>
      <c r="D7" s="126"/>
      <c r="E7" s="126"/>
      <c r="F7" s="34">
        <f>Thuysan!S166</f>
        <v>1.5</v>
      </c>
      <c r="G7" s="34" t="str">
        <f>Thuysan!T166</f>
        <v>Chlorpyrifos, Fipronil, Pb, Hg, Cd</v>
      </c>
      <c r="H7" s="126"/>
      <c r="I7" s="126"/>
      <c r="J7" s="34" t="str">
        <f>Thuysan!W166</f>
        <v>Ao 11</v>
      </c>
    </row>
    <row r="8" spans="1:10" ht="47.25" x14ac:dyDescent="0.25">
      <c r="A8" s="37">
        <f>_xlfn.AGGREGATE(3,3,$C$6:C8)</f>
        <v>3</v>
      </c>
      <c r="B8" s="34" t="str">
        <f>Thuysan!O167</f>
        <v>Cá tra thương phẩm</v>
      </c>
      <c r="C8" s="34" t="str">
        <f>Thuysan!P167</f>
        <v>83/1123/03</v>
      </c>
      <c r="D8" s="34" t="str">
        <f>Thuysan!Q167</f>
        <v>Châu Thành 83/05</v>
      </c>
      <c r="E8" s="34" t="str">
        <f>Thuysan!R167</f>
        <v>Công ty CP Hùng Vương - Ấp Phú Tân, Xã Phú Túc</v>
      </c>
      <c r="F8" s="34">
        <f>Thuysan!S167</f>
        <v>1.5</v>
      </c>
      <c r="G8" s="34" t="str">
        <f>Thuysan!T167</f>
        <v>Erythromycin, Pb, Hg, Cd</v>
      </c>
      <c r="H8" s="34" t="str">
        <f>Thuysan!U167</f>
        <v>28/11/2023</v>
      </c>
      <c r="I8" s="34" t="str">
        <f>Thuysan!V167</f>
        <v>Phạm Văn Lâm</v>
      </c>
      <c r="J8" s="34" t="str">
        <f>Thuysan!W167</f>
        <v>Ao 10</v>
      </c>
    </row>
    <row r="9" spans="1:10" ht="45" customHeight="1" x14ac:dyDescent="0.25">
      <c r="A9" s="37">
        <f>_xlfn.AGGREGATE(3,3,$C$6:C9)</f>
        <v>4</v>
      </c>
      <c r="B9" s="34" t="str">
        <f>Thuysan!O168</f>
        <v>Cá tra thương phẩm</v>
      </c>
      <c r="C9" s="34" t="str">
        <f>Thuysan!P168</f>
        <v>83/1123/04</v>
      </c>
      <c r="D9" s="124" t="str">
        <f>Thuysan!Q168</f>
        <v>Giồng Trôm 83/06</v>
      </c>
      <c r="E9" s="124" t="str">
        <f>Thuysan!R168</f>
        <v>Công ty CP XNK Thủy sản Bến Tre (DL 22) - Trại nuôi cá tra Cồn Bần-Ấp Phước Long, Xã Sơn Phú</v>
      </c>
      <c r="F9" s="34">
        <f>Thuysan!S168</f>
        <v>1.5</v>
      </c>
      <c r="G9" s="34" t="str">
        <f>Thuysan!T168</f>
        <v>Azadirachtin, Pb, Hg, Cd</v>
      </c>
      <c r="H9" s="124" t="str">
        <f>Thuysan!U168</f>
        <v>28/11/2023</v>
      </c>
      <c r="I9" s="124" t="str">
        <f>Thuysan!V168</f>
        <v>Phạm Minh Thuận</v>
      </c>
      <c r="J9" s="34" t="str">
        <f>Thuysan!W168</f>
        <v>Ao C1</v>
      </c>
    </row>
    <row r="10" spans="1:10" ht="46.5" customHeight="1" x14ac:dyDescent="0.25">
      <c r="A10" s="37">
        <f>_xlfn.AGGREGATE(3,3,$C$6:C10)</f>
        <v>5</v>
      </c>
      <c r="B10" s="34" t="str">
        <f>Thuysan!O169</f>
        <v>Cá tra thương phẩm</v>
      </c>
      <c r="C10" s="34" t="str">
        <f>Thuysan!P169</f>
        <v>83/1123/05</v>
      </c>
      <c r="D10" s="126"/>
      <c r="E10" s="126"/>
      <c r="F10" s="34">
        <f>Thuysan!S169</f>
        <v>1.5</v>
      </c>
      <c r="G10" s="34" t="str">
        <f>Thuysan!T169</f>
        <v>Amoxicillin , Pb, Hg, Cd</v>
      </c>
      <c r="H10" s="126"/>
      <c r="I10" s="126"/>
      <c r="J10" s="34" t="str">
        <f>Thuysan!W169</f>
        <v>Ao C3</v>
      </c>
    </row>
    <row r="11" spans="1:10" ht="37.5" customHeight="1" x14ac:dyDescent="0.25">
      <c r="A11" s="37">
        <f>_xlfn.AGGREGATE(3,3,$C$6:C11)</f>
        <v>6</v>
      </c>
      <c r="B11" s="34" t="str">
        <f>Thuysan!O170</f>
        <v>Cá tra thương phẩm</v>
      </c>
      <c r="C11" s="34" t="str">
        <f>Thuysan!P170</f>
        <v>83/1123/06</v>
      </c>
      <c r="D11" s="124" t="str">
        <f>Thuysan!Q170</f>
        <v>Chợ Lách 83/07</v>
      </c>
      <c r="E11" s="124" t="str">
        <f>Thuysan!R170</f>
        <v>Công ty TNHH CBTPXK Vạn Đức Tiền Giang - Ấp Phú Bình, Xã Vĩnh Bình</v>
      </c>
      <c r="F11" s="34">
        <f>Thuysan!S170</f>
        <v>1.5</v>
      </c>
      <c r="G11" s="34" t="str">
        <f>Thuysan!T170</f>
        <v>Nhóm Nitroimidazoles, Pb, Hg, Cd</v>
      </c>
      <c r="H11" s="124" t="str">
        <f>Thuysan!U170</f>
        <v>29/11/2023</v>
      </c>
      <c r="I11" s="124" t="str">
        <f>Thuysan!V170</f>
        <v>Phạm Văn Lâm</v>
      </c>
      <c r="J11" s="34" t="str">
        <f>Thuysan!W170</f>
        <v>Ao 3</v>
      </c>
    </row>
    <row r="12" spans="1:10" ht="56.25" customHeight="1" x14ac:dyDescent="0.25">
      <c r="A12" s="37">
        <f>_xlfn.AGGREGATE(3,3,$C$6:C12)</f>
        <v>7</v>
      </c>
      <c r="B12" s="34" t="str">
        <f>Thuysan!O171</f>
        <v>Cá tra thương phẩm</v>
      </c>
      <c r="C12" s="34" t="str">
        <f>Thuysan!P171</f>
        <v>83/1123/07</v>
      </c>
      <c r="D12" s="125"/>
      <c r="E12" s="125"/>
      <c r="F12" s="34">
        <f>Thuysan!S171</f>
        <v>1.5</v>
      </c>
      <c r="G12" s="34" t="str">
        <f>Thuysan!T171</f>
        <v>Nhóm Quinolones, Pb, Hg, Cd</v>
      </c>
      <c r="H12" s="125"/>
      <c r="I12" s="125"/>
      <c r="J12" s="34" t="str">
        <f>Thuysan!W171</f>
        <v>Ao 11</v>
      </c>
    </row>
    <row r="13" spans="1:10" ht="34.5" customHeight="1" x14ac:dyDescent="0.25">
      <c r="A13" s="37">
        <f>_xlfn.AGGREGATE(3,3,$C$6:C13)</f>
        <v>8</v>
      </c>
      <c r="B13" s="34" t="str">
        <f>Thuysan!O172</f>
        <v>Cá tra thương phẩm</v>
      </c>
      <c r="C13" s="34" t="str">
        <f>Thuysan!P172</f>
        <v>83/1123/08</v>
      </c>
      <c r="D13" s="126"/>
      <c r="E13" s="126"/>
      <c r="F13" s="34">
        <f>Thuysan!S172</f>
        <v>1.5</v>
      </c>
      <c r="G13" s="34" t="str">
        <f>Thuysan!T172</f>
        <v>Chlorpyrifos, Fipronil, Pb, Hg, Cd</v>
      </c>
      <c r="H13" s="126"/>
      <c r="I13" s="126"/>
      <c r="J13" s="34" t="str">
        <f>Thuysan!W172</f>
        <v>Ao 18</v>
      </c>
    </row>
    <row r="14" spans="1:10" ht="53.25" customHeight="1" x14ac:dyDescent="0.25">
      <c r="A14" s="33"/>
      <c r="J14" s="33"/>
    </row>
    <row r="15" spans="1:10" ht="45.75" customHeight="1" x14ac:dyDescent="0.25">
      <c r="A15" s="33"/>
      <c r="J15" s="33"/>
    </row>
    <row r="16" spans="1:10" ht="30.75" customHeight="1" x14ac:dyDescent="0.25">
      <c r="A16" s="33"/>
      <c r="J16" s="33"/>
    </row>
    <row r="17" spans="1:10" ht="27.75" customHeight="1" x14ac:dyDescent="0.25">
      <c r="A17" s="33"/>
      <c r="J17" s="33"/>
    </row>
    <row r="18" spans="1:10" ht="46.5" customHeight="1" x14ac:dyDescent="0.25">
      <c r="A18" s="33"/>
      <c r="J18" s="33"/>
    </row>
    <row r="19" spans="1:10" ht="62.25" customHeight="1" x14ac:dyDescent="0.25">
      <c r="A19" s="33"/>
      <c r="J19" s="33"/>
    </row>
    <row r="20" spans="1:10" ht="30" customHeight="1" x14ac:dyDescent="0.25">
      <c r="A20" s="33"/>
      <c r="J20" s="33"/>
    </row>
    <row r="21" spans="1:10" ht="51" customHeight="1" x14ac:dyDescent="0.25">
      <c r="A21" s="33"/>
      <c r="J21" s="33"/>
    </row>
    <row r="22" spans="1:10" ht="20.25" customHeight="1" x14ac:dyDescent="0.25">
      <c r="A22" s="33"/>
      <c r="J22" s="33"/>
    </row>
    <row r="23" spans="1:10" ht="18" customHeight="1" x14ac:dyDescent="0.25">
      <c r="A23" s="33"/>
      <c r="J23" s="33"/>
    </row>
    <row r="24" spans="1:10" ht="45.75" customHeight="1" x14ac:dyDescent="0.25">
      <c r="A24" s="33"/>
      <c r="J24" s="33"/>
    </row>
    <row r="25" spans="1:10" ht="20.25" customHeight="1" x14ac:dyDescent="0.25">
      <c r="A25" s="33"/>
      <c r="J25" s="33"/>
    </row>
    <row r="26" spans="1:10" ht="16.5" customHeight="1" x14ac:dyDescent="0.25">
      <c r="A26" s="33"/>
      <c r="J26" s="33"/>
    </row>
    <row r="27" spans="1:10" ht="22.5" customHeight="1" x14ac:dyDescent="0.25">
      <c r="A27" s="33"/>
      <c r="J27" s="33"/>
    </row>
  </sheetData>
  <mergeCells count="15">
    <mergeCell ref="D6:D7"/>
    <mergeCell ref="I6:I7"/>
    <mergeCell ref="E6:E7"/>
    <mergeCell ref="H6:H7"/>
    <mergeCell ref="A1:J1"/>
    <mergeCell ref="A2:J2"/>
    <mergeCell ref="A3:J3"/>
    <mergeCell ref="D9:D10"/>
    <mergeCell ref="D11:D13"/>
    <mergeCell ref="H9:H10"/>
    <mergeCell ref="H11:H13"/>
    <mergeCell ref="I9:I10"/>
    <mergeCell ref="I11:I13"/>
    <mergeCell ref="E9:E10"/>
    <mergeCell ref="E11:E13"/>
  </mergeCells>
  <pageMargins left="0.34" right="0.19" top="0.43" bottom="0.3" header="0.3" footer="0.18"/>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opLeftCell="A5" zoomScale="85" zoomScaleNormal="85" workbookViewId="0">
      <selection activeCell="E17" sqref="E17:E20"/>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7.42578125" style="33" customWidth="1"/>
    <col min="6" max="6" width="6.28515625" style="33" customWidth="1"/>
    <col min="7" max="7" width="28.140625" style="33" customWidth="1"/>
    <col min="8" max="8" width="6.42578125" style="33" customWidth="1"/>
    <col min="9" max="9" width="10.85546875" style="33" customWidth="1"/>
    <col min="10" max="10" width="9.28515625" style="38" customWidth="1"/>
    <col min="11" max="11" width="11.42578125" style="33" customWidth="1"/>
    <col min="12" max="12" width="7.140625" style="33" customWidth="1"/>
    <col min="13"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596</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4" spans="1:10" ht="9" customHeight="1" x14ac:dyDescent="0.25"/>
    <row r="5" spans="1:10" ht="78.75" x14ac:dyDescent="0.25">
      <c r="A5" s="31" t="s">
        <v>175</v>
      </c>
      <c r="B5" s="32" t="s">
        <v>205</v>
      </c>
      <c r="C5" s="32" t="s">
        <v>371</v>
      </c>
      <c r="D5" s="32" t="s">
        <v>390</v>
      </c>
      <c r="E5" s="31" t="s">
        <v>391</v>
      </c>
      <c r="F5" s="32" t="s">
        <v>392</v>
      </c>
      <c r="G5" s="31" t="s">
        <v>361</v>
      </c>
      <c r="H5" s="32" t="s">
        <v>360</v>
      </c>
      <c r="I5" s="32" t="s">
        <v>359</v>
      </c>
      <c r="J5" s="31" t="s">
        <v>176</v>
      </c>
    </row>
    <row r="6" spans="1:10" ht="31.5" x14ac:dyDescent="0.25">
      <c r="A6" s="37">
        <f>_xlfn.AGGREGATE(3,3,$C$6:C6)</f>
        <v>1</v>
      </c>
      <c r="B6" s="34" t="str">
        <f>Thuysan!O150</f>
        <v>Tôm chân trắng thương phẩm</v>
      </c>
      <c r="C6" s="34" t="str">
        <f>Thuysan!P150</f>
        <v>83/1023/01</v>
      </c>
      <c r="D6" s="34" t="str">
        <f>Thuysan!Q150</f>
        <v>Ba Tri 83/01</v>
      </c>
      <c r="E6" s="34" t="str">
        <f>Thuysan!R150</f>
        <v>Trần Văn Ba - Ấp 7, Xã An Thủy</v>
      </c>
      <c r="F6" s="34">
        <f>Thuysan!S150</f>
        <v>1</v>
      </c>
      <c r="G6" s="34" t="str">
        <f>Thuysan!T150</f>
        <v>-</v>
      </c>
      <c r="H6" s="34" t="str">
        <f>Thuysan!U150</f>
        <v>10/10/2023</v>
      </c>
      <c r="I6" s="34" t="str">
        <f>Thuysan!V150</f>
        <v>Phạm Minh Thuận</v>
      </c>
      <c r="J6" s="34" t="str">
        <f>Thuysan!W150</f>
        <v/>
      </c>
    </row>
    <row r="7" spans="1:10" ht="34.5" customHeight="1" x14ac:dyDescent="0.25">
      <c r="A7" s="37">
        <f>_xlfn.AGGREGATE(3,3,$C$6:C7)</f>
        <v>2</v>
      </c>
      <c r="B7" s="34" t="str">
        <f>Thuysan!O151</f>
        <v>Tôm chân trắng thương phẩm</v>
      </c>
      <c r="C7" s="34" t="str">
        <f>Thuysan!P151</f>
        <v>83/1023/02</v>
      </c>
      <c r="D7" s="124" t="str">
        <f>Thuysan!Q151</f>
        <v>Bình Đại 83/02</v>
      </c>
      <c r="E7" s="34" t="str">
        <f>Thuysan!R151</f>
        <v>Võ Huỳnh Tiến Nghĩa  - Ấp 4, Xã Bình Thới</v>
      </c>
      <c r="F7" s="34">
        <f>Thuysan!S151</f>
        <v>1</v>
      </c>
      <c r="G7" s="34" t="str">
        <f>Thuysan!T151</f>
        <v>-</v>
      </c>
      <c r="H7" s="124" t="str">
        <f>Thuysan!U151</f>
        <v>11/10/2023</v>
      </c>
      <c r="I7" s="124" t="str">
        <f>Thuysan!V151</f>
        <v>Cao Quang Nguyên</v>
      </c>
      <c r="J7" s="34" t="str">
        <f>Thuysan!W151</f>
        <v/>
      </c>
    </row>
    <row r="8" spans="1:10" ht="15.75" x14ac:dyDescent="0.25">
      <c r="A8" s="37">
        <f>_xlfn.AGGREGATE(3,3,$C$6:C8)</f>
        <v>3</v>
      </c>
      <c r="B8" s="34" t="str">
        <f>Thuysan!O152</f>
        <v>Cá tra thương phẩm</v>
      </c>
      <c r="C8" s="34" t="str">
        <f>Thuysan!P152</f>
        <v>83/1023/03</v>
      </c>
      <c r="D8" s="125"/>
      <c r="E8" s="124" t="str">
        <f>Thuysan!R152</f>
        <v>Công ty CP Gò Đàng - Ấp Việc Giữa, Xã Thới Lai</v>
      </c>
      <c r="F8" s="34">
        <f>Thuysan!S152</f>
        <v>1.5</v>
      </c>
      <c r="G8" s="34" t="str">
        <f>Thuysan!T152</f>
        <v>Fosfomycin, Pb, Hg, Cd</v>
      </c>
      <c r="H8" s="125"/>
      <c r="I8" s="125"/>
      <c r="J8" s="34" t="str">
        <f>Thuysan!W152</f>
        <v/>
      </c>
    </row>
    <row r="9" spans="1:10" ht="15.75" customHeight="1" x14ac:dyDescent="0.25">
      <c r="A9" s="37">
        <f>_xlfn.AGGREGATE(3,3,$C$6:C9)</f>
        <v>4</v>
      </c>
      <c r="B9" s="34" t="str">
        <f>Thuysan!O153</f>
        <v>Cá tra thương phẩm</v>
      </c>
      <c r="C9" s="34" t="str">
        <f>Thuysan!P153</f>
        <v>83/1023/04</v>
      </c>
      <c r="D9" s="126"/>
      <c r="E9" s="126"/>
      <c r="F9" s="34">
        <f>Thuysan!S153</f>
        <v>1.5</v>
      </c>
      <c r="G9" s="34" t="str">
        <f>Thuysan!T153</f>
        <v>Azadirachtin, Pb, Hg, Cd</v>
      </c>
      <c r="H9" s="126"/>
      <c r="I9" s="126"/>
      <c r="J9" s="34" t="str">
        <f>Thuysan!W153</f>
        <v/>
      </c>
    </row>
    <row r="10" spans="1:10" ht="47.25" x14ac:dyDescent="0.25">
      <c r="A10" s="37">
        <f>_xlfn.AGGREGATE(3,3,$C$6:C10)</f>
        <v>5</v>
      </c>
      <c r="B10" s="34" t="str">
        <f>Thuysan!O154</f>
        <v>Tôm sú quảng canh</v>
      </c>
      <c r="C10" s="34" t="str">
        <f>Thuysan!P154</f>
        <v>83/1023/05</v>
      </c>
      <c r="D10" s="34" t="str">
        <f>Thuysan!Q154</f>
        <v>Thạnh Phú 83/03</v>
      </c>
      <c r="E10" s="34" t="str">
        <f>Thuysan!R154</f>
        <v>Đặng Thái Bình - Ấp An Định, Xã An Nhơn</v>
      </c>
      <c r="F10" s="34">
        <f>Thuysan!S154</f>
        <v>1</v>
      </c>
      <c r="G10" s="34" t="str">
        <f>Thuysan!T154</f>
        <v>Fosfomycin</v>
      </c>
      <c r="H10" s="34" t="str">
        <f>Thuysan!U154</f>
        <v>12/10/2023</v>
      </c>
      <c r="I10" s="34" t="str">
        <f>Thuysan!V154</f>
        <v>Cao Quang Nguyên</v>
      </c>
      <c r="J10" s="34" t="str">
        <f>Thuysan!W154</f>
        <v/>
      </c>
    </row>
    <row r="11" spans="1:10" ht="24.75" customHeight="1" x14ac:dyDescent="0.25">
      <c r="A11" s="37">
        <f>_xlfn.AGGREGATE(3,3,$C$6:C11)</f>
        <v>6</v>
      </c>
      <c r="B11" s="34" t="str">
        <f>Thuysan!O155</f>
        <v>Cá tra thương phẩm</v>
      </c>
      <c r="C11" s="34" t="str">
        <f>Thuysan!P155</f>
        <v>83/1023/06</v>
      </c>
      <c r="D11" s="124" t="str">
        <f>Thuysan!Q155</f>
        <v>Mỏ Cày 83/04</v>
      </c>
      <c r="E11" s="124" t="str">
        <f>Thuysan!R155</f>
        <v>Công ty CP Gò Đàng - Ấp Thành Long, Xã Thành Thới A</v>
      </c>
      <c r="F11" s="34">
        <f>Thuysan!S155</f>
        <v>1.5</v>
      </c>
      <c r="G11" s="34" t="str">
        <f>Thuysan!T155</f>
        <v>Florfenicol, Pb, Hg, Cd</v>
      </c>
      <c r="H11" s="124" t="str">
        <f>Thuysan!U155</f>
        <v>11/10/2023</v>
      </c>
      <c r="I11" s="124" t="str">
        <f>Thuysan!V155</f>
        <v>Phạm Minh Thuận</v>
      </c>
      <c r="J11" s="34" t="str">
        <f>Thuysan!W155</f>
        <v/>
      </c>
    </row>
    <row r="12" spans="1:10" ht="25.5" customHeight="1" x14ac:dyDescent="0.25">
      <c r="A12" s="37">
        <f>_xlfn.AGGREGATE(3,3,$C$6:C12)</f>
        <v>7</v>
      </c>
      <c r="B12" s="34" t="str">
        <f>Thuysan!O156</f>
        <v>Cá tra thương phẩm</v>
      </c>
      <c r="C12" s="34" t="str">
        <f>Thuysan!P156</f>
        <v>83/1023/07</v>
      </c>
      <c r="D12" s="126"/>
      <c r="E12" s="126"/>
      <c r="F12" s="34">
        <f>Thuysan!S156</f>
        <v>1.5</v>
      </c>
      <c r="G12" s="34" t="str">
        <f>Thuysan!T156</f>
        <v>Trimethoprim, Pb, Hg, Cd</v>
      </c>
      <c r="H12" s="126"/>
      <c r="I12" s="126"/>
      <c r="J12" s="34" t="str">
        <f>Thuysan!W156</f>
        <v/>
      </c>
    </row>
    <row r="13" spans="1:10" ht="26.25" customHeight="1" x14ac:dyDescent="0.25">
      <c r="A13" s="37">
        <f>_xlfn.AGGREGATE(3,3,$C$6:C13)</f>
        <v>8</v>
      </c>
      <c r="B13" s="34" t="str">
        <f>Thuysan!O157</f>
        <v>Cá tra thương phẩm</v>
      </c>
      <c r="C13" s="34" t="str">
        <f>Thuysan!P157</f>
        <v>83/1023/08</v>
      </c>
      <c r="D13" s="124" t="str">
        <f>Thuysan!Q157</f>
        <v>Châu Thành 83/05</v>
      </c>
      <c r="E13" s="124" t="str">
        <f>Thuysan!R157</f>
        <v>Công ty CPTS Hải Hương - Cồn Tiên Lợi, Xã Tiên Long</v>
      </c>
      <c r="F13" s="34">
        <f>Thuysan!S157</f>
        <v>1.5</v>
      </c>
      <c r="G13" s="34" t="str">
        <f>Thuysan!T157</f>
        <v>Florfenicol, Pb, Hg, Cd</v>
      </c>
      <c r="H13" s="124" t="str">
        <f>Thuysan!U157</f>
        <v>11/10/2023</v>
      </c>
      <c r="I13" s="124" t="str">
        <f>Thuysan!V157</f>
        <v>Nguyễn Duy Khanh</v>
      </c>
      <c r="J13" s="34" t="str">
        <f>Thuysan!W157</f>
        <v/>
      </c>
    </row>
    <row r="14" spans="1:10" ht="15.75" x14ac:dyDescent="0.25">
      <c r="A14" s="37">
        <f>_xlfn.AGGREGATE(3,3,$C$6:C14)</f>
        <v>9</v>
      </c>
      <c r="B14" s="34" t="str">
        <f>Thuysan!O158</f>
        <v>Cá tra thương phẩm</v>
      </c>
      <c r="C14" s="34" t="str">
        <f>Thuysan!P158</f>
        <v>83/1023/09</v>
      </c>
      <c r="D14" s="126"/>
      <c r="E14" s="126"/>
      <c r="F14" s="34">
        <f>Thuysan!S158</f>
        <v>1.5</v>
      </c>
      <c r="G14" s="34" t="str">
        <f>Thuysan!T158</f>
        <v>Fosfomycin, Pb, Hg, Cd</v>
      </c>
      <c r="H14" s="126"/>
      <c r="I14" s="126"/>
      <c r="J14" s="34" t="str">
        <f>Thuysan!W158</f>
        <v/>
      </c>
    </row>
    <row r="15" spans="1:10" ht="21.75" customHeight="1" x14ac:dyDescent="0.25">
      <c r="A15" s="37">
        <f>_xlfn.AGGREGATE(3,3,$C$6:C15)</f>
        <v>10</v>
      </c>
      <c r="B15" s="34" t="str">
        <f>Thuysan!O159</f>
        <v>Cá tra thương phẩm</v>
      </c>
      <c r="C15" s="34" t="str">
        <f>Thuysan!P159</f>
        <v>83/1023/10</v>
      </c>
      <c r="D15" s="124" t="str">
        <f>Thuysan!Q159</f>
        <v>Giồng Trôm 83/06</v>
      </c>
      <c r="E15" s="124" t="str">
        <f>Thuysan!R159</f>
        <v>Công ty CP Gò Đàng - Ấp 5, Xã Thạnh Phú Đông</v>
      </c>
      <c r="F15" s="34">
        <f>Thuysan!S159</f>
        <v>1.5</v>
      </c>
      <c r="G15" s="34" t="str">
        <f>Thuysan!T159</f>
        <v>Levamisol, Pb, Hg, Cd</v>
      </c>
      <c r="H15" s="124" t="str">
        <f>Thuysan!U159</f>
        <v>12/10/2023</v>
      </c>
      <c r="I15" s="124" t="str">
        <f>Thuysan!V159</f>
        <v>Phạm Minh Thuận</v>
      </c>
      <c r="J15" s="34" t="str">
        <f>Thuysan!W159</f>
        <v/>
      </c>
    </row>
    <row r="16" spans="1:10" ht="22.5" customHeight="1" x14ac:dyDescent="0.25">
      <c r="A16" s="37">
        <f>_xlfn.AGGREGATE(3,3,$C$6:C16)</f>
        <v>11</v>
      </c>
      <c r="B16" s="34" t="str">
        <f>Thuysan!O160</f>
        <v>Cá tra thương phẩm</v>
      </c>
      <c r="C16" s="34" t="str">
        <f>Thuysan!P160</f>
        <v>83/1023/11</v>
      </c>
      <c r="D16" s="126"/>
      <c r="E16" s="126"/>
      <c r="F16" s="34">
        <f>Thuysan!S160</f>
        <v>1.5</v>
      </c>
      <c r="G16" s="34" t="str">
        <f>Thuysan!T160</f>
        <v>Fenbendazole, Pb, Hg, Cd</v>
      </c>
      <c r="H16" s="126"/>
      <c r="I16" s="126"/>
      <c r="J16" s="34" t="str">
        <f>Thuysan!W160</f>
        <v/>
      </c>
    </row>
    <row r="17" spans="1:10" ht="32.25" customHeight="1" x14ac:dyDescent="0.25">
      <c r="A17" s="37">
        <f>_xlfn.AGGREGATE(3,3,$C$6:C17)</f>
        <v>12</v>
      </c>
      <c r="B17" s="34" t="str">
        <f>Thuysan!O161</f>
        <v>Cá tra thương phẩm</v>
      </c>
      <c r="C17" s="34" t="str">
        <f>Thuysan!P161</f>
        <v>83/1023/12</v>
      </c>
      <c r="D17" s="124" t="str">
        <f>Thuysan!Q161</f>
        <v>Chợ Lách 83/07</v>
      </c>
      <c r="E17" s="124" t="str">
        <f>Thuysan!R161</f>
        <v>Công ty TNHH CBTPXK Vạn Đức Tiền Giang - Ấp Bình An, Xã Hòa Nghĩa</v>
      </c>
      <c r="F17" s="34">
        <f>Thuysan!S161</f>
        <v>1.5</v>
      </c>
      <c r="G17" s="34" t="str">
        <f>Thuysan!T161</f>
        <v>Chloramphenicol, Pb, Hg, Cd</v>
      </c>
      <c r="H17" s="124" t="str">
        <f>Thuysan!U161</f>
        <v>12/10/2023</v>
      </c>
      <c r="I17" s="124" t="str">
        <f>Thuysan!V161</f>
        <v>Nguyễn Duy Khanh</v>
      </c>
      <c r="J17" s="34" t="str">
        <f>Thuysan!W161</f>
        <v/>
      </c>
    </row>
    <row r="18" spans="1:10" ht="15.75" x14ac:dyDescent="0.25">
      <c r="A18" s="37">
        <f>_xlfn.AGGREGATE(3,3,$C$6:C18)</f>
        <v>13</v>
      </c>
      <c r="B18" s="34" t="str">
        <f>Thuysan!O162</f>
        <v>Cá tra thương phẩm</v>
      </c>
      <c r="C18" s="34" t="str">
        <f>Thuysan!P162</f>
        <v>83/1023/13</v>
      </c>
      <c r="D18" s="125"/>
      <c r="E18" s="125"/>
      <c r="F18" s="34">
        <f>Thuysan!S162</f>
        <v>1.5</v>
      </c>
      <c r="G18" s="34" t="str">
        <f>Thuysan!T162</f>
        <v>Nitrofurans, Pb, Hg, Cd</v>
      </c>
      <c r="H18" s="125"/>
      <c r="I18" s="125"/>
      <c r="J18" s="34" t="str">
        <f>Thuysan!W162</f>
        <v/>
      </c>
    </row>
    <row r="19" spans="1:10" ht="31.5" x14ac:dyDescent="0.25">
      <c r="A19" s="37">
        <f>_xlfn.AGGREGATE(3,3,$C$6:C19)</f>
        <v>14</v>
      </c>
      <c r="B19" s="34" t="str">
        <f>Thuysan!O163</f>
        <v>Cá tra thương phẩm</v>
      </c>
      <c r="C19" s="34" t="str">
        <f>Thuysan!P163</f>
        <v>83/1023/14</v>
      </c>
      <c r="D19" s="125"/>
      <c r="E19" s="125"/>
      <c r="F19" s="34">
        <f>Thuysan!S163</f>
        <v>1.5</v>
      </c>
      <c r="G19" s="34" t="str">
        <f>Thuysan!T163</f>
        <v>Thuốc trừ sâu gốc Chlor hữu cơ, Pb, Hg, Cd</v>
      </c>
      <c r="H19" s="125"/>
      <c r="I19" s="125"/>
      <c r="J19" s="34" t="str">
        <f>Thuysan!W163</f>
        <v/>
      </c>
    </row>
    <row r="20" spans="1:10" ht="15.75" x14ac:dyDescent="0.25">
      <c r="A20" s="37">
        <f>_xlfn.AGGREGATE(3,3,$C$6:C20)</f>
        <v>15</v>
      </c>
      <c r="B20" s="34" t="str">
        <f>Thuysan!O164</f>
        <v>Cá tra thương phẩm</v>
      </c>
      <c r="C20" s="34" t="str">
        <f>Thuysan!P164</f>
        <v>83/1023/15</v>
      </c>
      <c r="D20" s="126"/>
      <c r="E20" s="126"/>
      <c r="F20" s="34">
        <f>Thuysan!S164</f>
        <v>1.5</v>
      </c>
      <c r="G20" s="34" t="str">
        <f>Thuysan!T164</f>
        <v>-</v>
      </c>
      <c r="H20" s="126"/>
      <c r="I20" s="126"/>
      <c r="J20" s="34" t="str">
        <f>Thuysan!W164</f>
        <v/>
      </c>
    </row>
    <row r="21" spans="1:10" ht="17.25" customHeight="1" x14ac:dyDescent="0.25">
      <c r="A21" s="33"/>
      <c r="J21" s="33"/>
    </row>
    <row r="22" spans="1:10" ht="20.25" customHeight="1" x14ac:dyDescent="0.25">
      <c r="A22" s="33"/>
      <c r="J22" s="33"/>
    </row>
    <row r="23" spans="1:10" x14ac:dyDescent="0.25">
      <c r="A23" s="33"/>
      <c r="J23" s="33"/>
    </row>
    <row r="24" spans="1:10" ht="15.75" customHeight="1" x14ac:dyDescent="0.25">
      <c r="A24" s="33"/>
      <c r="J24" s="33"/>
    </row>
    <row r="25" spans="1:10" ht="20.25" customHeight="1" x14ac:dyDescent="0.25">
      <c r="A25" s="33"/>
      <c r="J25" s="33"/>
    </row>
    <row r="26" spans="1:10" ht="16.5" customHeight="1" x14ac:dyDescent="0.25">
      <c r="A26" s="33"/>
      <c r="J26" s="33"/>
    </row>
    <row r="27" spans="1:10" x14ac:dyDescent="0.25">
      <c r="A27" s="33"/>
      <c r="J27" s="33"/>
    </row>
    <row r="28" spans="1:10" x14ac:dyDescent="0.25">
      <c r="A28" s="33"/>
      <c r="J28" s="33"/>
    </row>
    <row r="29" spans="1:10" ht="18.75" customHeight="1" x14ac:dyDescent="0.25">
      <c r="A29" s="33"/>
      <c r="J29" s="33"/>
    </row>
    <row r="30" spans="1:10" x14ac:dyDescent="0.25">
      <c r="A30" s="33"/>
      <c r="B30" s="43"/>
      <c r="J30" s="33"/>
    </row>
  </sheetData>
  <mergeCells count="23">
    <mergeCell ref="H13:H14"/>
    <mergeCell ref="H11:H12"/>
    <mergeCell ref="H7:H9"/>
    <mergeCell ref="A1:J1"/>
    <mergeCell ref="A2:J2"/>
    <mergeCell ref="A3:J3"/>
    <mergeCell ref="D7:D9"/>
    <mergeCell ref="D17:D20"/>
    <mergeCell ref="I17:I20"/>
    <mergeCell ref="H17:H20"/>
    <mergeCell ref="E8:E9"/>
    <mergeCell ref="E11:E12"/>
    <mergeCell ref="E13:E14"/>
    <mergeCell ref="E15:E16"/>
    <mergeCell ref="E17:E20"/>
    <mergeCell ref="D11:D12"/>
    <mergeCell ref="D13:D14"/>
    <mergeCell ref="D15:D16"/>
    <mergeCell ref="I7:I9"/>
    <mergeCell ref="I11:I12"/>
    <mergeCell ref="I13:I14"/>
    <mergeCell ref="I15:I16"/>
    <mergeCell ref="H15:H16"/>
  </mergeCells>
  <pageMargins left="0.34" right="0.19" top="0.43" bottom="0.3" header="0.3" footer="0.18"/>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85" zoomScaleNormal="85" workbookViewId="0">
      <selection activeCell="B6" sqref="B6"/>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543</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15.75" x14ac:dyDescent="0.25">
      <c r="A6" s="37">
        <f>_xlfn.AGGREGATE(3,3,$C$6:C6)</f>
        <v>1</v>
      </c>
      <c r="B6" s="34" t="str">
        <f>Thuysan!O133</f>
        <v>Tôm sú thương phẩm</v>
      </c>
      <c r="C6" s="34" t="str">
        <f>Thuysan!P133</f>
        <v>83/0923/01</v>
      </c>
      <c r="D6" s="124" t="str">
        <f>Thuysan!Q133</f>
        <v>Ba Tri 83/01</v>
      </c>
      <c r="E6" s="124" t="str">
        <f>Thuysan!R133</f>
        <v>Phạm Văn Tâm - Ấp 7, Xã An Thủy</v>
      </c>
      <c r="F6" s="34">
        <f>Thuysan!S133</f>
        <v>1</v>
      </c>
      <c r="G6" s="34" t="str">
        <f>Thuysan!T133</f>
        <v>-</v>
      </c>
      <c r="H6" s="124" t="str">
        <f>Thuysan!U133</f>
        <v>18/09/2023</v>
      </c>
      <c r="I6" s="124" t="str">
        <f>Thuysan!V133</f>
        <v>Phạm Minh Thuận</v>
      </c>
      <c r="J6" s="34" t="str">
        <f>Thuysan!W133</f>
        <v>Ao 2</v>
      </c>
    </row>
    <row r="7" spans="1:10" ht="31.5" customHeight="1" x14ac:dyDescent="0.25">
      <c r="A7" s="37">
        <f>_xlfn.AGGREGATE(3,3,$C$6:C7)</f>
        <v>2</v>
      </c>
      <c r="B7" s="34" t="str">
        <f>Thuysan!O134</f>
        <v>Tôm chân trắng thương phẩm</v>
      </c>
      <c r="C7" s="34" t="str">
        <f>Thuysan!P134</f>
        <v>83/0923/02</v>
      </c>
      <c r="D7" s="125"/>
      <c r="E7" s="126"/>
      <c r="F7" s="34">
        <f>Thuysan!S134</f>
        <v>1</v>
      </c>
      <c r="G7" s="34" t="str">
        <f>Thuysan!T134</f>
        <v>Amoxicillin</v>
      </c>
      <c r="H7" s="125"/>
      <c r="I7" s="125"/>
      <c r="J7" s="34" t="str">
        <f>Thuysan!W134</f>
        <v>Ao 1</v>
      </c>
    </row>
    <row r="8" spans="1:10" ht="31.5" x14ac:dyDescent="0.25">
      <c r="A8" s="37">
        <f>_xlfn.AGGREGATE(3,3,$C$6:C8)</f>
        <v>3</v>
      </c>
      <c r="B8" s="34" t="str">
        <f>Thuysan!O135</f>
        <v>Cá tra thương phẩm</v>
      </c>
      <c r="C8" s="34" t="str">
        <f>Thuysan!P135</f>
        <v>83/0923/03</v>
      </c>
      <c r="D8" s="126"/>
      <c r="E8" s="34" t="str">
        <f>Thuysan!R135</f>
        <v>Công ty CP Gò Đàng - Ấp 4, Xã Tân Xuân</v>
      </c>
      <c r="F8" s="34">
        <f>Thuysan!S135</f>
        <v>1.5</v>
      </c>
      <c r="G8" s="34" t="str">
        <f>Thuysan!T135</f>
        <v>Trifluralin, Pb, Hg, Cd</v>
      </c>
      <c r="H8" s="126"/>
      <c r="I8" s="126"/>
      <c r="J8" s="34" t="str">
        <f>Thuysan!W135</f>
        <v>Ao 1</v>
      </c>
    </row>
    <row r="9" spans="1:10" ht="31.5" x14ac:dyDescent="0.25">
      <c r="A9" s="37">
        <f>_xlfn.AGGREGATE(3,3,$C$6:C9)</f>
        <v>4</v>
      </c>
      <c r="B9" s="34" t="str">
        <f>Thuysan!O136</f>
        <v>Tôm chân trắng thương phẩm</v>
      </c>
      <c r="C9" s="34" t="str">
        <f>Thuysan!P136</f>
        <v>83/0923/04</v>
      </c>
      <c r="D9" s="124" t="str">
        <f>Thuysan!Q136</f>
        <v>Bình Đại 83/02</v>
      </c>
      <c r="E9" s="34" t="str">
        <f>Thuysan!R136</f>
        <v>Nguyễn Thị Trang - ấp 3, Xã Thạnh Trị</v>
      </c>
      <c r="F9" s="34">
        <f>Thuysan!S136</f>
        <v>1</v>
      </c>
      <c r="G9" s="34" t="str">
        <f>Thuysan!T136</f>
        <v>Nitrofurans</v>
      </c>
      <c r="H9" s="124" t="str">
        <f>Thuysan!U136</f>
        <v>18/09/2023</v>
      </c>
      <c r="I9" s="124" t="str">
        <f>Thuysan!V136</f>
        <v>Cao Quang Nguyên</v>
      </c>
      <c r="J9" s="34" t="str">
        <f>Thuysan!W136</f>
        <v>Ao 1</v>
      </c>
    </row>
    <row r="10" spans="1:10" ht="31.5" x14ac:dyDescent="0.25">
      <c r="A10" s="37">
        <f>_xlfn.AGGREGATE(3,3,$C$6:C10)</f>
        <v>5</v>
      </c>
      <c r="B10" s="34" t="str">
        <f>Thuysan!O137</f>
        <v>Cá tra thương phẩm</v>
      </c>
      <c r="C10" s="34" t="str">
        <f>Thuysan!P137</f>
        <v>83/0923/05</v>
      </c>
      <c r="D10" s="125"/>
      <c r="E10" s="124" t="str">
        <f>Thuysan!R137</f>
        <v>Công ty CP Gò Đàng - Ấp Hưng Nhơn, Xã Châu Hưng</v>
      </c>
      <c r="F10" s="34">
        <f>Thuysan!S137</f>
        <v>1.5</v>
      </c>
      <c r="G10" s="34" t="str">
        <f>Thuysan!T137</f>
        <v>Nhóm Quinolones, Pb, Hg, Cd</v>
      </c>
      <c r="H10" s="125"/>
      <c r="I10" s="125"/>
      <c r="J10" s="34" t="str">
        <f>Thuysan!W137</f>
        <v>Ao E1</v>
      </c>
    </row>
    <row r="11" spans="1:10" ht="20.25" customHeight="1" x14ac:dyDescent="0.25">
      <c r="A11" s="37">
        <f>_xlfn.AGGREGATE(3,3,$C$6:C11)</f>
        <v>6</v>
      </c>
      <c r="B11" s="34" t="str">
        <f>Thuysan!O138</f>
        <v>Cá tra thương phẩm</v>
      </c>
      <c r="C11" s="34" t="str">
        <f>Thuysan!P138</f>
        <v>83/0923/06</v>
      </c>
      <c r="D11" s="126"/>
      <c r="E11" s="126"/>
      <c r="F11" s="34">
        <f>Thuysan!S138</f>
        <v>1.5</v>
      </c>
      <c r="G11" s="34" t="str">
        <f>Thuysan!T138</f>
        <v>Ormetoprim, Pb, Hg, Cd</v>
      </c>
      <c r="H11" s="126"/>
      <c r="I11" s="126"/>
      <c r="J11" s="34" t="str">
        <f>Thuysan!W138</f>
        <v>Ao E2</v>
      </c>
    </row>
    <row r="12" spans="1:10" ht="30.75" customHeight="1" x14ac:dyDescent="0.25">
      <c r="A12" s="37">
        <f>_xlfn.AGGREGATE(3,3,$C$6:C12)</f>
        <v>7</v>
      </c>
      <c r="B12" s="34" t="str">
        <f>Thuysan!O139</f>
        <v>Tôm sú thương phẩm</v>
      </c>
      <c r="C12" s="34" t="str">
        <f>Thuysan!P139</f>
        <v>83/0923/07</v>
      </c>
      <c r="D12" s="124" t="str">
        <f>Thuysan!Q139</f>
        <v>Thạnh Phú 83/03</v>
      </c>
      <c r="E12" s="124" t="str">
        <f>Thuysan!R139</f>
        <v>Phạm Văn Công - Ấp 1, Xã Giao Thạnh</v>
      </c>
      <c r="F12" s="34">
        <f>Thuysan!S139</f>
        <v>1</v>
      </c>
      <c r="G12" s="34" t="str">
        <f>Thuysan!T139</f>
        <v>-</v>
      </c>
      <c r="H12" s="124" t="str">
        <f>Thuysan!U139</f>
        <v>19/09/2023</v>
      </c>
      <c r="I12" s="124" t="str">
        <f>Thuysan!V139</f>
        <v>Cao Quang Nguyên</v>
      </c>
      <c r="J12" s="34" t="str">
        <f>Thuysan!W139</f>
        <v>Ao 1</v>
      </c>
    </row>
    <row r="13" spans="1:10" ht="30" customHeight="1" x14ac:dyDescent="0.25">
      <c r="A13" s="37">
        <f>_xlfn.AGGREGATE(3,3,$C$6:C13)</f>
        <v>8</v>
      </c>
      <c r="B13" s="34" t="str">
        <f>Thuysan!O140</f>
        <v>Tôm chân trắng thương phẩm</v>
      </c>
      <c r="C13" s="34" t="str">
        <f>Thuysan!P140</f>
        <v>83/0923/08</v>
      </c>
      <c r="D13" s="125"/>
      <c r="E13" s="126"/>
      <c r="F13" s="34">
        <f>Thuysan!S140</f>
        <v>1</v>
      </c>
      <c r="G13" s="34" t="str">
        <f>Thuysan!T140</f>
        <v>-</v>
      </c>
      <c r="H13" s="125"/>
      <c r="I13" s="125"/>
      <c r="J13" s="34" t="str">
        <f>Thuysan!W140</f>
        <v>Ao 3</v>
      </c>
    </row>
    <row r="14" spans="1:10" ht="31.5" x14ac:dyDescent="0.25">
      <c r="A14" s="37">
        <f>_xlfn.AGGREGATE(3,3,$C$6:C14)</f>
        <v>9</v>
      </c>
      <c r="B14" s="34" t="str">
        <f>Thuysan!O141</f>
        <v>Tôm sú quảng canh</v>
      </c>
      <c r="C14" s="34" t="str">
        <f>Thuysan!P141</f>
        <v>83/0923/09</v>
      </c>
      <c r="D14" s="126"/>
      <c r="E14" s="34" t="str">
        <f>Thuysan!R141</f>
        <v>Bùi Hiếu Hiền - Ấp Thạnh Thới B, Xã Thạnh Hải</v>
      </c>
      <c r="F14" s="34">
        <f>Thuysan!S141</f>
        <v>1</v>
      </c>
      <c r="G14" s="34" t="str">
        <f>Thuysan!T141</f>
        <v>Florfenicol</v>
      </c>
      <c r="H14" s="126"/>
      <c r="I14" s="126"/>
      <c r="J14" s="34" t="str">
        <f>Thuysan!W141</f>
        <v/>
      </c>
    </row>
    <row r="15" spans="1:10" ht="31.5" x14ac:dyDescent="0.25">
      <c r="A15" s="37">
        <f>_xlfn.AGGREGATE(3,3,$C$6:C15)</f>
        <v>10</v>
      </c>
      <c r="B15" s="34" t="str">
        <f>Thuysan!O142</f>
        <v>Cá tra thương phẩm</v>
      </c>
      <c r="C15" s="34" t="str">
        <f>Thuysan!P142</f>
        <v>83/0923/10</v>
      </c>
      <c r="D15" s="124" t="str">
        <f>Thuysan!Q142</f>
        <v>Mỏ Cày 83/04</v>
      </c>
      <c r="E15" s="124" t="str">
        <f>Thuysan!R142</f>
        <v>Công ty CPTS Hải Hương - Ấp Thành Long, Xã Thành Thới A</v>
      </c>
      <c r="F15" s="34">
        <f>Thuysan!S142</f>
        <v>1.5</v>
      </c>
      <c r="G15" s="34" t="str">
        <f>Thuysan!T142</f>
        <v>Chlorpyrifos, Fipronil, Pb, Hg, Cd</v>
      </c>
      <c r="H15" s="124" t="str">
        <f>Thuysan!U142</f>
        <v>19/09/2023</v>
      </c>
      <c r="I15" s="124" t="str">
        <f>Thuysan!V142</f>
        <v>Phạm Minh Thuận</v>
      </c>
      <c r="J15" s="34" t="str">
        <f>Thuysan!W142</f>
        <v>Ao 6</v>
      </c>
    </row>
    <row r="16" spans="1:10" ht="63" x14ac:dyDescent="0.25">
      <c r="A16" s="37">
        <f>_xlfn.AGGREGATE(3,3,$C$6:C16)</f>
        <v>11</v>
      </c>
      <c r="B16" s="34" t="str">
        <f>Thuysan!O143</f>
        <v>Cá tra thương phẩm</v>
      </c>
      <c r="C16" s="34" t="str">
        <f>Thuysan!P143</f>
        <v>83/0923/11</v>
      </c>
      <c r="D16" s="126"/>
      <c r="E16" s="126"/>
      <c r="F16" s="34">
        <f>Thuysan!S143</f>
        <v>1.5</v>
      </c>
      <c r="G16" s="34" t="str">
        <f>Thuysan!T143</f>
        <v>Malachite Green, Leuco Malachite Green, Crystal Violet, Leuco Crystal Violet, Pb, Hg, Cd</v>
      </c>
      <c r="H16" s="126"/>
      <c r="I16" s="126"/>
      <c r="J16" s="34" t="str">
        <f>Thuysan!W143</f>
        <v>Ao 10</v>
      </c>
    </row>
    <row r="17" spans="1:10" ht="47.25" x14ac:dyDescent="0.25">
      <c r="A17" s="37">
        <f>_xlfn.AGGREGATE(3,3,$C$6:C17)</f>
        <v>12</v>
      </c>
      <c r="B17" s="34" t="str">
        <f>Thuysan!O144</f>
        <v>Cá tra thương phẩm</v>
      </c>
      <c r="C17" s="34" t="str">
        <f>Thuysan!P144</f>
        <v>83/0923/12</v>
      </c>
      <c r="D17" s="124" t="str">
        <f>Thuysan!Q144</f>
        <v>Châu Thành 83/05</v>
      </c>
      <c r="E17" s="124" t="str">
        <f>Thuysan!R144</f>
        <v>Công ty CP Gò Đàng - Ấp Phú Luông, Xã Tân Phú</v>
      </c>
      <c r="F17" s="34">
        <f>Thuysan!S144</f>
        <v>1.5</v>
      </c>
      <c r="G17" s="34" t="str">
        <f>Thuysan!T144</f>
        <v>Ivermectin, Praziquantel, Trichlorfon, Avermectin B1a, Pb, Hg, Cd</v>
      </c>
      <c r="H17" s="124" t="str">
        <f>Thuysan!U144</f>
        <v>18/09/2023</v>
      </c>
      <c r="I17" s="124" t="str">
        <f>Thuysan!V144</f>
        <v>Phạm Văn Lâm</v>
      </c>
      <c r="J17" s="34" t="str">
        <f>Thuysan!W144</f>
        <v>Ao B3</v>
      </c>
    </row>
    <row r="18" spans="1:10" ht="15.75" x14ac:dyDescent="0.25">
      <c r="A18" s="37">
        <f>_xlfn.AGGREGATE(3,3,$C$6:C18)</f>
        <v>13</v>
      </c>
      <c r="B18" s="34" t="str">
        <f>Thuysan!O145</f>
        <v>Cá tra thương phẩm</v>
      </c>
      <c r="C18" s="34" t="str">
        <f>Thuysan!P145</f>
        <v>83/0923/13</v>
      </c>
      <c r="D18" s="126"/>
      <c r="E18" s="126"/>
      <c r="F18" s="34">
        <f>Thuysan!S145</f>
        <v>1.5</v>
      </c>
      <c r="G18" s="34" t="str">
        <f>Thuysan!T145</f>
        <v>Trifluralin, Pb, Hg, Cd</v>
      </c>
      <c r="H18" s="126"/>
      <c r="I18" s="126"/>
      <c r="J18" s="34" t="str">
        <f>Thuysan!W145</f>
        <v>Ao B4</v>
      </c>
    </row>
    <row r="19" spans="1:10" ht="28.5" customHeight="1" x14ac:dyDescent="0.25">
      <c r="A19" s="37">
        <f>_xlfn.AGGREGATE(3,3,$C$6:C19)</f>
        <v>14</v>
      </c>
      <c r="B19" s="34" t="str">
        <f>Thuysan!O146</f>
        <v>Cá tra thương phẩm</v>
      </c>
      <c r="C19" s="34" t="str">
        <f>Thuysan!P146</f>
        <v>83/0923/14</v>
      </c>
      <c r="D19" s="124" t="str">
        <f>Thuysan!Q146</f>
        <v>Giồng Trôm 83/06</v>
      </c>
      <c r="E19" s="124" t="str">
        <f>Thuysan!R146</f>
        <v>Công ty CP Gò Đàng - Ấp 1, Xã Sơn Phú</v>
      </c>
      <c r="F19" s="34">
        <f>Thuysan!S146</f>
        <v>1.5</v>
      </c>
      <c r="G19" s="34" t="str">
        <f>Thuysan!T146</f>
        <v>Fosfomycin, Pb, Hg, Cd</v>
      </c>
      <c r="H19" s="124" t="str">
        <f>Thuysan!U146</f>
        <v>20/09/2023</v>
      </c>
      <c r="I19" s="124" t="str">
        <f>Thuysan!V146</f>
        <v>Phạm Minh Thuận</v>
      </c>
      <c r="J19" s="34" t="str">
        <f>Thuysan!W146</f>
        <v>Ao 2</v>
      </c>
    </row>
    <row r="20" spans="1:10" ht="20.25" customHeight="1" x14ac:dyDescent="0.25">
      <c r="A20" s="37">
        <f>_xlfn.AGGREGATE(3,3,$C$6:C20)</f>
        <v>15</v>
      </c>
      <c r="B20" s="34" t="str">
        <f>Thuysan!O147</f>
        <v>Cá tra thương phẩm</v>
      </c>
      <c r="C20" s="34" t="str">
        <f>Thuysan!P147</f>
        <v>83/0923/15</v>
      </c>
      <c r="D20" s="126"/>
      <c r="E20" s="126"/>
      <c r="F20" s="34">
        <f>Thuysan!S147</f>
        <v>1.5</v>
      </c>
      <c r="G20" s="34" t="str">
        <f>Thuysan!T147</f>
        <v>Erythromycin, Pb, Hg, Cd</v>
      </c>
      <c r="H20" s="126"/>
      <c r="I20" s="126"/>
      <c r="J20" s="34" t="str">
        <f>Thuysan!W147</f>
        <v>Ao 7</v>
      </c>
    </row>
    <row r="21" spans="1:10" ht="15.75" x14ac:dyDescent="0.25">
      <c r="A21" s="37">
        <f>_xlfn.AGGREGATE(3,3,$C$6:C21)</f>
        <v>16</v>
      </c>
      <c r="B21" s="34" t="str">
        <f>Thuysan!O148</f>
        <v>Cá tra nhỏ</v>
      </c>
      <c r="C21" s="34" t="str">
        <f>Thuysan!P148</f>
        <v>83/0923/16</v>
      </c>
      <c r="D21" s="124" t="str">
        <f>Thuysan!Q148</f>
        <v>Chợ Lách 83/07</v>
      </c>
      <c r="E21" s="124" t="str">
        <f>Thuysan!R148</f>
        <v>Công ty TNHH CBTPXK Vạn Đức Tiền Giang - Khu nuôi Cồn Kiếng, Ấp Long Khánh, Xã Tân Thiềng</v>
      </c>
      <c r="F21" s="34">
        <f>Thuysan!S148</f>
        <v>1</v>
      </c>
      <c r="G21" s="34" t="str">
        <f>Thuysan!T148</f>
        <v>Nitrofurans, Pb, Hg, Cd</v>
      </c>
      <c r="H21" s="124" t="str">
        <f>Thuysan!U148</f>
        <v>19/09/2023</v>
      </c>
      <c r="I21" s="124" t="str">
        <f>Thuysan!V148</f>
        <v>Phạm Văn Lâm</v>
      </c>
      <c r="J21" s="34" t="str">
        <f>Thuysan!W148</f>
        <v>Ao 7</v>
      </c>
    </row>
    <row r="22" spans="1:10" ht="57" customHeight="1" x14ac:dyDescent="0.25">
      <c r="A22" s="37">
        <f>_xlfn.AGGREGATE(3,3,$C$6:C22)</f>
        <v>17</v>
      </c>
      <c r="B22" s="34" t="str">
        <f>Thuysan!O149</f>
        <v>Cá tra nhỏ</v>
      </c>
      <c r="C22" s="34" t="str">
        <f>Thuysan!P149</f>
        <v>83/0923/17</v>
      </c>
      <c r="D22" s="126"/>
      <c r="E22" s="126"/>
      <c r="F22" s="34">
        <f>Thuysan!S149</f>
        <v>1</v>
      </c>
      <c r="G22" s="34" t="str">
        <f>Thuysan!T149</f>
        <v>Nhóm Nitroimidazoles, Pb, Hg, Cd</v>
      </c>
      <c r="H22" s="126"/>
      <c r="I22" s="126"/>
      <c r="J22" s="34" t="str">
        <f>Thuysan!W149</f>
        <v>Ao 10</v>
      </c>
    </row>
    <row r="23" spans="1:10" ht="62.25" customHeight="1" x14ac:dyDescent="0.25">
      <c r="A23" s="33"/>
      <c r="J23" s="33"/>
    </row>
    <row r="24" spans="1:10" ht="15.75" customHeight="1" x14ac:dyDescent="0.25">
      <c r="A24" s="33"/>
      <c r="J24" s="33"/>
    </row>
    <row r="25" spans="1:10" ht="20.25" customHeight="1" x14ac:dyDescent="0.25">
      <c r="A25" s="33"/>
      <c r="J25" s="33"/>
    </row>
    <row r="26" spans="1:10" ht="48" customHeight="1" x14ac:dyDescent="0.25">
      <c r="A26" s="33"/>
      <c r="J26" s="33"/>
    </row>
    <row r="27" spans="1:10" ht="20.25" customHeight="1" x14ac:dyDescent="0.25">
      <c r="A27" s="33"/>
      <c r="J27" s="33"/>
    </row>
    <row r="28" spans="1:10" ht="16.5" customHeight="1" x14ac:dyDescent="0.25">
      <c r="A28" s="33"/>
      <c r="J28" s="33"/>
    </row>
    <row r="29" spans="1:10" ht="18.75" customHeight="1" x14ac:dyDescent="0.25">
      <c r="A29" s="33"/>
      <c r="J29" s="33"/>
    </row>
    <row r="30" spans="1:10" ht="22.5" customHeight="1" x14ac:dyDescent="0.25">
      <c r="A30" s="33"/>
      <c r="J30" s="33"/>
    </row>
    <row r="31" spans="1:10" ht="45.75" customHeight="1" x14ac:dyDescent="0.25">
      <c r="A31" s="33"/>
      <c r="J31" s="33"/>
    </row>
    <row r="32" spans="1:10" ht="60" customHeight="1" x14ac:dyDescent="0.25">
      <c r="A32" s="33"/>
      <c r="J32" s="33"/>
    </row>
  </sheetData>
  <mergeCells count="31">
    <mergeCell ref="I21:I22"/>
    <mergeCell ref="D21:D22"/>
    <mergeCell ref="D19:D20"/>
    <mergeCell ref="D17:D18"/>
    <mergeCell ref="H21:H22"/>
    <mergeCell ref="E21:E22"/>
    <mergeCell ref="E19:E20"/>
    <mergeCell ref="E17:E18"/>
    <mergeCell ref="H19:H20"/>
    <mergeCell ref="I19:I20"/>
    <mergeCell ref="D15:D16"/>
    <mergeCell ref="D12:D14"/>
    <mergeCell ref="D9:D11"/>
    <mergeCell ref="H17:H18"/>
    <mergeCell ref="A1:J1"/>
    <mergeCell ref="A2:J2"/>
    <mergeCell ref="A3:J3"/>
    <mergeCell ref="E15:E16"/>
    <mergeCell ref="E12:E13"/>
    <mergeCell ref="E10:E11"/>
    <mergeCell ref="E6:E7"/>
    <mergeCell ref="D6:D8"/>
    <mergeCell ref="H6:H8"/>
    <mergeCell ref="I6:I8"/>
    <mergeCell ref="H9:H11"/>
    <mergeCell ref="I9:I11"/>
    <mergeCell ref="H12:H14"/>
    <mergeCell ref="I12:I14"/>
    <mergeCell ref="H15:H16"/>
    <mergeCell ref="I15:I16"/>
    <mergeCell ref="I17:I18"/>
  </mergeCells>
  <pageMargins left="0.41" right="0.19" top="0.43" bottom="0.3" header="0.3" footer="0.18"/>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zoomScale="70" zoomScaleNormal="70" workbookViewId="0">
      <selection activeCell="B6" sqref="B6"/>
    </sheetView>
  </sheetViews>
  <sheetFormatPr defaultColWidth="11.42578125" defaultRowHeight="15" x14ac:dyDescent="0.25"/>
  <cols>
    <col min="1" max="1" width="5.42578125" style="38" customWidth="1"/>
    <col min="2" max="2" width="24.42578125" style="33" customWidth="1"/>
    <col min="3" max="3" width="13.14062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536</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15.75" customHeight="1" x14ac:dyDescent="0.25">
      <c r="A6" s="79">
        <f>_xlfn.AGGREGATE(3,3,$C$6:C6)</f>
        <v>1</v>
      </c>
      <c r="B6" s="34" t="str">
        <f>Thuysan!O110</f>
        <v>Tôm sú thương phẩm</v>
      </c>
      <c r="C6" s="34" t="str">
        <f>Thuysan!P110</f>
        <v>83/0823/01</v>
      </c>
      <c r="D6" s="124" t="str">
        <f>Thuysan!Q110</f>
        <v>Ba Tri 83/01</v>
      </c>
      <c r="E6" s="124" t="str">
        <f>Thuysan!R110</f>
        <v>Huỳnh Văn Lâm - Ấp 7, Xã An Thủy</v>
      </c>
      <c r="F6" s="34">
        <f>Thuysan!S110</f>
        <v>1</v>
      </c>
      <c r="G6" s="34" t="str">
        <f>Thuysan!T110</f>
        <v>Azadirachtin</v>
      </c>
      <c r="H6" s="124" t="str">
        <f>Thuysan!U110</f>
        <v>21/08/2023</v>
      </c>
      <c r="I6" s="124" t="str">
        <f>Thuysan!V110</f>
        <v>Phạm Minh Thuận</v>
      </c>
      <c r="J6" s="34" t="str">
        <f>Thuysan!W110</f>
        <v>Ao 1</v>
      </c>
    </row>
    <row r="7" spans="1:10" ht="31.5" x14ac:dyDescent="0.25">
      <c r="A7" s="79">
        <f>_xlfn.AGGREGATE(3,3,$C$6:C7)</f>
        <v>2</v>
      </c>
      <c r="B7" s="34" t="str">
        <f>Thuysan!O111</f>
        <v>Tôm chân trắng thương phẩm</v>
      </c>
      <c r="C7" s="34" t="str">
        <f>Thuysan!P111</f>
        <v>83/0823/02</v>
      </c>
      <c r="D7" s="126"/>
      <c r="E7" s="126"/>
      <c r="F7" s="34">
        <f>Thuysan!S111</f>
        <v>1</v>
      </c>
      <c r="G7" s="34" t="str">
        <f>Thuysan!T111</f>
        <v>Azadirachtin</v>
      </c>
      <c r="H7" s="126"/>
      <c r="I7" s="126"/>
      <c r="J7" s="34" t="str">
        <f>Thuysan!W111</f>
        <v>Ao 2</v>
      </c>
    </row>
    <row r="8" spans="1:10" ht="31.5" customHeight="1" x14ac:dyDescent="0.25">
      <c r="A8" s="79">
        <f>_xlfn.AGGREGATE(3,3,$C$6:C8)</f>
        <v>3</v>
      </c>
      <c r="B8" s="34" t="str">
        <f>Thuysan!O112</f>
        <v>Tôm sú thương phẩm</v>
      </c>
      <c r="C8" s="34" t="str">
        <f>Thuysan!P112</f>
        <v>83/0823/03</v>
      </c>
      <c r="D8" s="124" t="str">
        <f>Thuysan!Q112</f>
        <v>Bình Đại 83/02</v>
      </c>
      <c r="E8" s="124" t="str">
        <f>Thuysan!R112</f>
        <v>Lê Bá Tú - Ấp 3, Xã Thạnh Trị</v>
      </c>
      <c r="F8" s="34">
        <f>Thuysan!S112</f>
        <v>1</v>
      </c>
      <c r="G8" s="34" t="str">
        <f>Thuysan!T112</f>
        <v>Nhóm Quinolones</v>
      </c>
      <c r="H8" s="124" t="str">
        <f>Thuysan!U112</f>
        <v>21/08/2023</v>
      </c>
      <c r="I8" s="124" t="str">
        <f>Thuysan!V112</f>
        <v>Cao Quang Nguyên</v>
      </c>
      <c r="J8" s="34" t="str">
        <f>Thuysan!W112</f>
        <v>Ao 1</v>
      </c>
    </row>
    <row r="9" spans="1:10" ht="31.5" x14ac:dyDescent="0.25">
      <c r="A9" s="79">
        <f>_xlfn.AGGREGATE(3,3,$C$6:C9)</f>
        <v>4</v>
      </c>
      <c r="B9" s="34" t="str">
        <f>Thuysan!O113</f>
        <v>Tôm chân trắng thương phẩm</v>
      </c>
      <c r="C9" s="34" t="str">
        <f>Thuysan!P113</f>
        <v>83/0823/04</v>
      </c>
      <c r="D9" s="125"/>
      <c r="E9" s="126"/>
      <c r="F9" s="34">
        <f>Thuysan!S113</f>
        <v>1</v>
      </c>
      <c r="G9" s="34" t="str">
        <f>Thuysan!T113</f>
        <v>Nhóm Quinolones</v>
      </c>
      <c r="H9" s="125"/>
      <c r="I9" s="125"/>
      <c r="J9" s="34" t="str">
        <f>Thuysan!W113</f>
        <v>Ao 2</v>
      </c>
    </row>
    <row r="10" spans="1:10" ht="31.5" customHeight="1" x14ac:dyDescent="0.25">
      <c r="A10" s="79">
        <f>_xlfn.AGGREGATE(3,3,$C$6:C10)</f>
        <v>5</v>
      </c>
      <c r="B10" s="34" t="str">
        <f>Thuysan!O114</f>
        <v>Cá tra nhỏ</v>
      </c>
      <c r="C10" s="34" t="str">
        <f>Thuysan!P114</f>
        <v>83/0823/05</v>
      </c>
      <c r="D10" s="125"/>
      <c r="E10" s="124" t="str">
        <f>Thuysan!R114</f>
        <v>Công ty CP Gò Đàng - Ấp Việc Giữa, Xã Thới Lai</v>
      </c>
      <c r="F10" s="34">
        <f>Thuysan!S114</f>
        <v>1</v>
      </c>
      <c r="G10" s="34" t="str">
        <f>Thuysan!T114</f>
        <v>-</v>
      </c>
      <c r="H10" s="125"/>
      <c r="I10" s="125"/>
      <c r="J10" s="34" t="str">
        <f>Thuysan!W114</f>
        <v>Ao 5</v>
      </c>
    </row>
    <row r="11" spans="1:10" ht="31.5" customHeight="1" x14ac:dyDescent="0.25">
      <c r="A11" s="79">
        <f>_xlfn.AGGREGATE(3,3,$C$6:C11)</f>
        <v>6</v>
      </c>
      <c r="B11" s="34" t="str">
        <f>Thuysan!O115</f>
        <v>Cá tra nhỏ</v>
      </c>
      <c r="C11" s="34" t="str">
        <f>Thuysan!P115</f>
        <v>83/0823/06</v>
      </c>
      <c r="D11" s="125"/>
      <c r="E11" s="126"/>
      <c r="F11" s="34">
        <f>Thuysan!S115</f>
        <v>1</v>
      </c>
      <c r="G11" s="34" t="str">
        <f>Thuysan!T115</f>
        <v>Nitrofurans</v>
      </c>
      <c r="H11" s="125"/>
      <c r="I11" s="125"/>
      <c r="J11" s="34" t="str">
        <f>Thuysan!W115</f>
        <v>Ao 4</v>
      </c>
    </row>
    <row r="12" spans="1:10" ht="47.25" customHeight="1" x14ac:dyDescent="0.25">
      <c r="A12" s="79">
        <f>_xlfn.AGGREGATE(3,3,$C$6:C12)</f>
        <v>7</v>
      </c>
      <c r="B12" s="34" t="str">
        <f>Thuysan!O116</f>
        <v>Nước ương tôm giống</v>
      </c>
      <c r="C12" s="34" t="str">
        <f>Thuysan!P116</f>
        <v>83/0823/07</v>
      </c>
      <c r="D12" s="125"/>
      <c r="E12" s="34" t="str">
        <f>Thuysan!R116</f>
        <v>Công ty TNHH TS Toàn Cầu - Ấp Bình Thới, Xã Thới Thuận</v>
      </c>
      <c r="F12" s="34">
        <f>Thuysan!S116</f>
        <v>1</v>
      </c>
      <c r="G12" s="34" t="str">
        <f>Thuysan!T116</f>
        <v>Chloramphenicol, Furazolidone</v>
      </c>
      <c r="H12" s="125"/>
      <c r="I12" s="125"/>
      <c r="J12" s="34" t="str">
        <f>Thuysan!W116</f>
        <v>Bể 14</v>
      </c>
    </row>
    <row r="13" spans="1:10" ht="63" customHeight="1" x14ac:dyDescent="0.25">
      <c r="A13" s="79">
        <f>_xlfn.AGGREGATE(3,3,$C$6:C13)</f>
        <v>8</v>
      </c>
      <c r="B13" s="34" t="str">
        <f>Thuysan!O117</f>
        <v>Nước ương tôm giống</v>
      </c>
      <c r="C13" s="34" t="str">
        <f>Thuysan!P117</f>
        <v>83/0823/08</v>
      </c>
      <c r="D13" s="125"/>
      <c r="E13" s="34" t="str">
        <f>Thuysan!R117</f>
        <v>Công ty CP chăn nuôi C.P. Việt Nam-Chi nhánh 3 tại Bến Tre   - Ấp Bình Thới, Xã Thới Thuận</v>
      </c>
      <c r="F13" s="34">
        <f>Thuysan!S117</f>
        <v>1</v>
      </c>
      <c r="G13" s="34" t="str">
        <f>Thuysan!T117</f>
        <v>Chloramphenicol, Furazolidone</v>
      </c>
      <c r="H13" s="125"/>
      <c r="I13" s="125"/>
      <c r="J13" s="34" t="str">
        <f>Thuysan!W117</f>
        <v>Bể 1</v>
      </c>
    </row>
    <row r="14" spans="1:10" ht="44.25" customHeight="1" x14ac:dyDescent="0.25">
      <c r="A14" s="79">
        <f>_xlfn.AGGREGATE(3,3,$C$6:C14)</f>
        <v>9</v>
      </c>
      <c r="B14" s="34" t="str">
        <f>Thuysan!O118</f>
        <v>Nước ương tôm giống</v>
      </c>
      <c r="C14" s="34" t="str">
        <f>Thuysan!P118</f>
        <v>83/0823/09</v>
      </c>
      <c r="D14" s="125"/>
      <c r="E14" s="34" t="str">
        <f>Thuysan!R118</f>
        <v>Cơ sở SX tôm giống Bảy Tươi - Ấp 7, Xã Thạnh Phước</v>
      </c>
      <c r="F14" s="34">
        <f>Thuysan!S118</f>
        <v>1</v>
      </c>
      <c r="G14" s="34" t="str">
        <f>Thuysan!T118</f>
        <v>Chloramphenicol, Furazolidone</v>
      </c>
      <c r="H14" s="125"/>
      <c r="I14" s="125"/>
      <c r="J14" s="34" t="str">
        <f>Thuysan!W118</f>
        <v/>
      </c>
    </row>
    <row r="15" spans="1:10" ht="45.75" customHeight="1" x14ac:dyDescent="0.25">
      <c r="A15" s="79">
        <f>_xlfn.AGGREGATE(3,3,$C$6:C15)</f>
        <v>10</v>
      </c>
      <c r="B15" s="34" t="str">
        <f>Thuysan!O119</f>
        <v>Nước ương tôm giống</v>
      </c>
      <c r="C15" s="34" t="str">
        <f>Thuysan!P119</f>
        <v>83/0823/10</v>
      </c>
      <c r="D15" s="126"/>
      <c r="E15" s="34" t="str">
        <f>Thuysan!R119</f>
        <v>Trung tâm SX Tôm giống Huy Thuận - Ấp Thừa Tiên, Xã Thừa Đức</v>
      </c>
      <c r="F15" s="34">
        <f>Thuysan!S119</f>
        <v>1</v>
      </c>
      <c r="G15" s="34" t="str">
        <f>Thuysan!T119</f>
        <v>Chloramphenicol, Furazolidone</v>
      </c>
      <c r="H15" s="126"/>
      <c r="I15" s="126"/>
      <c r="J15" s="34" t="str">
        <f>Thuysan!W119</f>
        <v>Bể 6</v>
      </c>
    </row>
    <row r="16" spans="1:10" ht="31.5" customHeight="1" x14ac:dyDescent="0.25">
      <c r="A16" s="79">
        <f>_xlfn.AGGREGATE(3,3,$C$6:C16)</f>
        <v>11</v>
      </c>
      <c r="B16" s="34" t="str">
        <f>Thuysan!O120</f>
        <v>Tôm sú thương phẩm</v>
      </c>
      <c r="C16" s="34" t="str">
        <f>Thuysan!P120</f>
        <v>83/0823/11</v>
      </c>
      <c r="D16" s="124" t="str">
        <f>Thuysan!Q120</f>
        <v>Thạnh Phú 83/03</v>
      </c>
      <c r="E16" s="124" t="str">
        <f>Thuysan!R120</f>
        <v>Trần Văn Tần  - Ấp Thạnh Thới B, Xã Thạnh Hải</v>
      </c>
      <c r="F16" s="34">
        <f>Thuysan!S120</f>
        <v>1</v>
      </c>
      <c r="G16" s="34" t="str">
        <f>Thuysan!T120</f>
        <v>Trimethoprim</v>
      </c>
      <c r="H16" s="124" t="str">
        <f>Thuysan!U120</f>
        <v>22/08/2023</v>
      </c>
      <c r="I16" s="124" t="str">
        <f>Thuysan!V120</f>
        <v>Cao Quang Nguyên</v>
      </c>
      <c r="J16" s="34" t="str">
        <f>Thuysan!W120</f>
        <v>Ao 1</v>
      </c>
    </row>
    <row r="17" spans="1:10" ht="34.5" customHeight="1" x14ac:dyDescent="0.25">
      <c r="A17" s="79">
        <f>_xlfn.AGGREGATE(3,3,$C$6:C17)</f>
        <v>12</v>
      </c>
      <c r="B17" s="34" t="str">
        <f>Thuysan!O121</f>
        <v>Tôm chân trắng thương phẩm</v>
      </c>
      <c r="C17" s="34" t="str">
        <f>Thuysan!P121</f>
        <v>83/0823/12</v>
      </c>
      <c r="D17" s="125"/>
      <c r="E17" s="126"/>
      <c r="F17" s="34">
        <f>Thuysan!S121</f>
        <v>1</v>
      </c>
      <c r="G17" s="34" t="str">
        <f>Thuysan!T121</f>
        <v>Erythromycin</v>
      </c>
      <c r="H17" s="125"/>
      <c r="I17" s="125"/>
      <c r="J17" s="34" t="str">
        <f>Thuysan!W121</f>
        <v>Ao 2</v>
      </c>
    </row>
    <row r="18" spans="1:10" ht="31.5" x14ac:dyDescent="0.25">
      <c r="A18" s="79">
        <f>_xlfn.AGGREGATE(3,3,$C$6:C18)</f>
        <v>13</v>
      </c>
      <c r="B18" s="34" t="str">
        <f>Thuysan!O122</f>
        <v>Tôm sú quảng canh</v>
      </c>
      <c r="C18" s="34" t="str">
        <f>Thuysan!P122</f>
        <v>83/0823/13</v>
      </c>
      <c r="D18" s="126"/>
      <c r="E18" s="34" t="str">
        <f>Thuysan!R122</f>
        <v>Phạm Văn Triều - Ấp 4, Xã Thạnh Phong</v>
      </c>
      <c r="F18" s="34">
        <f>Thuysan!S122</f>
        <v>1</v>
      </c>
      <c r="G18" s="34" t="str">
        <f>Thuysan!T122</f>
        <v>Nhóm Quinolones</v>
      </c>
      <c r="H18" s="126"/>
      <c r="I18" s="126"/>
      <c r="J18" s="34" t="str">
        <f>Thuysan!W122</f>
        <v/>
      </c>
    </row>
    <row r="19" spans="1:10" ht="15.75" x14ac:dyDescent="0.25">
      <c r="A19" s="79">
        <f>_xlfn.AGGREGATE(3,3,$C$6:C19)</f>
        <v>14</v>
      </c>
      <c r="B19" s="34" t="str">
        <f>Thuysan!O123</f>
        <v>Cá tra thương phẩm</v>
      </c>
      <c r="C19" s="34" t="str">
        <f>Thuysan!P123</f>
        <v>83/0823/14</v>
      </c>
      <c r="D19" s="124" t="str">
        <f>Thuysan!Q123</f>
        <v>Mỏ Cày 83/04</v>
      </c>
      <c r="E19" s="124" t="str">
        <f>Thuysan!R123</f>
        <v>Công ty CP Gò Đàng - Ấp Tân Phong, Xã Thành Thới A</v>
      </c>
      <c r="F19" s="34">
        <f>Thuysan!S123</f>
        <v>1.5</v>
      </c>
      <c r="G19" s="34" t="str">
        <f>Thuysan!T123</f>
        <v>-</v>
      </c>
      <c r="H19" s="124" t="str">
        <f>Thuysan!U123</f>
        <v>22/08/2023</v>
      </c>
      <c r="I19" s="124" t="str">
        <f>Thuysan!V123</f>
        <v>Phạm Minh Thuận</v>
      </c>
      <c r="J19" s="34" t="str">
        <f>Thuysan!W123</f>
        <v>Ao 11</v>
      </c>
    </row>
    <row r="20" spans="1:10" ht="31.5" customHeight="1" x14ac:dyDescent="0.25">
      <c r="A20" s="79">
        <f>_xlfn.AGGREGATE(3,3,$C$6:C20)</f>
        <v>15</v>
      </c>
      <c r="B20" s="34" t="str">
        <f>Thuysan!O124</f>
        <v>Cá tra thương phẩm</v>
      </c>
      <c r="C20" s="34" t="str">
        <f>Thuysan!P124</f>
        <v>83/0823/15</v>
      </c>
      <c r="D20" s="126"/>
      <c r="E20" s="126"/>
      <c r="F20" s="34">
        <f>Thuysan!S124</f>
        <v>1.5</v>
      </c>
      <c r="G20" s="34" t="str">
        <f>Thuysan!T124</f>
        <v>Trifluralin</v>
      </c>
      <c r="H20" s="126"/>
      <c r="I20" s="126"/>
      <c r="J20" s="34" t="str">
        <f>Thuysan!W124</f>
        <v>Ao 10</v>
      </c>
    </row>
    <row r="21" spans="1:10" ht="23.25" customHeight="1" x14ac:dyDescent="0.25">
      <c r="A21" s="79">
        <f>_xlfn.AGGREGATE(3,3,$C$6:C21)</f>
        <v>16</v>
      </c>
      <c r="B21" s="34" t="str">
        <f>Thuysan!O125</f>
        <v>Cá tra nhỏ</v>
      </c>
      <c r="C21" s="34" t="str">
        <f>Thuysan!P125</f>
        <v>83/0823/16</v>
      </c>
      <c r="D21" s="124" t="str">
        <f>Thuysan!Q125</f>
        <v>Châu Thành 83/05</v>
      </c>
      <c r="E21" s="124" t="str">
        <f>Thuysan!R125</f>
        <v>Công ty CP Hùng Vương - Ấp Phú Tân, Xã Phú Túc</v>
      </c>
      <c r="F21" s="34">
        <f>Thuysan!S125</f>
        <v>1</v>
      </c>
      <c r="G21" s="34" t="str">
        <f>Thuysan!T125</f>
        <v>Nitrofurans</v>
      </c>
      <c r="H21" s="124" t="str">
        <f>Thuysan!U125</f>
        <v>21/08/2023</v>
      </c>
      <c r="I21" s="124" t="str">
        <f>Thuysan!V125</f>
        <v>Nguyễn Duy Khanh</v>
      </c>
      <c r="J21" s="34" t="str">
        <f>Thuysan!W125</f>
        <v>Ao 4</v>
      </c>
    </row>
    <row r="22" spans="1:10" ht="30.75" customHeight="1" x14ac:dyDescent="0.25">
      <c r="A22" s="79">
        <f>_xlfn.AGGREGATE(3,3,$C$6:C22)</f>
        <v>17</v>
      </c>
      <c r="B22" s="34" t="str">
        <f>Thuysan!O126</f>
        <v>Cá tra nhỏ</v>
      </c>
      <c r="C22" s="34" t="str">
        <f>Thuysan!P126</f>
        <v>83/0823/17</v>
      </c>
      <c r="D22" s="126"/>
      <c r="E22" s="126"/>
      <c r="F22" s="34">
        <f>Thuysan!S126</f>
        <v>1</v>
      </c>
      <c r="G22" s="34" t="str">
        <f>Thuysan!T126</f>
        <v>-</v>
      </c>
      <c r="H22" s="126"/>
      <c r="I22" s="126"/>
      <c r="J22" s="34" t="str">
        <f>Thuysan!W126</f>
        <v>Ao 10</v>
      </c>
    </row>
    <row r="23" spans="1:10" ht="23.25" customHeight="1" x14ac:dyDescent="0.25">
      <c r="A23" s="79">
        <f>_xlfn.AGGREGATE(3,3,$C$6:C23)</f>
        <v>18</v>
      </c>
      <c r="B23" s="34" t="str">
        <f>Thuysan!O127</f>
        <v>Cá tra thương phẩm</v>
      </c>
      <c r="C23" s="34" t="str">
        <f>Thuysan!P127</f>
        <v>83/0823/18</v>
      </c>
      <c r="D23" s="124" t="str">
        <f>Thuysan!Q127</f>
        <v>Giồng Trôm 83/06</v>
      </c>
      <c r="E23" s="124" t="str">
        <f>Thuysan!R127</f>
        <v>Công ty CP Gò Đàng - Ấp 8, Xã Phước Long</v>
      </c>
      <c r="F23" s="34">
        <f>Thuysan!S127</f>
        <v>1.5</v>
      </c>
      <c r="G23" s="34" t="str">
        <f>Thuysan!T127</f>
        <v>Chloramphenicol</v>
      </c>
      <c r="H23" s="124" t="str">
        <f>Thuysan!U127</f>
        <v>23/08/2023</v>
      </c>
      <c r="I23" s="124" t="str">
        <f>Thuysan!V127</f>
        <v>Phạm Minh Thuận</v>
      </c>
      <c r="J23" s="34" t="str">
        <f>Thuysan!W127</f>
        <v>Ao 3</v>
      </c>
    </row>
    <row r="24" spans="1:10" ht="23.25" customHeight="1" x14ac:dyDescent="0.25">
      <c r="A24" s="79">
        <f>_xlfn.AGGREGATE(3,3,$C$6:C24)</f>
        <v>19</v>
      </c>
      <c r="B24" s="34" t="str">
        <f>Thuysan!O128</f>
        <v>Cá tra thương phẩm</v>
      </c>
      <c r="C24" s="34" t="str">
        <f>Thuysan!P128</f>
        <v>83/0823/19</v>
      </c>
      <c r="D24" s="126"/>
      <c r="E24" s="126"/>
      <c r="F24" s="34">
        <f>Thuysan!S128</f>
        <v>1.5</v>
      </c>
      <c r="G24" s="34" t="str">
        <f>Thuysan!T128</f>
        <v>Nitrofurans</v>
      </c>
      <c r="H24" s="126"/>
      <c r="I24" s="126"/>
      <c r="J24" s="34" t="str">
        <f>Thuysan!W128</f>
        <v>Ao 9</v>
      </c>
    </row>
    <row r="25" spans="1:10" ht="31.5" customHeight="1" x14ac:dyDescent="0.25">
      <c r="A25" s="79">
        <f>_xlfn.AGGREGATE(3,3,$C$6:C25)</f>
        <v>20</v>
      </c>
      <c r="B25" s="34" t="str">
        <f>Thuysan!O129</f>
        <v>Cá tra thương phẩm</v>
      </c>
      <c r="C25" s="34" t="str">
        <f>Thuysan!P129</f>
        <v>83/0823/20</v>
      </c>
      <c r="D25" s="124" t="str">
        <f>Thuysan!Q129</f>
        <v>Chợ Lách 83/07</v>
      </c>
      <c r="E25" s="124" t="str">
        <f>Thuysan!R129</f>
        <v>Công ty CP Vĩnh Hoàn - Ấp Quân Bình, Xã Tân Thiềng</v>
      </c>
      <c r="F25" s="34">
        <f>Thuysan!S129</f>
        <v>1.5</v>
      </c>
      <c r="G25" s="34" t="str">
        <f>Thuysan!T129</f>
        <v>Nhóm Tetracyclines</v>
      </c>
      <c r="H25" s="124" t="str">
        <f>Thuysan!U129</f>
        <v>22/08/2023</v>
      </c>
      <c r="I25" s="124" t="str">
        <f>Thuysan!V129</f>
        <v>Nguyễn Duy Khanh</v>
      </c>
      <c r="J25" s="34" t="str">
        <f>Thuysan!W129</f>
        <v>Ao 2</v>
      </c>
    </row>
    <row r="26" spans="1:10" ht="31.5" customHeight="1" x14ac:dyDescent="0.25">
      <c r="A26" s="79">
        <f>_xlfn.AGGREGATE(3,3,$C$6:C26)</f>
        <v>21</v>
      </c>
      <c r="B26" s="34" t="str">
        <f>Thuysan!O130</f>
        <v>Cá tra thương phẩm</v>
      </c>
      <c r="C26" s="34" t="str">
        <f>Thuysan!P130</f>
        <v>83/0823/21</v>
      </c>
      <c r="D26" s="125"/>
      <c r="E26" s="125"/>
      <c r="F26" s="34">
        <f>Thuysan!S130</f>
        <v>1.5</v>
      </c>
      <c r="G26" s="34" t="str">
        <f>Thuysan!T130</f>
        <v>Nhóm Quinolones</v>
      </c>
      <c r="H26" s="125"/>
      <c r="I26" s="125"/>
      <c r="J26" s="34" t="str">
        <f>Thuysan!W130</f>
        <v>Ao 3</v>
      </c>
    </row>
    <row r="27" spans="1:10" ht="15.75" x14ac:dyDescent="0.25">
      <c r="A27" s="79">
        <f>_xlfn.AGGREGATE(3,3,$C$6:C27)</f>
        <v>22</v>
      </c>
      <c r="B27" s="34" t="str">
        <f>Thuysan!O131</f>
        <v>Cá tra thương phẩm</v>
      </c>
      <c r="C27" s="34" t="str">
        <f>Thuysan!P131</f>
        <v>83/0823/22</v>
      </c>
      <c r="D27" s="125"/>
      <c r="E27" s="125"/>
      <c r="F27" s="34">
        <f>Thuysan!S131</f>
        <v>1.5</v>
      </c>
      <c r="G27" s="34" t="str">
        <f>Thuysan!T131</f>
        <v>-</v>
      </c>
      <c r="H27" s="125"/>
      <c r="I27" s="125"/>
      <c r="J27" s="34" t="str">
        <f>Thuysan!W131</f>
        <v>Ao 5</v>
      </c>
    </row>
    <row r="28" spans="1:10" ht="31.5" customHeight="1" x14ac:dyDescent="0.25">
      <c r="A28" s="79">
        <f>_xlfn.AGGREGATE(3,3,$C$6:C28)</f>
        <v>23</v>
      </c>
      <c r="B28" s="34" t="str">
        <f>Thuysan!O132</f>
        <v>Cá tra thương phẩm</v>
      </c>
      <c r="C28" s="34" t="str">
        <f>Thuysan!P132</f>
        <v>83/0823/23</v>
      </c>
      <c r="D28" s="126"/>
      <c r="E28" s="126"/>
      <c r="F28" s="34">
        <f>Thuysan!S132</f>
        <v>1.5</v>
      </c>
      <c r="G28" s="34" t="str">
        <f>Thuysan!T132</f>
        <v>Trifluralin</v>
      </c>
      <c r="H28" s="126"/>
      <c r="I28" s="126"/>
      <c r="J28" s="34" t="str">
        <f>Thuysan!W132</f>
        <v>Ao 7</v>
      </c>
    </row>
  </sheetData>
  <mergeCells count="32">
    <mergeCell ref="D8:D15"/>
    <mergeCell ref="H8:H15"/>
    <mergeCell ref="E8:E9"/>
    <mergeCell ref="E10:E11"/>
    <mergeCell ref="I25:I28"/>
    <mergeCell ref="I23:I24"/>
    <mergeCell ref="I21:I22"/>
    <mergeCell ref="I16:I18"/>
    <mergeCell ref="I8:I15"/>
    <mergeCell ref="E21:E22"/>
    <mergeCell ref="H25:H28"/>
    <mergeCell ref="D19:D20"/>
    <mergeCell ref="H19:H20"/>
    <mergeCell ref="I19:I20"/>
    <mergeCell ref="D16:D18"/>
    <mergeCell ref="H16:H18"/>
    <mergeCell ref="E16:E17"/>
    <mergeCell ref="E19:E20"/>
    <mergeCell ref="E23:E24"/>
    <mergeCell ref="E25:E28"/>
    <mergeCell ref="A1:J1"/>
    <mergeCell ref="A2:J2"/>
    <mergeCell ref="A3:J3"/>
    <mergeCell ref="D6:D7"/>
    <mergeCell ref="H6:H7"/>
    <mergeCell ref="E6:E7"/>
    <mergeCell ref="I6:I7"/>
    <mergeCell ref="D25:D28"/>
    <mergeCell ref="D23:D24"/>
    <mergeCell ref="D21:D22"/>
    <mergeCell ref="H21:H22"/>
    <mergeCell ref="H23:H24"/>
  </mergeCells>
  <pageMargins left="0.41" right="0.19" top="0.43" bottom="0.3" header="0.3" footer="0.18"/>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zoomScaleNormal="100" workbookViewId="0">
      <selection activeCell="J6" sqref="J6:J24"/>
    </sheetView>
  </sheetViews>
  <sheetFormatPr defaultColWidth="11.42578125" defaultRowHeight="15" x14ac:dyDescent="0.25"/>
  <cols>
    <col min="1" max="1" width="5.42578125" style="38" customWidth="1"/>
    <col min="2" max="2" width="24.42578125" style="33" customWidth="1"/>
    <col min="3" max="3" width="13.14062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527</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15.75" customHeight="1" x14ac:dyDescent="0.25">
      <c r="A6" s="75">
        <f>_xlfn.AGGREGATE(3,3,$C$6:C6)</f>
        <v>1</v>
      </c>
      <c r="B6" s="34" t="str">
        <f>Thuysan!O91</f>
        <v>Tôm sú thương phẩm</v>
      </c>
      <c r="C6" s="34" t="str">
        <f>Thuysan!P91</f>
        <v>83/0723/01</v>
      </c>
      <c r="D6" s="124" t="str">
        <f>Thuysan!Q91</f>
        <v>Ba Tri 83/01</v>
      </c>
      <c r="E6" s="124" t="str">
        <f>Thuysan!R91</f>
        <v>Nguyễn Văn Đấu - Ấp 7, Xã An Thủy</v>
      </c>
      <c r="F6" s="34">
        <f>Thuysan!S91</f>
        <v>1</v>
      </c>
      <c r="G6" s="34" t="str">
        <f>Thuysan!T91</f>
        <v>Erythromycin</v>
      </c>
      <c r="H6" s="124" t="str">
        <f>Thuysan!U91</f>
        <v>11/07/2023</v>
      </c>
      <c r="I6" s="124" t="str">
        <f>Thuysan!V91</f>
        <v>Phạm Minh Thuận</v>
      </c>
      <c r="J6" s="34"/>
    </row>
    <row r="7" spans="1:10" ht="31.5" x14ac:dyDescent="0.25">
      <c r="A7" s="75">
        <f>_xlfn.AGGREGATE(3,3,$C$6:C7)</f>
        <v>2</v>
      </c>
      <c r="B7" s="34" t="str">
        <f>Thuysan!O92</f>
        <v>Tôm chân trắng thương phẩm</v>
      </c>
      <c r="C7" s="34" t="str">
        <f>Thuysan!P92</f>
        <v>83/0723/02</v>
      </c>
      <c r="D7" s="125"/>
      <c r="E7" s="126"/>
      <c r="F7" s="34">
        <f>Thuysan!S92</f>
        <v>1</v>
      </c>
      <c r="G7" s="34" t="str">
        <f>Thuysan!T92</f>
        <v>Chloramphenicol</v>
      </c>
      <c r="H7" s="125"/>
      <c r="I7" s="125"/>
      <c r="J7" s="34"/>
    </row>
    <row r="8" spans="1:10" ht="28.5" customHeight="1" x14ac:dyDescent="0.25">
      <c r="A8" s="75">
        <f>_xlfn.AGGREGATE(3,3,$C$6:C8)</f>
        <v>3</v>
      </c>
      <c r="B8" s="34" t="str">
        <f>Thuysan!O93</f>
        <v>Cá tra thương phẩm</v>
      </c>
      <c r="C8" s="34" t="str">
        <f>Thuysan!P93</f>
        <v>83/0723/03</v>
      </c>
      <c r="D8" s="126"/>
      <c r="E8" s="34" t="str">
        <f>Thuysan!R93</f>
        <v>Công ty CP Gò Đàng - Ấp 4, Xã Tân Xuân</v>
      </c>
      <c r="F8" s="34">
        <f>Thuysan!S93</f>
        <v>1.5</v>
      </c>
      <c r="G8" s="34" t="str">
        <f>Thuysan!T93</f>
        <v>Fosfomycin</v>
      </c>
      <c r="H8" s="126"/>
      <c r="I8" s="126"/>
      <c r="J8" s="34"/>
    </row>
    <row r="9" spans="1:10" ht="15.75" x14ac:dyDescent="0.25">
      <c r="A9" s="75">
        <f>_xlfn.AGGREGATE(3,3,$C$6:C9)</f>
        <v>4</v>
      </c>
      <c r="B9" s="34" t="str">
        <f>Thuysan!O94</f>
        <v>Tôm sú thương phẩm</v>
      </c>
      <c r="C9" s="34" t="str">
        <f>Thuysan!P94</f>
        <v>83/0723/04</v>
      </c>
      <c r="D9" s="124" t="str">
        <f>Thuysan!Q94</f>
        <v>Bình Đại 83/02</v>
      </c>
      <c r="E9" s="124" t="str">
        <f>Thuysan!R94</f>
        <v>Nguyễn Văn Mười - Ấp Bình Thạnh 3, Xã Thạnh Trị</v>
      </c>
      <c r="F9" s="34">
        <f>Thuysan!S94</f>
        <v>1</v>
      </c>
      <c r="G9" s="34" t="str">
        <f>Thuysan!T94</f>
        <v>-</v>
      </c>
      <c r="H9" s="124" t="str">
        <f>Thuysan!U94</f>
        <v>12/07/2023</v>
      </c>
      <c r="I9" s="124" t="str">
        <f>Thuysan!V94</f>
        <v>Cao Quang Nguyên</v>
      </c>
      <c r="J9" s="34"/>
    </row>
    <row r="10" spans="1:10" ht="31.5" x14ac:dyDescent="0.25">
      <c r="A10" s="75">
        <f>_xlfn.AGGREGATE(3,3,$C$6:C10)</f>
        <v>5</v>
      </c>
      <c r="B10" s="34" t="str">
        <f>Thuysan!O95</f>
        <v>Tôm chân trắng thương phẩm</v>
      </c>
      <c r="C10" s="34" t="str">
        <f>Thuysan!P95</f>
        <v>83/0723/05</v>
      </c>
      <c r="D10" s="125"/>
      <c r="E10" s="126"/>
      <c r="F10" s="34">
        <f>Thuysan!S95</f>
        <v>1</v>
      </c>
      <c r="G10" s="34" t="str">
        <f>Thuysan!T95</f>
        <v>Nhóm Sulfonamides</v>
      </c>
      <c r="H10" s="125"/>
      <c r="I10" s="125"/>
      <c r="J10" s="34"/>
    </row>
    <row r="11" spans="1:10" ht="47.25" customHeight="1" x14ac:dyDescent="0.25">
      <c r="A11" s="75">
        <f>_xlfn.AGGREGATE(3,3,$C$6:C11)</f>
        <v>6</v>
      </c>
      <c r="B11" s="34" t="str">
        <f>Thuysan!O96</f>
        <v>Cá tra thương phẩm</v>
      </c>
      <c r="C11" s="34" t="str">
        <f>Thuysan!P96</f>
        <v>83/0723/06</v>
      </c>
      <c r="D11" s="125"/>
      <c r="E11" s="124" t="str">
        <f>Thuysan!R96</f>
        <v>Công ty CP Gò Đàng - Ấp Vinh Xương, Xã Vang Quới Đông</v>
      </c>
      <c r="F11" s="34">
        <f>Thuysan!S96</f>
        <v>1.5</v>
      </c>
      <c r="G11" s="34" t="str">
        <f>Thuysan!T96</f>
        <v>Nhóm Tetracyclines</v>
      </c>
      <c r="H11" s="125"/>
      <c r="I11" s="125"/>
      <c r="J11" s="34"/>
    </row>
    <row r="12" spans="1:10" ht="15.75" customHeight="1" x14ac:dyDescent="0.25">
      <c r="A12" s="75">
        <f>_xlfn.AGGREGATE(3,3,$C$6:C12)</f>
        <v>7</v>
      </c>
      <c r="B12" s="34" t="str">
        <f>Thuysan!O97</f>
        <v>Cá tra thương phẩm</v>
      </c>
      <c r="C12" s="34" t="str">
        <f>Thuysan!P97</f>
        <v>83/0723/07</v>
      </c>
      <c r="D12" s="126"/>
      <c r="E12" s="126"/>
      <c r="F12" s="34">
        <f>Thuysan!S97</f>
        <v>1.5</v>
      </c>
      <c r="G12" s="34" t="str">
        <f>Thuysan!T97</f>
        <v>Trimethoprim</v>
      </c>
      <c r="H12" s="126"/>
      <c r="I12" s="126"/>
      <c r="J12" s="34"/>
    </row>
    <row r="13" spans="1:10" ht="31.5" x14ac:dyDescent="0.25">
      <c r="A13" s="75">
        <f>_xlfn.AGGREGATE(3,3,$C$6:C13)</f>
        <v>8</v>
      </c>
      <c r="B13" s="34" t="str">
        <f>Thuysan!O98</f>
        <v>Tôm sú thương phẩm</v>
      </c>
      <c r="C13" s="34" t="str">
        <f>Thuysan!P98</f>
        <v>83/0723/08</v>
      </c>
      <c r="D13" s="124" t="str">
        <f>Thuysan!Q98</f>
        <v>Thạnh Phú 83/03</v>
      </c>
      <c r="E13" s="34" t="str">
        <f>Thuysan!R98</f>
        <v>Đặng Thái Bình - Ấp An Định, Xã An Nhơn</v>
      </c>
      <c r="F13" s="34">
        <f>Thuysan!S98</f>
        <v>1</v>
      </c>
      <c r="G13" s="34" t="str">
        <f>Thuysan!T98</f>
        <v>Florfenicol</v>
      </c>
      <c r="H13" s="124" t="str">
        <f>Thuysan!U98</f>
        <v>13/07/2023</v>
      </c>
      <c r="I13" s="124" t="str">
        <f>Thuysan!V98</f>
        <v>Cao Quang Nguyên</v>
      </c>
      <c r="J13" s="34"/>
    </row>
    <row r="14" spans="1:10" ht="15.75" x14ac:dyDescent="0.25">
      <c r="A14" s="75">
        <f>_xlfn.AGGREGATE(3,3,$C$6:C14)</f>
        <v>9</v>
      </c>
      <c r="B14" s="34" t="str">
        <f>Thuysan!O99</f>
        <v>Tôm sú quảng canh</v>
      </c>
      <c r="C14" s="34" t="str">
        <f>Thuysan!P99</f>
        <v>83/0723/09</v>
      </c>
      <c r="D14" s="125"/>
      <c r="E14" s="34" t="str">
        <f>Thuysan!R99</f>
        <v>Lê Văn Nói - , Xã An Thuận</v>
      </c>
      <c r="F14" s="34">
        <f>Thuysan!S99</f>
        <v>1</v>
      </c>
      <c r="G14" s="34" t="str">
        <f>Thuysan!T99</f>
        <v>Chloramphenicol</v>
      </c>
      <c r="H14" s="125"/>
      <c r="I14" s="125"/>
      <c r="J14" s="34"/>
    </row>
    <row r="15" spans="1:10" ht="31.5" x14ac:dyDescent="0.25">
      <c r="A15" s="75">
        <f>_xlfn.AGGREGATE(3,3,$C$6:C15)</f>
        <v>10</v>
      </c>
      <c r="B15" s="34" t="str">
        <f>Thuysan!O100</f>
        <v>Tôm chân trắng thương phẩm</v>
      </c>
      <c r="C15" s="34" t="str">
        <f>Thuysan!P100</f>
        <v>83/0723/10</v>
      </c>
      <c r="D15" s="126"/>
      <c r="E15" s="34" t="str">
        <f>Thuysan!R100</f>
        <v>Đặng Thái Bình - Ấp An Định, Xã An Nhơn</v>
      </c>
      <c r="F15" s="34">
        <f>Thuysan!S100</f>
        <v>1</v>
      </c>
      <c r="G15" s="34" t="str">
        <f>Thuysan!T100</f>
        <v>Ormetoprim</v>
      </c>
      <c r="H15" s="126"/>
      <c r="I15" s="126"/>
      <c r="J15" s="34"/>
    </row>
    <row r="16" spans="1:10" ht="47.25" x14ac:dyDescent="0.25">
      <c r="A16" s="75">
        <f>_xlfn.AGGREGATE(3,3,$C$6:C16)</f>
        <v>11</v>
      </c>
      <c r="B16" s="34" t="str">
        <f>Thuysan!O101</f>
        <v>Cá tra thương phẩm</v>
      </c>
      <c r="C16" s="34" t="str">
        <f>Thuysan!P101</f>
        <v>83/0723/11</v>
      </c>
      <c r="D16" s="34" t="str">
        <f>Thuysan!Q101</f>
        <v>Mỏ Cày 83/04</v>
      </c>
      <c r="E16" s="34" t="str">
        <f>Thuysan!R101</f>
        <v>Công ty CPTS Hải Hương - Ấp Phú Hữu, Xã Cẩm Sơn</v>
      </c>
      <c r="F16" s="34">
        <f>Thuysan!S101</f>
        <v>1.5</v>
      </c>
      <c r="G16" s="34" t="str">
        <f>Thuysan!T101</f>
        <v>Nhóm Quinolones</v>
      </c>
      <c r="H16" s="34" t="str">
        <f>Thuysan!U101</f>
        <v>12/07/2023</v>
      </c>
      <c r="I16" s="34" t="str">
        <f>Thuysan!V101</f>
        <v>Phạm Minh Thuận</v>
      </c>
      <c r="J16" s="34"/>
    </row>
    <row r="17" spans="1:10" ht="27" customHeight="1" x14ac:dyDescent="0.25">
      <c r="A17" s="75">
        <f>_xlfn.AGGREGATE(3,3,$C$6:C17)</f>
        <v>12</v>
      </c>
      <c r="B17" s="34" t="str">
        <f>Thuysan!O102</f>
        <v>Cá tra thương phẩm</v>
      </c>
      <c r="C17" s="34" t="str">
        <f>Thuysan!P102</f>
        <v>83/0723/12</v>
      </c>
      <c r="D17" s="124" t="str">
        <f>Thuysan!Q102</f>
        <v>Châu Thành 83/05</v>
      </c>
      <c r="E17" s="124" t="str">
        <f>Thuysan!R102</f>
        <v>Công ty CP Gò Đàng - Ấp Tiên Thạnh, Xã Tiên Long</v>
      </c>
      <c r="F17" s="34">
        <f>Thuysan!S102</f>
        <v>1.5</v>
      </c>
      <c r="G17" s="34" t="str">
        <f>Thuysan!T102</f>
        <v>Trimethoprim</v>
      </c>
      <c r="H17" s="124" t="str">
        <f>Thuysan!U102</f>
        <v>12/07/2023</v>
      </c>
      <c r="I17" s="124" t="str">
        <f>Thuysan!V102</f>
        <v>Nguyễn Duy Khanh</v>
      </c>
      <c r="J17" s="34"/>
    </row>
    <row r="18" spans="1:10" ht="30.75" customHeight="1" x14ac:dyDescent="0.25">
      <c r="A18" s="75">
        <f>_xlfn.AGGREGATE(3,3,$C$6:C18)</f>
        <v>13</v>
      </c>
      <c r="B18" s="34" t="str">
        <f>Thuysan!O103</f>
        <v>Cá tra thương phẩm</v>
      </c>
      <c r="C18" s="34" t="str">
        <f>Thuysan!P103</f>
        <v>83/0723/13</v>
      </c>
      <c r="D18" s="126"/>
      <c r="E18" s="126"/>
      <c r="F18" s="34">
        <f>Thuysan!S103</f>
        <v>1.5</v>
      </c>
      <c r="G18" s="34" t="str">
        <f>Thuysan!T103</f>
        <v>Ormetoprim</v>
      </c>
      <c r="H18" s="126"/>
      <c r="I18" s="126"/>
      <c r="J18" s="34"/>
    </row>
    <row r="19" spans="1:10" ht="31.5" customHeight="1" x14ac:dyDescent="0.25">
      <c r="A19" s="75">
        <f>_xlfn.AGGREGATE(3,3,$C$6:C19)</f>
        <v>14</v>
      </c>
      <c r="B19" s="34" t="str">
        <f>Thuysan!O104</f>
        <v>Cá tra thương phẩm</v>
      </c>
      <c r="C19" s="34" t="str">
        <f>Thuysan!P104</f>
        <v>83/0723/14</v>
      </c>
      <c r="D19" s="124" t="str">
        <f>Thuysan!Q104</f>
        <v>Giồng Trôm 83/06</v>
      </c>
      <c r="E19" s="124" t="str">
        <f>Thuysan!R104</f>
        <v>Công ty CP Gò Đàng - Ấp 1, Xã Sơn Phú</v>
      </c>
      <c r="F19" s="34">
        <f>Thuysan!S104</f>
        <v>1.5</v>
      </c>
      <c r="G19" s="34" t="str">
        <f>Thuysan!T104</f>
        <v>Nitrofurans</v>
      </c>
      <c r="H19" s="124" t="str">
        <f>Thuysan!U104</f>
        <v>13/07/2023</v>
      </c>
      <c r="I19" s="124" t="str">
        <f>Thuysan!V104</f>
        <v>Phạm Minh Thuận</v>
      </c>
      <c r="J19" s="34"/>
    </row>
    <row r="20" spans="1:10" ht="30.75" customHeight="1" x14ac:dyDescent="0.25">
      <c r="A20" s="75">
        <f>_xlfn.AGGREGATE(3,3,$C$6:C20)</f>
        <v>15</v>
      </c>
      <c r="B20" s="34" t="str">
        <f>Thuysan!O105</f>
        <v>Cá tra thương phẩm</v>
      </c>
      <c r="C20" s="34" t="str">
        <f>Thuysan!P105</f>
        <v>83/0723/15</v>
      </c>
      <c r="D20" s="126"/>
      <c r="E20" s="126"/>
      <c r="F20" s="34">
        <f>Thuysan!S105</f>
        <v>1.5</v>
      </c>
      <c r="G20" s="34" t="str">
        <f>Thuysan!T105</f>
        <v>-</v>
      </c>
      <c r="H20" s="126"/>
      <c r="I20" s="126"/>
      <c r="J20" s="34"/>
    </row>
    <row r="21" spans="1:10" ht="47.25" customHeight="1" x14ac:dyDescent="0.25">
      <c r="A21" s="75">
        <f>_xlfn.AGGREGATE(3,3,$C$6:C21)</f>
        <v>16</v>
      </c>
      <c r="B21" s="34" t="str">
        <f>Thuysan!O106</f>
        <v>Cá tra thương phẩm</v>
      </c>
      <c r="C21" s="34" t="str">
        <f>Thuysan!P106</f>
        <v>83/0723/16</v>
      </c>
      <c r="D21" s="124" t="str">
        <f>Thuysan!Q106</f>
        <v>Chợ Lách 83/07</v>
      </c>
      <c r="E21" s="124" t="str">
        <f>Thuysan!R106</f>
        <v>Công ty CP NTTS Hùng Vương - Miền Tây - Ấp An Hòa, Xã Long Thới</v>
      </c>
      <c r="F21" s="34">
        <f>Thuysan!S106</f>
        <v>1.5</v>
      </c>
      <c r="G21" s="34" t="str">
        <f>Thuysan!T106</f>
        <v>Nhóm Quinolones</v>
      </c>
      <c r="H21" s="124" t="str">
        <f>Thuysan!U106</f>
        <v>13/07/2023</v>
      </c>
      <c r="I21" s="124" t="str">
        <f>Thuysan!V106</f>
        <v>Nguyễn Duy Khanh</v>
      </c>
      <c r="J21" s="34"/>
    </row>
    <row r="22" spans="1:10" ht="15.75" customHeight="1" x14ac:dyDescent="0.25">
      <c r="A22" s="75">
        <f>_xlfn.AGGREGATE(3,3,$C$6:C22)</f>
        <v>17</v>
      </c>
      <c r="B22" s="34" t="str">
        <f>Thuysan!O107</f>
        <v>Cá tra thương phẩm</v>
      </c>
      <c r="C22" s="34" t="str">
        <f>Thuysan!P107</f>
        <v>83/0723/17</v>
      </c>
      <c r="D22" s="125"/>
      <c r="E22" s="125"/>
      <c r="F22" s="34">
        <f>Thuysan!S107</f>
        <v>1.5</v>
      </c>
      <c r="G22" s="34" t="str">
        <f>Thuysan!T107</f>
        <v>Erythromycin</v>
      </c>
      <c r="H22" s="125"/>
      <c r="I22" s="125"/>
      <c r="J22" s="34"/>
    </row>
    <row r="23" spans="1:10" ht="15.75" customHeight="1" x14ac:dyDescent="0.25">
      <c r="A23" s="75">
        <f>_xlfn.AGGREGATE(3,3,$C$6:C23)</f>
        <v>18</v>
      </c>
      <c r="B23" s="34" t="str">
        <f>Thuysan!O108</f>
        <v>Cá tra thương phẩm</v>
      </c>
      <c r="C23" s="34" t="str">
        <f>Thuysan!P108</f>
        <v>83/0723/18</v>
      </c>
      <c r="D23" s="125"/>
      <c r="E23" s="125"/>
      <c r="F23" s="34">
        <f>Thuysan!S108</f>
        <v>1.5</v>
      </c>
      <c r="G23" s="34" t="str">
        <f>Thuysan!T108</f>
        <v>Azadirachtin</v>
      </c>
      <c r="H23" s="125"/>
      <c r="I23" s="125"/>
      <c r="J23" s="34"/>
    </row>
    <row r="24" spans="1:10" ht="55.5" customHeight="1" x14ac:dyDescent="0.25">
      <c r="A24" s="75">
        <f>_xlfn.AGGREGATE(3,3,$C$6:C24)</f>
        <v>19</v>
      </c>
      <c r="B24" s="34" t="str">
        <f>Thuysan!O109</f>
        <v>Cá tra thương phẩm</v>
      </c>
      <c r="C24" s="34" t="str">
        <f>Thuysan!P109</f>
        <v>83/0723/19</v>
      </c>
      <c r="D24" s="126"/>
      <c r="E24" s="126"/>
      <c r="F24" s="34">
        <f>Thuysan!S109</f>
        <v>1.5</v>
      </c>
      <c r="G24" s="34" t="str">
        <f>Thuysan!T109</f>
        <v>-</v>
      </c>
      <c r="H24" s="126"/>
      <c r="I24" s="126"/>
      <c r="J24" s="34"/>
    </row>
  </sheetData>
  <mergeCells count="27">
    <mergeCell ref="I21:I24"/>
    <mergeCell ref="I13:I15"/>
    <mergeCell ref="I17:I18"/>
    <mergeCell ref="H17:H18"/>
    <mergeCell ref="H13:H15"/>
    <mergeCell ref="H19:H20"/>
    <mergeCell ref="I19:I20"/>
    <mergeCell ref="A1:J1"/>
    <mergeCell ref="A2:J2"/>
    <mergeCell ref="A3:J3"/>
    <mergeCell ref="E6:E7"/>
    <mergeCell ref="E9:E10"/>
    <mergeCell ref="I6:I8"/>
    <mergeCell ref="D9:D12"/>
    <mergeCell ref="H9:H12"/>
    <mergeCell ref="I9:I12"/>
    <mergeCell ref="E19:E20"/>
    <mergeCell ref="E21:E24"/>
    <mergeCell ref="E11:E12"/>
    <mergeCell ref="H6:H8"/>
    <mergeCell ref="D6:D8"/>
    <mergeCell ref="H21:H24"/>
    <mergeCell ref="D19:D20"/>
    <mergeCell ref="D21:D24"/>
    <mergeCell ref="D17:D18"/>
    <mergeCell ref="D13:D15"/>
    <mergeCell ref="E17:E18"/>
  </mergeCells>
  <pageMargins left="0.41" right="0.19" top="0.43" bottom="0.3" header="0.3" footer="0.18"/>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opLeftCell="A4" zoomScaleNormal="100" workbookViewId="0">
      <selection activeCell="E25" sqref="E25"/>
    </sheetView>
  </sheetViews>
  <sheetFormatPr defaultColWidth="11.42578125" defaultRowHeight="15" x14ac:dyDescent="0.25"/>
  <cols>
    <col min="1" max="1" width="5.42578125" style="38" customWidth="1"/>
    <col min="2" max="2" width="24.42578125" style="33" customWidth="1"/>
    <col min="3" max="3" width="13.14062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512</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15.75" x14ac:dyDescent="0.25">
      <c r="A6" s="68">
        <f>_xlfn.AGGREGATE(3,3,$C$6:C6)</f>
        <v>1</v>
      </c>
      <c r="B6" s="34" t="str">
        <f>Thuysan!O71</f>
        <v>Tôm sú thương phẩm</v>
      </c>
      <c r="C6" s="34" t="str">
        <f>Thuysan!P71</f>
        <v>83/0623/01</v>
      </c>
      <c r="D6" s="124" t="str">
        <f>Thuysan!Q71</f>
        <v>Ba Tri 83/01</v>
      </c>
      <c r="E6" s="124" t="str">
        <f>Thuysan!R71</f>
        <v>Nguyễn Văn Phong - Ấp 7, Xã An Thủy</v>
      </c>
      <c r="F6" s="34">
        <f>Thuysan!S71</f>
        <v>1</v>
      </c>
      <c r="G6" s="34" t="str">
        <f>Thuysan!T71</f>
        <v>Chloramphenicol</v>
      </c>
      <c r="H6" s="124" t="str">
        <f>Thuysan!U71</f>
        <v>20/06/2023</v>
      </c>
      <c r="I6" s="124" t="str">
        <f>Thuysan!V71</f>
        <v>Phạm Minh Thuận</v>
      </c>
      <c r="J6" s="34" t="str">
        <f>Thuysan!W71</f>
        <v>Ao 1</v>
      </c>
    </row>
    <row r="7" spans="1:10" ht="30.75" customHeight="1" x14ac:dyDescent="0.25">
      <c r="A7" s="68">
        <f>_xlfn.AGGREGATE(3,3,$C$6:C7)</f>
        <v>2</v>
      </c>
      <c r="B7" s="34" t="str">
        <f>Thuysan!O72</f>
        <v>Tôm chân trắng thương phẩm</v>
      </c>
      <c r="C7" s="34" t="str">
        <f>Thuysan!P72</f>
        <v>83/0623/02</v>
      </c>
      <c r="D7" s="126"/>
      <c r="E7" s="126"/>
      <c r="F7" s="34">
        <f>Thuysan!S72</f>
        <v>1</v>
      </c>
      <c r="G7" s="34" t="str">
        <f>Thuysan!T72</f>
        <v>Nhóm Quinolones</v>
      </c>
      <c r="H7" s="126"/>
      <c r="I7" s="126"/>
      <c r="J7" s="34" t="str">
        <f>Thuysan!W72</f>
        <v>Ao 2</v>
      </c>
    </row>
    <row r="8" spans="1:10" ht="15.75" x14ac:dyDescent="0.25">
      <c r="A8" s="68">
        <f>_xlfn.AGGREGATE(3,3,$C$6:C8)</f>
        <v>3</v>
      </c>
      <c r="B8" s="34" t="str">
        <f>Thuysan!O73</f>
        <v>Tôm sú thương phẩm</v>
      </c>
      <c r="C8" s="34" t="str">
        <f>Thuysan!P73</f>
        <v>83/0623/03</v>
      </c>
      <c r="D8" s="124" t="str">
        <f>Thuysan!Q73</f>
        <v>Bình Đại 83/02</v>
      </c>
      <c r="E8" s="124" t="str">
        <f>Thuysan!R73</f>
        <v>Lê Minh Khách - Ấp Phước Hòa, Xã Thạnh Phước</v>
      </c>
      <c r="F8" s="34">
        <f>Thuysan!S73</f>
        <v>1</v>
      </c>
      <c r="G8" s="34" t="str">
        <f>Thuysan!T73</f>
        <v>Fosfomycin</v>
      </c>
      <c r="H8" s="124" t="str">
        <f>Thuysan!U73</f>
        <v>20/06/2023</v>
      </c>
      <c r="I8" s="124" t="str">
        <f>Thuysan!V73</f>
        <v>Cao Quang Nguyên</v>
      </c>
      <c r="J8" s="34" t="str">
        <f>Thuysan!W73</f>
        <v>Ao 1</v>
      </c>
    </row>
    <row r="9" spans="1:10" ht="31.5" customHeight="1" x14ac:dyDescent="0.25">
      <c r="A9" s="68">
        <f>_xlfn.AGGREGATE(3,3,$C$6:C9)</f>
        <v>4</v>
      </c>
      <c r="B9" s="34" t="str">
        <f>Thuysan!O74</f>
        <v>Tôm chân trắng thương phẩm</v>
      </c>
      <c r="C9" s="34" t="str">
        <f>Thuysan!P74</f>
        <v>83/0623/04</v>
      </c>
      <c r="D9" s="125"/>
      <c r="E9" s="126"/>
      <c r="F9" s="34">
        <f>Thuysan!S74</f>
        <v>1</v>
      </c>
      <c r="G9" s="34" t="str">
        <f>Thuysan!T74</f>
        <v>Nhóm Tetracyclines</v>
      </c>
      <c r="H9" s="125"/>
      <c r="I9" s="125"/>
      <c r="J9" s="34" t="str">
        <f>Thuysan!W74</f>
        <v>Ao 2</v>
      </c>
    </row>
    <row r="10" spans="1:10" ht="15.75" x14ac:dyDescent="0.25">
      <c r="A10" s="68">
        <f>_xlfn.AGGREGATE(3,3,$C$6:C10)</f>
        <v>5</v>
      </c>
      <c r="B10" s="34" t="str">
        <f>Thuysan!O75</f>
        <v>Cá tra thương phẩm</v>
      </c>
      <c r="C10" s="34" t="str">
        <f>Thuysan!P75</f>
        <v>83/0623/05</v>
      </c>
      <c r="D10" s="125"/>
      <c r="E10" s="124" t="str">
        <f>Thuysan!R75</f>
        <v>Công ty CP Gò Đàng - Ấp 4, Xã Tam Hiệp</v>
      </c>
      <c r="F10" s="34">
        <f>Thuysan!S75</f>
        <v>1.5</v>
      </c>
      <c r="G10" s="34" t="str">
        <f>Thuysan!T75</f>
        <v>-</v>
      </c>
      <c r="H10" s="125"/>
      <c r="I10" s="125"/>
      <c r="J10" s="34" t="str">
        <f>Thuysan!W75</f>
        <v>Ao 3</v>
      </c>
    </row>
    <row r="11" spans="1:10" ht="15.75" x14ac:dyDescent="0.25">
      <c r="A11" s="68">
        <f>_xlfn.AGGREGATE(3,3,$C$6:C11)</f>
        <v>6</v>
      </c>
      <c r="B11" s="34" t="str">
        <f>Thuysan!O76</f>
        <v>Cá tra thương phẩm</v>
      </c>
      <c r="C11" s="34" t="str">
        <f>Thuysan!P76</f>
        <v>83/0623/06</v>
      </c>
      <c r="D11" s="126"/>
      <c r="E11" s="126"/>
      <c r="F11" s="34">
        <f>Thuysan!S76</f>
        <v>1.5</v>
      </c>
      <c r="G11" s="34" t="str">
        <f>Thuysan!T76</f>
        <v>Florfenicol</v>
      </c>
      <c r="H11" s="126"/>
      <c r="I11" s="126"/>
      <c r="J11" s="34" t="str">
        <f>Thuysan!W76</f>
        <v>Ao 6</v>
      </c>
    </row>
    <row r="12" spans="1:10" ht="15.75" customHeight="1" x14ac:dyDescent="0.25">
      <c r="A12" s="68">
        <f>_xlfn.AGGREGATE(3,3,$C$6:C12)</f>
        <v>7</v>
      </c>
      <c r="B12" s="34" t="str">
        <f>Thuysan!O77</f>
        <v>Tôm sú thương phẩm</v>
      </c>
      <c r="C12" s="34" t="str">
        <f>Thuysan!P77</f>
        <v>83/0623/07</v>
      </c>
      <c r="D12" s="124" t="str">
        <f>Thuysan!Q77</f>
        <v>Thạnh Phú 83/03</v>
      </c>
      <c r="E12" s="124" t="str">
        <f>Thuysan!R77</f>
        <v>Cao Văn Tùng - Ấp An Hòa, Xã An Nhơn</v>
      </c>
      <c r="F12" s="34">
        <f>Thuysan!S77</f>
        <v>1</v>
      </c>
      <c r="G12" s="34" t="str">
        <f>Thuysan!T77</f>
        <v>Amoxicillin</v>
      </c>
      <c r="H12" s="124" t="str">
        <f>Thuysan!U77</f>
        <v>21/06/2023</v>
      </c>
      <c r="I12" s="124" t="str">
        <f>Thuysan!V77</f>
        <v>Cao Quang Nguyên</v>
      </c>
      <c r="J12" s="34" t="str">
        <f>Thuysan!W77</f>
        <v>Ao 1</v>
      </c>
    </row>
    <row r="13" spans="1:10" ht="15.75" x14ac:dyDescent="0.25">
      <c r="A13" s="68">
        <f>_xlfn.AGGREGATE(3,3,$C$6:C13)</f>
        <v>8</v>
      </c>
      <c r="B13" s="34" t="str">
        <f>Thuysan!O78</f>
        <v>Tôm sú thương phẩm</v>
      </c>
      <c r="C13" s="34" t="str">
        <f>Thuysan!P78</f>
        <v>83/0623/08</v>
      </c>
      <c r="D13" s="125"/>
      <c r="E13" s="126"/>
      <c r="F13" s="34">
        <f>Thuysan!S78</f>
        <v>1</v>
      </c>
      <c r="G13" s="34" t="str">
        <f>Thuysan!T78</f>
        <v>Trifluralin</v>
      </c>
      <c r="H13" s="125"/>
      <c r="I13" s="125"/>
      <c r="J13" s="34" t="str">
        <f>Thuysan!W78</f>
        <v>Ao 2</v>
      </c>
    </row>
    <row r="14" spans="1:10" ht="31.5" customHeight="1" x14ac:dyDescent="0.25">
      <c r="A14" s="68">
        <f>_xlfn.AGGREGATE(3,3,$C$6:C14)</f>
        <v>9</v>
      </c>
      <c r="B14" s="34" t="str">
        <f>Thuysan!O79</f>
        <v>Tôm sú quảng canh</v>
      </c>
      <c r="C14" s="34" t="str">
        <f>Thuysan!P79</f>
        <v>83/0623/09</v>
      </c>
      <c r="D14" s="125"/>
      <c r="E14" s="34" t="str">
        <f>Thuysan!R79</f>
        <v>Lê Thị Kiều Oanh - Ấp Giao Hòa B, Xã Giao Thạnh</v>
      </c>
      <c r="F14" s="34">
        <f>Thuysan!S79</f>
        <v>1</v>
      </c>
      <c r="G14" s="34" t="str">
        <f>Thuysan!T79</f>
        <v>-</v>
      </c>
      <c r="H14" s="125"/>
      <c r="I14" s="125"/>
      <c r="J14" s="34" t="str">
        <f>Thuysan!W79</f>
        <v/>
      </c>
    </row>
    <row r="15" spans="1:10" ht="31.5" x14ac:dyDescent="0.25">
      <c r="A15" s="68">
        <f>_xlfn.AGGREGATE(3,3,$C$6:C15)</f>
        <v>10</v>
      </c>
      <c r="B15" s="34" t="str">
        <f>Thuysan!O80</f>
        <v>Tôm chân trắng thương phẩm</v>
      </c>
      <c r="C15" s="34" t="str">
        <f>Thuysan!P80</f>
        <v>83/0623/10</v>
      </c>
      <c r="D15" s="126"/>
      <c r="E15" s="34" t="str">
        <f>Thuysan!R80</f>
        <v>Cao Văn Tùng - Ấp An Hòa, Xã An Nhơn</v>
      </c>
      <c r="F15" s="34">
        <f>Thuysan!S80</f>
        <v>1</v>
      </c>
      <c r="G15" s="34" t="str">
        <f>Thuysan!T80</f>
        <v>Nhóm Quinolones</v>
      </c>
      <c r="H15" s="126"/>
      <c r="I15" s="126"/>
      <c r="J15" s="34" t="str">
        <f>Thuysan!W80</f>
        <v>Ao 3</v>
      </c>
    </row>
    <row r="16" spans="1:10" ht="15.75" x14ac:dyDescent="0.25">
      <c r="A16" s="68">
        <f>_xlfn.AGGREGATE(3,3,$C$6:C16)</f>
        <v>11</v>
      </c>
      <c r="B16" s="34" t="str">
        <f>Thuysan!O81</f>
        <v>Cá tra thương phẩm</v>
      </c>
      <c r="C16" s="34" t="str">
        <f>Thuysan!P81</f>
        <v>83/0623/11</v>
      </c>
      <c r="D16" s="124" t="str">
        <f>Thuysan!Q81</f>
        <v>Mỏ Cày 83/04</v>
      </c>
      <c r="E16" s="124" t="str">
        <f>Thuysan!R81</f>
        <v>Công ty CP Gò Đàng - Ấp Tân Phong, Xã Thành Thới A</v>
      </c>
      <c r="F16" s="34">
        <f>Thuysan!S81</f>
        <v>1.5</v>
      </c>
      <c r="G16" s="34" t="str">
        <f>Thuysan!T81</f>
        <v>Nhóm Tetracyclines</v>
      </c>
      <c r="H16" s="124" t="str">
        <f>Thuysan!U81</f>
        <v>21/06/2023</v>
      </c>
      <c r="I16" s="124" t="str">
        <f>Thuysan!V81</f>
        <v>Phạm Minh Thuận</v>
      </c>
      <c r="J16" s="34" t="str">
        <f>Thuysan!W81</f>
        <v>Ao 13</v>
      </c>
    </row>
    <row r="17" spans="1:10" ht="27" customHeight="1" x14ac:dyDescent="0.25">
      <c r="A17" s="68">
        <f>_xlfn.AGGREGATE(3,3,$C$6:C17)</f>
        <v>12</v>
      </c>
      <c r="B17" s="34" t="str">
        <f>Thuysan!O82</f>
        <v>Cá tra thương phẩm</v>
      </c>
      <c r="C17" s="34" t="str">
        <f>Thuysan!P82</f>
        <v>83/0623/12</v>
      </c>
      <c r="D17" s="126"/>
      <c r="E17" s="126"/>
      <c r="F17" s="34">
        <f>Thuysan!S82</f>
        <v>1.5</v>
      </c>
      <c r="G17" s="34" t="str">
        <f>Thuysan!T82</f>
        <v>Nhóm Sulfonamides</v>
      </c>
      <c r="H17" s="126"/>
      <c r="I17" s="126"/>
      <c r="J17" s="34" t="str">
        <f>Thuysan!W82</f>
        <v>Ao 6</v>
      </c>
    </row>
    <row r="18" spans="1:10" ht="15.75" x14ac:dyDescent="0.25">
      <c r="A18" s="68">
        <f>_xlfn.AGGREGATE(3,3,$C$6:C18)</f>
        <v>13</v>
      </c>
      <c r="B18" s="34" t="str">
        <f>Thuysan!O83</f>
        <v>Cá tra thương phẩm</v>
      </c>
      <c r="C18" s="34" t="str">
        <f>Thuysan!P83</f>
        <v>83/0623/13</v>
      </c>
      <c r="D18" s="124" t="str">
        <f>Thuysan!Q83</f>
        <v>Châu Thành 83/05</v>
      </c>
      <c r="E18" s="124" t="str">
        <f>Thuysan!R83</f>
        <v>Công ty TNHH CBTPXK Vạn Đức Tiền Giang - Ấp Tiên Lợi, Xã Tiên Long</v>
      </c>
      <c r="F18" s="34">
        <f>Thuysan!S83</f>
        <v>1.5</v>
      </c>
      <c r="G18" s="34" t="str">
        <f>Thuysan!T83</f>
        <v>Nhóm Sulfonamides</v>
      </c>
      <c r="H18" s="124" t="str">
        <f>Thuysan!U83</f>
        <v>20/06/2023</v>
      </c>
      <c r="I18" s="124" t="str">
        <f>Thuysan!V83</f>
        <v>Phạm Văn Lâm</v>
      </c>
      <c r="J18" s="34" t="str">
        <f>Thuysan!W83</f>
        <v>Ao 2</v>
      </c>
    </row>
    <row r="19" spans="1:10" ht="31.5" customHeight="1" x14ac:dyDescent="0.25">
      <c r="A19" s="68">
        <f>_xlfn.AGGREGATE(3,3,$C$6:C19)</f>
        <v>14</v>
      </c>
      <c r="B19" s="34" t="str">
        <f>Thuysan!O84</f>
        <v>Cá tra thương phẩm</v>
      </c>
      <c r="C19" s="34" t="str">
        <f>Thuysan!P84</f>
        <v>83/0623/14</v>
      </c>
      <c r="D19" s="126"/>
      <c r="E19" s="126"/>
      <c r="F19" s="34">
        <f>Thuysan!S84</f>
        <v>1.5</v>
      </c>
      <c r="G19" s="34" t="str">
        <f>Thuysan!T84</f>
        <v>Nhóm Quinolones</v>
      </c>
      <c r="H19" s="126"/>
      <c r="I19" s="126"/>
      <c r="J19" s="34" t="str">
        <f>Thuysan!W84</f>
        <v>Ao 5</v>
      </c>
    </row>
    <row r="20" spans="1:10" ht="24" customHeight="1" x14ac:dyDescent="0.25">
      <c r="A20" s="68">
        <f>_xlfn.AGGREGATE(3,3,$C$6:C20)</f>
        <v>15</v>
      </c>
      <c r="B20" s="34" t="str">
        <f>Thuysan!O85</f>
        <v>Cá tra thương phẩm</v>
      </c>
      <c r="C20" s="34" t="str">
        <f>Thuysan!P85</f>
        <v>83/0623/15</v>
      </c>
      <c r="D20" s="124" t="str">
        <f>Thuysan!Q85</f>
        <v>Giồng Trôm 83/06</v>
      </c>
      <c r="E20" s="124" t="str">
        <f>Thuysan!R85</f>
        <v>Công ty CP Gò Đàng - Ấp 1, Xã Hưng Phong</v>
      </c>
      <c r="F20" s="34">
        <f>Thuysan!S85</f>
        <v>1.5</v>
      </c>
      <c r="G20" s="34" t="str">
        <f>Thuysan!T85</f>
        <v>Trimethoprim</v>
      </c>
      <c r="H20" s="124" t="str">
        <f>Thuysan!U85</f>
        <v>22/06/2023</v>
      </c>
      <c r="I20" s="124" t="str">
        <f>Thuysan!V85</f>
        <v>Phạm Minh Thuận</v>
      </c>
      <c r="J20" s="34" t="str">
        <f>Thuysan!W85</f>
        <v>Ao B3</v>
      </c>
    </row>
    <row r="21" spans="1:10" ht="27" customHeight="1" x14ac:dyDescent="0.25">
      <c r="A21" s="68">
        <f>_xlfn.AGGREGATE(3,3,$C$6:C21)</f>
        <v>16</v>
      </c>
      <c r="B21" s="34" t="str">
        <f>Thuysan!O86</f>
        <v>Cá tra thương phẩm</v>
      </c>
      <c r="C21" s="34" t="str">
        <f>Thuysan!P86</f>
        <v>83/0623/16</v>
      </c>
      <c r="D21" s="126"/>
      <c r="E21" s="126"/>
      <c r="F21" s="34">
        <f>Thuysan!S86</f>
        <v>1.5</v>
      </c>
      <c r="G21" s="34" t="str">
        <f>Thuysan!T86</f>
        <v>Ormetoprim</v>
      </c>
      <c r="H21" s="126"/>
      <c r="I21" s="126"/>
      <c r="J21" s="34" t="str">
        <f>Thuysan!W86</f>
        <v>Ao B5</v>
      </c>
    </row>
    <row r="22" spans="1:10" ht="15.75" x14ac:dyDescent="0.25">
      <c r="A22" s="68">
        <f>_xlfn.AGGREGATE(3,3,$C$6:C22)</f>
        <v>17</v>
      </c>
      <c r="B22" s="34" t="str">
        <f>Thuysan!O87</f>
        <v>Cá tra thương phẩm</v>
      </c>
      <c r="C22" s="34" t="str">
        <f>Thuysan!P87</f>
        <v>83/0623/17</v>
      </c>
      <c r="D22" s="124" t="str">
        <f>Thuysan!Q87</f>
        <v>Chợ Lách 83/07</v>
      </c>
      <c r="E22" s="124" t="str">
        <f>Thuysan!R87</f>
        <v>Công ty CP Thủy sản Vinh Quang - Ấp Quân Bình, Xã Tân Thiềng</v>
      </c>
      <c r="F22" s="34">
        <f>Thuysan!S87</f>
        <v>1.5</v>
      </c>
      <c r="G22" s="34" t="str">
        <f>Thuysan!T87</f>
        <v>Nhóm Tetracyclines</v>
      </c>
      <c r="H22" s="124" t="str">
        <f>Thuysan!U87</f>
        <v>21/06/2023</v>
      </c>
      <c r="I22" s="124" t="str">
        <f>Thuysan!V87</f>
        <v>Phạm Văn Lâm</v>
      </c>
      <c r="J22" s="34" t="str">
        <f>Thuysan!W87</f>
        <v>Ao 2B</v>
      </c>
    </row>
    <row r="23" spans="1:10" ht="15.75" customHeight="1" x14ac:dyDescent="0.25">
      <c r="A23" s="68">
        <f>_xlfn.AGGREGATE(3,3,$C$6:C23)</f>
        <v>18</v>
      </c>
      <c r="B23" s="34" t="str">
        <f>Thuysan!O88</f>
        <v>Cá tra thương phẩm</v>
      </c>
      <c r="C23" s="34" t="str">
        <f>Thuysan!P88</f>
        <v>83/0623/18</v>
      </c>
      <c r="D23" s="125"/>
      <c r="E23" s="125"/>
      <c r="F23" s="34">
        <f>Thuysan!S88</f>
        <v>1.5</v>
      </c>
      <c r="G23" s="34" t="str">
        <f>Thuysan!T88</f>
        <v>Nhóm Sulfonamides</v>
      </c>
      <c r="H23" s="125"/>
      <c r="I23" s="125"/>
      <c r="J23" s="34" t="str">
        <f>Thuysan!W88</f>
        <v>Ao 2</v>
      </c>
    </row>
    <row r="24" spans="1:10" ht="15.75" x14ac:dyDescent="0.25">
      <c r="A24" s="68">
        <f>_xlfn.AGGREGATE(3,3,$C$6:C24)</f>
        <v>19</v>
      </c>
      <c r="B24" s="34" t="str">
        <f>Thuysan!O89</f>
        <v>Cá tra thương phẩm</v>
      </c>
      <c r="C24" s="34" t="str">
        <f>Thuysan!P89</f>
        <v>83/0623/19</v>
      </c>
      <c r="D24" s="125"/>
      <c r="E24" s="126"/>
      <c r="F24" s="34">
        <f>Thuysan!S89</f>
        <v>1.5</v>
      </c>
      <c r="G24" s="34" t="str">
        <f>Thuysan!T89</f>
        <v>Ormetoprim</v>
      </c>
      <c r="H24" s="125"/>
      <c r="I24" s="125"/>
      <c r="J24" s="34" t="str">
        <f>Thuysan!W89</f>
        <v>Ao 5</v>
      </c>
    </row>
    <row r="25" spans="1:10" ht="47.25" x14ac:dyDescent="0.25">
      <c r="A25" s="68">
        <f>_xlfn.AGGREGATE(3,3,$C$6:C25)</f>
        <v>20</v>
      </c>
      <c r="B25" s="34" t="str">
        <f>Thuysan!O90</f>
        <v>Cá tra thương phẩm</v>
      </c>
      <c r="C25" s="34" t="str">
        <f>Thuysan!P90</f>
        <v>83/0623/20</v>
      </c>
      <c r="D25" s="126"/>
      <c r="E25" s="34" t="str">
        <f>Thuysan!R90</f>
        <v>Công ty TNHH CBTPXK Vạn Đức Tiền Giang - Ấp Thiện Lương, Xã Tân Thiềng</v>
      </c>
      <c r="F25" s="34">
        <f>Thuysan!S90</f>
        <v>1.5</v>
      </c>
      <c r="G25" s="34" t="str">
        <f>Thuysan!T90</f>
        <v>Fosfomycin</v>
      </c>
      <c r="H25" s="126"/>
      <c r="I25" s="126"/>
      <c r="J25" s="34" t="str">
        <f>Thuysan!W90</f>
        <v>Ao 11</v>
      </c>
    </row>
  </sheetData>
  <mergeCells count="32">
    <mergeCell ref="D16:D17"/>
    <mergeCell ref="D12:D15"/>
    <mergeCell ref="D8:D11"/>
    <mergeCell ref="A1:J1"/>
    <mergeCell ref="A2:J2"/>
    <mergeCell ref="A3:J3"/>
    <mergeCell ref="D6:D7"/>
    <mergeCell ref="H6:H7"/>
    <mergeCell ref="H8:H11"/>
    <mergeCell ref="E6:E7"/>
    <mergeCell ref="E8:E9"/>
    <mergeCell ref="E10:E11"/>
    <mergeCell ref="E12:E13"/>
    <mergeCell ref="E16:E17"/>
    <mergeCell ref="I6:I7"/>
    <mergeCell ref="I8:I11"/>
    <mergeCell ref="D22:D25"/>
    <mergeCell ref="D20:D21"/>
    <mergeCell ref="I20:I21"/>
    <mergeCell ref="I22:I25"/>
    <mergeCell ref="D18:D19"/>
    <mergeCell ref="E18:E19"/>
    <mergeCell ref="E20:E21"/>
    <mergeCell ref="H20:H21"/>
    <mergeCell ref="H22:H25"/>
    <mergeCell ref="E22:E24"/>
    <mergeCell ref="I12:I15"/>
    <mergeCell ref="I16:I17"/>
    <mergeCell ref="I18:I19"/>
    <mergeCell ref="H12:H15"/>
    <mergeCell ref="H16:H17"/>
    <mergeCell ref="H18:H19"/>
  </mergeCells>
  <pageMargins left="0.41" right="0.19" top="0.43" bottom="0.3" header="0.3" footer="0.18"/>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A4" zoomScaleNormal="100" workbookViewId="0">
      <selection activeCell="C6" sqref="C6"/>
    </sheetView>
  </sheetViews>
  <sheetFormatPr defaultColWidth="11.42578125" defaultRowHeight="15" x14ac:dyDescent="0.25"/>
  <cols>
    <col min="1" max="1" width="5.42578125" style="38" customWidth="1"/>
    <col min="2" max="2" width="24.42578125" style="33" customWidth="1"/>
    <col min="3" max="3" width="13.14062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497</v>
      </c>
      <c r="B2" s="127"/>
      <c r="C2" s="127"/>
      <c r="D2" s="127"/>
      <c r="E2" s="127"/>
      <c r="F2" s="127"/>
      <c r="G2" s="127"/>
      <c r="H2" s="127"/>
      <c r="I2" s="127"/>
      <c r="J2" s="127"/>
    </row>
    <row r="3" spans="1:10" ht="34.5" customHeight="1" x14ac:dyDescent="0.25">
      <c r="A3" s="128" t="s">
        <v>486</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26.25" customHeight="1" x14ac:dyDescent="0.25">
      <c r="A6" s="64">
        <f>_xlfn.AGGREGATE(3,3,$C$6:C6)</f>
        <v>1</v>
      </c>
      <c r="B6" s="34" t="str">
        <f>Thuysan!O52</f>
        <v>Tôm chân trắng thương phẩm</v>
      </c>
      <c r="C6" s="34" t="str">
        <f>Thuysan!P52</f>
        <v>83/0424/10</v>
      </c>
      <c r="D6" s="124" t="str">
        <f>Thuysan!Q52</f>
        <v>Thạnh Phú 83/03</v>
      </c>
      <c r="E6" s="124" t="str">
        <f>Thuysan!R52</f>
        <v>Phạm Văn Triều - Ấp 4, Xã Thạnh Phong</v>
      </c>
      <c r="F6" s="34">
        <f>Thuysan!S52</f>
        <v>1</v>
      </c>
      <c r="G6" s="34" t="str">
        <f>Thuysan!T52</f>
        <v>Pb, Hg, Cd</v>
      </c>
      <c r="H6" s="124" t="str">
        <f>Thuysan!U52</f>
        <v>10/04/2024</v>
      </c>
      <c r="I6" s="124" t="str">
        <f>Thuysan!V52</f>
        <v>Cao Quang Nguyên</v>
      </c>
      <c r="J6" s="34" t="str">
        <f>Thuysan!W52</f>
        <v>Ao 2</v>
      </c>
    </row>
    <row r="7" spans="1:10" ht="24" customHeight="1" x14ac:dyDescent="0.25">
      <c r="A7" s="64">
        <f>_xlfn.AGGREGATE(3,3,$C$6:C7)</f>
        <v>2</v>
      </c>
      <c r="B7" s="34" t="str">
        <f>Thuysan!O53</f>
        <v>Cá tra thương phẩm</v>
      </c>
      <c r="C7" s="34" t="str">
        <f>Thuysan!P53</f>
        <v>83/0424/11</v>
      </c>
      <c r="D7" s="125"/>
      <c r="E7" s="125"/>
      <c r="F7" s="34">
        <f>Thuysan!S53</f>
        <v>1.5</v>
      </c>
      <c r="G7" s="34" t="str">
        <f>Thuysan!T53</f>
        <v>Pb, Hg, Cd</v>
      </c>
      <c r="H7" s="125"/>
      <c r="I7" s="125"/>
      <c r="J7" s="34" t="str">
        <f>Thuysan!W53</f>
        <v>Ao 4</v>
      </c>
    </row>
    <row r="8" spans="1:10" ht="47.25" x14ac:dyDescent="0.25">
      <c r="A8" s="64">
        <f>_xlfn.AGGREGATE(3,3,$C$6:C8)</f>
        <v>3</v>
      </c>
      <c r="B8" s="34" t="str">
        <f>Thuysan!O54</f>
        <v>Cá tra thương phẩm</v>
      </c>
      <c r="C8" s="34" t="str">
        <f>Thuysan!P54</f>
        <v>83/0424/12</v>
      </c>
      <c r="D8" s="126"/>
      <c r="E8" s="126"/>
      <c r="F8" s="34">
        <f>Thuysan!S54</f>
        <v>1.5</v>
      </c>
      <c r="G8" s="34" t="str">
        <f>Thuysan!T54</f>
        <v>Thuốc trừ sâu gốc Chlor hữu cơ; phospho hữu cơ; cúc tổng hợp…</v>
      </c>
      <c r="H8" s="126"/>
      <c r="I8" s="126"/>
      <c r="J8" s="34" t="str">
        <f>Thuysan!W54</f>
        <v>Ao 3</v>
      </c>
    </row>
    <row r="9" spans="1:10" ht="47.25" x14ac:dyDescent="0.25">
      <c r="A9" s="64">
        <f>_xlfn.AGGREGATE(3,3,$C$6:C9)</f>
        <v>4</v>
      </c>
      <c r="B9" s="34" t="str">
        <f>Thuysan!O55</f>
        <v>Cá tra thương phẩm</v>
      </c>
      <c r="C9" s="34" t="str">
        <f>Thuysan!P55</f>
        <v>83/0424/13</v>
      </c>
      <c r="D9" s="124" t="str">
        <f>Thuysan!Q55</f>
        <v>Châu Thành 83/05</v>
      </c>
      <c r="E9" s="34" t="str">
        <f>Thuysan!R55</f>
        <v>Công ty CP XNK Thủy sản Bến Tre (DL 22) - Ấp Phú Tân, Xã Phú Túc</v>
      </c>
      <c r="F9" s="34">
        <f>Thuysan!S55</f>
        <v>1.5</v>
      </c>
      <c r="G9" s="34" t="str">
        <f>Thuysan!T55</f>
        <v>Trimethoprim</v>
      </c>
      <c r="H9" s="124" t="str">
        <f>Thuysan!U55</f>
        <v>09/04/2024</v>
      </c>
      <c r="I9" s="124" t="str">
        <f>Thuysan!V55</f>
        <v>Nguyễn Duy Khanh</v>
      </c>
      <c r="J9" s="34" t="str">
        <f>Thuysan!W55</f>
        <v>Ao A4</v>
      </c>
    </row>
    <row r="10" spans="1:10" ht="47.25" x14ac:dyDescent="0.25">
      <c r="A10" s="64">
        <f>_xlfn.AGGREGATE(3,3,$C$6:C10)</f>
        <v>5</v>
      </c>
      <c r="B10" s="34" t="str">
        <f>Thuysan!O56</f>
        <v>Cá tra thương phẩm</v>
      </c>
      <c r="C10" s="34" t="str">
        <f>Thuysan!P56</f>
        <v>83/0424/14</v>
      </c>
      <c r="D10" s="125"/>
      <c r="E10" s="34" t="str">
        <f>Thuysan!R56</f>
        <v>Công ty CP XNK Thủy sản Bến Tre (DL 22) - Ấp Phú Tân, Xã Phú Túc</v>
      </c>
      <c r="F10" s="34">
        <f>Thuysan!S56</f>
        <v>1.5</v>
      </c>
      <c r="G10" s="34" t="str">
        <f>Thuysan!T56</f>
        <v>Pb, Hg, Cd</v>
      </c>
      <c r="H10" s="125"/>
      <c r="I10" s="125"/>
      <c r="J10" s="34" t="str">
        <f>Thuysan!W56</f>
        <v>Ao B4</v>
      </c>
    </row>
    <row r="11" spans="1:10" ht="31.5" customHeight="1" x14ac:dyDescent="0.25">
      <c r="A11" s="64">
        <f>_xlfn.AGGREGATE(3,3,$C$6:C11)</f>
        <v>6</v>
      </c>
      <c r="B11" s="34" t="str">
        <f>Thuysan!O57</f>
        <v>Cá tra thương phẩm</v>
      </c>
      <c r="C11" s="34" t="str">
        <f>Thuysan!P57</f>
        <v>83/0424/15</v>
      </c>
      <c r="D11" s="125"/>
      <c r="E11" s="34" t="str">
        <f>Thuysan!R57</f>
        <v>Công ty CP XNK Thủy sản Bến Tre (DL 22) - Ấp Phú Tân, Xã Phú Túc</v>
      </c>
      <c r="F11" s="34">
        <f>Thuysan!S57</f>
        <v>1.5</v>
      </c>
      <c r="G11" s="34" t="str">
        <f>Thuysan!T57</f>
        <v>Thuốc trừ sâu gốc Chlor hữu cơ; phospho hữu cơ; cúc tổng hợp…</v>
      </c>
      <c r="H11" s="125"/>
      <c r="I11" s="125"/>
      <c r="J11" s="34" t="str">
        <f>Thuysan!W57</f>
        <v>Ao B6</v>
      </c>
    </row>
    <row r="12" spans="1:10" ht="15.75" x14ac:dyDescent="0.25">
      <c r="A12" s="64">
        <f>_xlfn.AGGREGATE(3,3,$C$6:C12)</f>
        <v>7</v>
      </c>
      <c r="B12" s="34" t="str">
        <f>Thuysan!O58</f>
        <v>Cá tra thương phẩm</v>
      </c>
      <c r="C12" s="34" t="str">
        <f>Thuysan!P58</f>
        <v>83/0424/16</v>
      </c>
      <c r="D12" s="125"/>
      <c r="E12" s="124" t="str">
        <f>Thuysan!R58</f>
        <v xml:space="preserve">Không có mẫu - , </v>
      </c>
      <c r="F12" s="34">
        <f>Thuysan!S58</f>
        <v>1.5</v>
      </c>
      <c r="G12" s="34" t="str">
        <f>Thuysan!T58</f>
        <v>Nhóm Tetracyclines</v>
      </c>
      <c r="H12" s="125"/>
      <c r="I12" s="125"/>
      <c r="J12" s="34" t="str">
        <f>Thuysan!W58</f>
        <v/>
      </c>
    </row>
    <row r="13" spans="1:10" ht="15.75" x14ac:dyDescent="0.25">
      <c r="A13" s="64">
        <f>_xlfn.AGGREGATE(3,3,$C$6:C13)</f>
        <v>8</v>
      </c>
      <c r="B13" s="34" t="str">
        <f>Thuysan!O59</f>
        <v>Cá tra thương phẩm</v>
      </c>
      <c r="C13" s="34" t="str">
        <f>Thuysan!P59</f>
        <v>83/0424/17</v>
      </c>
      <c r="D13" s="126"/>
      <c r="E13" s="126"/>
      <c r="F13" s="34">
        <f>Thuysan!S59</f>
        <v>1.5</v>
      </c>
      <c r="G13" s="34" t="str">
        <f>Thuysan!T59</f>
        <v>Florfenicol</v>
      </c>
      <c r="H13" s="126"/>
      <c r="I13" s="126"/>
      <c r="J13" s="34" t="str">
        <f>Thuysan!W59</f>
        <v/>
      </c>
    </row>
    <row r="14" spans="1:10" ht="31.5" customHeight="1" x14ac:dyDescent="0.25">
      <c r="A14" s="64">
        <f>_xlfn.AGGREGATE(3,3,$C$6:C14)</f>
        <v>9</v>
      </c>
      <c r="B14" s="34" t="str">
        <f>Thuysan!O60</f>
        <v>Cá tra thương phẩm</v>
      </c>
      <c r="C14" s="34" t="str">
        <f>Thuysan!P60</f>
        <v>83/0424/18</v>
      </c>
      <c r="D14" s="124" t="str">
        <f>Thuysan!Q60</f>
        <v>Giồng Trôm 83/06</v>
      </c>
      <c r="E14" s="124" t="str">
        <f>Thuysan!R60</f>
        <v xml:space="preserve">Không có mẫu - , </v>
      </c>
      <c r="F14" s="34">
        <f>Thuysan!S60</f>
        <v>1.5</v>
      </c>
      <c r="G14" s="34" t="str">
        <f>Thuysan!T60</f>
        <v>Pb, Hg, Cd</v>
      </c>
      <c r="H14" s="124">
        <f>Thuysan!U60</f>
        <v>0</v>
      </c>
      <c r="I14" s="124" t="str">
        <f>Thuysan!V60</f>
        <v>-</v>
      </c>
      <c r="J14" s="34" t="str">
        <f>Thuysan!W60</f>
        <v/>
      </c>
    </row>
    <row r="15" spans="1:10" ht="15.75" x14ac:dyDescent="0.25">
      <c r="A15" s="64">
        <f>_xlfn.AGGREGATE(3,3,$C$6:C15)</f>
        <v>10</v>
      </c>
      <c r="B15" s="34" t="str">
        <f>Thuysan!O61</f>
        <v>Cá tra thương phẩm</v>
      </c>
      <c r="C15" s="34" t="str">
        <f>Thuysan!P61</f>
        <v>83/0424/19</v>
      </c>
      <c r="D15" s="126"/>
      <c r="E15" s="126"/>
      <c r="F15" s="34">
        <f>Thuysan!S61</f>
        <v>1.5</v>
      </c>
      <c r="G15" s="34" t="str">
        <f>Thuysan!T61</f>
        <v>Nhóm Nitroimidazoles</v>
      </c>
      <c r="H15" s="126"/>
      <c r="I15" s="126"/>
      <c r="J15" s="34" t="str">
        <f>Thuysan!W61</f>
        <v>Ao 1</v>
      </c>
    </row>
    <row r="16" spans="1:10" ht="63" x14ac:dyDescent="0.25">
      <c r="A16" s="64">
        <f>_xlfn.AGGREGATE(3,3,$C$6:C16)</f>
        <v>11</v>
      </c>
      <c r="B16" s="34" t="str">
        <f>Thuysan!O62</f>
        <v>Cá tra thương phẩm</v>
      </c>
      <c r="C16" s="34" t="str">
        <f>Thuysan!P62</f>
        <v>83/0424/20</v>
      </c>
      <c r="D16" s="34" t="str">
        <f>Thuysan!Q62</f>
        <v>Chợ Lách 83/07</v>
      </c>
      <c r="E16" s="34" t="str">
        <f>Thuysan!R62</f>
        <v>Công ty TNHH CBTPXK Vạn Đức Tiền Giang - Vùng nuôi Hòa Nghĩa, ấp Bình An, Xã Hòa Nghĩa</v>
      </c>
      <c r="F16" s="34">
        <f>Thuysan!S62</f>
        <v>1.5</v>
      </c>
      <c r="G16" s="34" t="str">
        <f>Thuysan!T62</f>
        <v>Ormetoprim</v>
      </c>
      <c r="H16" s="34" t="str">
        <f>Thuysan!U62</f>
        <v>10/04/2024</v>
      </c>
      <c r="I16" s="34" t="str">
        <f>Thuysan!V62</f>
        <v>Nguyễn Duy Khanh</v>
      </c>
      <c r="J16" s="34" t="str">
        <f>Thuysan!W62</f>
        <v>Ao 5</v>
      </c>
    </row>
    <row r="17" spans="1:10" ht="31.5" customHeight="1" x14ac:dyDescent="0.25">
      <c r="A17" s="64">
        <f>_xlfn.AGGREGATE(3,3,$C$6:C17)</f>
        <v>12</v>
      </c>
      <c r="B17" s="34" t="str">
        <f>Thuysan!O63</f>
        <v>Cá tra thương phẩm</v>
      </c>
      <c r="C17" s="34" t="str">
        <f>Thuysan!P63</f>
        <v>83/0424/21</v>
      </c>
      <c r="D17" s="124" t="str">
        <f>Thuysan!Q63</f>
        <v>Chợ Lách 83/07</v>
      </c>
      <c r="E17" s="124" t="str">
        <f>Thuysan!R63</f>
        <v>Công ty TNHH CBTPXK Vạn Đức Tiền Giang - Vùng nuôi Cồn Sơn, ấp Thanh Yên, Xã Tân Thiềng</v>
      </c>
      <c r="F17" s="34">
        <f>Thuysan!S63</f>
        <v>1.5</v>
      </c>
      <c r="G17" s="34" t="str">
        <f>Thuysan!T63</f>
        <v>Nhóm Tetracyclines</v>
      </c>
      <c r="H17" s="124" t="str">
        <f>Thuysan!U63</f>
        <v>10/04/2024</v>
      </c>
      <c r="I17" s="124" t="str">
        <f>Thuysan!V63</f>
        <v>Nguyễn Duy Khanh</v>
      </c>
      <c r="J17" s="34" t="str">
        <f>Thuysan!W63</f>
        <v>Ao 1</v>
      </c>
    </row>
    <row r="18" spans="1:10" ht="31.5" customHeight="1" x14ac:dyDescent="0.25">
      <c r="A18" s="64">
        <f>_xlfn.AGGREGATE(3,3,$C$6:C18)</f>
        <v>13</v>
      </c>
      <c r="B18" s="34" t="str">
        <f>Thuysan!O64</f>
        <v>Cá tra thương phẩm</v>
      </c>
      <c r="C18" s="34" t="str">
        <f>Thuysan!P64</f>
        <v>83/0424/22</v>
      </c>
      <c r="D18" s="126"/>
      <c r="E18" s="126"/>
      <c r="F18" s="34">
        <f>Thuysan!S64</f>
        <v>1.5</v>
      </c>
      <c r="G18" s="34" t="str">
        <f>Thuysan!T64</f>
        <v>Pb, Hg, Cd</v>
      </c>
      <c r="H18" s="126"/>
      <c r="I18" s="126"/>
      <c r="J18" s="34" t="str">
        <f>Thuysan!W64</f>
        <v>Ao 4</v>
      </c>
    </row>
    <row r="19" spans="1:10" ht="31.5" customHeight="1" x14ac:dyDescent="0.25">
      <c r="A19" s="64">
        <f>_xlfn.AGGREGATE(3,3,$C$6:C19)</f>
        <v>14</v>
      </c>
      <c r="B19" s="34" t="str">
        <f>Thuysan!O65</f>
        <v>Cá tra thương phẩm</v>
      </c>
      <c r="C19" s="34" t="str">
        <f>Thuysan!P65</f>
        <v>83/0424/23</v>
      </c>
      <c r="D19" s="124" t="str">
        <f>Thuysan!Q65</f>
        <v>Chợ Lách 83/07</v>
      </c>
      <c r="E19" s="124" t="str">
        <f>Thuysan!R65</f>
        <v>Công ty TNHH CBTPXK Vạn Đức Tiền Giang - Vùng nuôi Cồn Sơn, ấp Thanh Yên, Xã Tân Thiềng</v>
      </c>
      <c r="F19" s="34">
        <f>Thuysan!S65</f>
        <v>1.5</v>
      </c>
      <c r="G19" s="34" t="str">
        <f>Thuysan!T65</f>
        <v>Thuốc trừ sâu gốc Chlor hữu cơ; phospho hữu cơ; cúc tổng hợp…</v>
      </c>
      <c r="H19" s="124" t="str">
        <f>Thuysan!U65</f>
        <v>10/04/2024</v>
      </c>
      <c r="I19" s="124" t="str">
        <f>Thuysan!V65</f>
        <v>Nguyễn Duy Khanh</v>
      </c>
      <c r="J19" s="34" t="str">
        <f>Thuysan!W65</f>
        <v>Ao 7</v>
      </c>
    </row>
    <row r="20" spans="1:10" ht="24" customHeight="1" x14ac:dyDescent="0.25">
      <c r="A20" s="64">
        <f>_xlfn.AGGREGATE(3,3,$C$6:C20)</f>
        <v>15</v>
      </c>
      <c r="B20" s="34" t="str">
        <f>Thuysan!O66</f>
        <v>Cá tra thương phẩm</v>
      </c>
      <c r="C20" s="34" t="str">
        <f>Thuysan!P66</f>
        <v>83/0523/15</v>
      </c>
      <c r="D20" s="126"/>
      <c r="E20" s="126"/>
      <c r="F20" s="34">
        <f>Thuysan!S66</f>
        <v>1.5</v>
      </c>
      <c r="G20" s="34" t="str">
        <f>Thuysan!T66</f>
        <v>Nhóm Sulfonamides</v>
      </c>
      <c r="H20" s="126"/>
      <c r="I20" s="126"/>
      <c r="J20" s="34" t="str">
        <f>Thuysan!W66</f>
        <v>Ao D4</v>
      </c>
    </row>
    <row r="21" spans="1:10" ht="31.5" customHeight="1" x14ac:dyDescent="0.25">
      <c r="A21" s="64">
        <f>_xlfn.AGGREGATE(3,3,$C$6:C21)</f>
        <v>16</v>
      </c>
      <c r="B21" s="34" t="str">
        <f>Thuysan!O67</f>
        <v>Cá tra thương phẩm</v>
      </c>
      <c r="C21" s="34" t="str">
        <f>Thuysan!P67</f>
        <v>83/0523/16</v>
      </c>
      <c r="D21" s="124" t="str">
        <f>Thuysan!Q67</f>
        <v>Chợ Lách 83/07</v>
      </c>
      <c r="E21" s="124" t="str">
        <f>Thuysan!R67</f>
        <v>Công ty CP Vĩnh Hoàn - Ấp Phú Bình, Xã Vĩnh Bình</v>
      </c>
      <c r="F21" s="34">
        <f>Thuysan!S67</f>
        <v>1.5</v>
      </c>
      <c r="G21" s="34" t="str">
        <f>Thuysan!T67</f>
        <v>Nhóm Sulfonamides</v>
      </c>
      <c r="H21" s="124" t="str">
        <f>Thuysan!U67</f>
        <v>24/05/2023</v>
      </c>
      <c r="I21" s="124" t="str">
        <f>Thuysan!V67</f>
        <v>Phạm Văn Lâm</v>
      </c>
      <c r="J21" s="34" t="str">
        <f>Thuysan!W67</f>
        <v>Ao 9</v>
      </c>
    </row>
    <row r="22" spans="1:10" ht="31.5" customHeight="1" x14ac:dyDescent="0.25">
      <c r="A22" s="64">
        <f>_xlfn.AGGREGATE(3,3,$C$6:C22)</f>
        <v>17</v>
      </c>
      <c r="B22" s="34" t="str">
        <f>Thuysan!O68</f>
        <v>Cá tra thương phẩm</v>
      </c>
      <c r="C22" s="34" t="str">
        <f>Thuysan!P68</f>
        <v>83/0523/17</v>
      </c>
      <c r="D22" s="125"/>
      <c r="E22" s="125"/>
      <c r="F22" s="34">
        <f>Thuysan!S68</f>
        <v>1.5</v>
      </c>
      <c r="G22" s="34" t="str">
        <f>Thuysan!T68</f>
        <v>Nhóm Quinolones</v>
      </c>
      <c r="H22" s="125"/>
      <c r="I22" s="125"/>
      <c r="J22" s="34" t="str">
        <f>Thuysan!W68</f>
        <v>Ao 7</v>
      </c>
    </row>
    <row r="23" spans="1:10" ht="31.5" customHeight="1" x14ac:dyDescent="0.25">
      <c r="A23" s="64">
        <f>_xlfn.AGGREGATE(3,3,$C$6:C23)</f>
        <v>18</v>
      </c>
      <c r="B23" s="34" t="str">
        <f>Thuysan!O69</f>
        <v>Cá tra thương phẩm</v>
      </c>
      <c r="C23" s="34" t="str">
        <f>Thuysan!P69</f>
        <v>83/0523/18</v>
      </c>
      <c r="D23" s="125"/>
      <c r="E23" s="125"/>
      <c r="F23" s="34">
        <f>Thuysan!S69</f>
        <v>1.5</v>
      </c>
      <c r="G23" s="34" t="str">
        <f>Thuysan!T69</f>
        <v>Florfenicol</v>
      </c>
      <c r="H23" s="125"/>
      <c r="I23" s="125"/>
      <c r="J23" s="34" t="str">
        <f>Thuysan!W69</f>
        <v>Ao 8</v>
      </c>
    </row>
    <row r="24" spans="1:10" ht="31.5" customHeight="1" x14ac:dyDescent="0.25">
      <c r="A24" s="64">
        <f>_xlfn.AGGREGATE(3,3,$C$6:C24)</f>
        <v>19</v>
      </c>
      <c r="B24" s="34" t="str">
        <f>Thuysan!O70</f>
        <v>Cá tra thương phẩm</v>
      </c>
      <c r="C24" s="34" t="str">
        <f>Thuysan!P70</f>
        <v>83/0523/19</v>
      </c>
      <c r="D24" s="126"/>
      <c r="E24" s="126"/>
      <c r="F24" s="34">
        <f>Thuysan!S70</f>
        <v>1.5</v>
      </c>
      <c r="G24" s="34" t="str">
        <f>Thuysan!T70</f>
        <v>Trimethoprim</v>
      </c>
      <c r="H24" s="126"/>
      <c r="I24" s="126"/>
      <c r="J24" s="34" t="str">
        <f>Thuysan!W70</f>
        <v>Ao 19</v>
      </c>
    </row>
  </sheetData>
  <mergeCells count="27">
    <mergeCell ref="I21:I24"/>
    <mergeCell ref="I6:I8"/>
    <mergeCell ref="D9:D13"/>
    <mergeCell ref="H9:H13"/>
    <mergeCell ref="I9:I13"/>
    <mergeCell ref="D14:D15"/>
    <mergeCell ref="H14:H15"/>
    <mergeCell ref="I14:I15"/>
    <mergeCell ref="D21:D24"/>
    <mergeCell ref="H21:H24"/>
    <mergeCell ref="D17:D18"/>
    <mergeCell ref="H17:H18"/>
    <mergeCell ref="I17:I18"/>
    <mergeCell ref="D19:D20"/>
    <mergeCell ref="H19:H20"/>
    <mergeCell ref="I19:I20"/>
    <mergeCell ref="D6:D8"/>
    <mergeCell ref="H6:H8"/>
    <mergeCell ref="A1:J1"/>
    <mergeCell ref="A2:J2"/>
    <mergeCell ref="A3:J3"/>
    <mergeCell ref="E6:E8"/>
    <mergeCell ref="E12:E13"/>
    <mergeCell ref="E14:E15"/>
    <mergeCell ref="E17:E18"/>
    <mergeCell ref="E19:E20"/>
    <mergeCell ref="E21:E24"/>
  </mergeCells>
  <pageMargins left="0.41" right="0.19" top="0.43" bottom="0.3" header="0.3" footer="0.18"/>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zoomScale="85" zoomScaleNormal="85" workbookViewId="0">
      <selection activeCell="B6" sqref="B6"/>
    </sheetView>
  </sheetViews>
  <sheetFormatPr defaultColWidth="11.42578125" defaultRowHeight="15" x14ac:dyDescent="0.25"/>
  <cols>
    <col min="1" max="1" width="5.42578125" style="38" customWidth="1"/>
    <col min="2" max="2" width="24.42578125" style="33" customWidth="1"/>
    <col min="3" max="3" width="11.8554687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651</v>
      </c>
      <c r="B2" s="127"/>
      <c r="C2" s="127"/>
      <c r="D2" s="127"/>
      <c r="E2" s="127"/>
      <c r="F2" s="127"/>
      <c r="G2" s="127"/>
      <c r="H2" s="127"/>
      <c r="I2" s="127"/>
      <c r="J2" s="127"/>
    </row>
    <row r="3" spans="1:10" ht="34.5" customHeight="1" x14ac:dyDescent="0.25">
      <c r="A3" s="128" t="s">
        <v>640</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31.5" x14ac:dyDescent="0.25">
      <c r="A6" s="59">
        <f>_xlfn.AGGREGATE(3,3,$C$6:C6)</f>
        <v>1</v>
      </c>
      <c r="B6" s="34" t="str">
        <f>Thuysan!O43</f>
        <v>Tôm sú thương phẩm</v>
      </c>
      <c r="C6" s="34" t="str">
        <f>Thuysan!P43</f>
        <v>83/0424/01</v>
      </c>
      <c r="D6" s="124" t="str">
        <f>Thuysan!Q43</f>
        <v>Ba Tri 83/01</v>
      </c>
      <c r="E6" s="34" t="str">
        <f>Thuysan!R43</f>
        <v>Nguyễn Văn Út - Ấp 7, Thị Trấn Tiệm Tôm</v>
      </c>
      <c r="F6" s="34">
        <f>Thuysan!S43</f>
        <v>1</v>
      </c>
      <c r="G6" s="34" t="str">
        <f>Thuysan!T43</f>
        <v>Nitrofurans</v>
      </c>
      <c r="H6" s="124" t="str">
        <f>Thuysan!U43</f>
        <v>09/04/2024</v>
      </c>
      <c r="I6" s="124" t="str">
        <f>Thuysan!V43</f>
        <v>Phạm Minh Thuận</v>
      </c>
      <c r="J6" s="34" t="str">
        <f>Thuysan!W43</f>
        <v>Ao 1</v>
      </c>
    </row>
    <row r="7" spans="1:10" ht="31.5" x14ac:dyDescent="0.25">
      <c r="A7" s="59">
        <f>_xlfn.AGGREGATE(3,3,$C$6:C7)</f>
        <v>2</v>
      </c>
      <c r="B7" s="34" t="str">
        <f>Thuysan!O44</f>
        <v>Tôm chân trắng nhỏ</v>
      </c>
      <c r="C7" s="34" t="str">
        <f>Thuysan!P44</f>
        <v>83/0424/02</v>
      </c>
      <c r="D7" s="125"/>
      <c r="E7" s="34" t="str">
        <f>Thuysan!R44</f>
        <v>Phạm Văn Tư - Ấp 8, Thị Trấn Tiệm Tôm</v>
      </c>
      <c r="F7" s="34">
        <f>Thuysan!S44</f>
        <v>0.5</v>
      </c>
      <c r="G7" s="34" t="str">
        <f>Thuysan!T44</f>
        <v>Nitrofurans</v>
      </c>
      <c r="H7" s="125"/>
      <c r="I7" s="125"/>
      <c r="J7" s="34" t="str">
        <f>Thuysan!W44</f>
        <v>Ao 2</v>
      </c>
    </row>
    <row r="8" spans="1:10" ht="40.5" customHeight="1" x14ac:dyDescent="0.25">
      <c r="A8" s="59">
        <f>_xlfn.AGGREGATE(3,3,$C$6:C8)</f>
        <v>3</v>
      </c>
      <c r="B8" s="34" t="str">
        <f>Thuysan!O45</f>
        <v>Cá chẽm thương phẩm</v>
      </c>
      <c r="C8" s="34" t="str">
        <f>Thuysan!P45</f>
        <v>83/0424/03</v>
      </c>
      <c r="D8" s="126"/>
      <c r="E8" s="34" t="str">
        <f>Thuysan!R45</f>
        <v>Công ty TNHH Thực Phẩm Vạn Đức  - Ấp 6, Xã Bảo Thạnh</v>
      </c>
      <c r="F8" s="34">
        <f>Thuysan!S45</f>
        <v>0</v>
      </c>
      <c r="G8" s="34" t="str">
        <f>Thuysan!T45</f>
        <v xml:space="preserve"> Crystal Violet, Leuco Crystal Violet</v>
      </c>
      <c r="H8" s="126"/>
      <c r="I8" s="126"/>
      <c r="J8" s="34" t="str">
        <f>Thuysan!W45</f>
        <v>Ao A10</v>
      </c>
    </row>
    <row r="9" spans="1:10" ht="31.5" x14ac:dyDescent="0.25">
      <c r="A9" s="59">
        <f>_xlfn.AGGREGATE(3,3,$C$6:C9)</f>
        <v>4</v>
      </c>
      <c r="B9" s="34" t="str">
        <f>Thuysan!O46</f>
        <v>Tôm sú thương phẩm</v>
      </c>
      <c r="C9" s="34" t="str">
        <f>Thuysan!P46</f>
        <v>83/0424/04</v>
      </c>
      <c r="D9" s="124" t="str">
        <f>Thuysan!Q46</f>
        <v>Bình Đại 83/02</v>
      </c>
      <c r="E9" s="124" t="str">
        <f>Thuysan!R46</f>
        <v>Nguyễn Văn Mười - Ấp Bình Thạnh 3, Xã Thạnh Trị</v>
      </c>
      <c r="F9" s="34">
        <f>Thuysan!S46</f>
        <v>1</v>
      </c>
      <c r="G9" s="34" t="str">
        <f>Thuysan!T46</f>
        <v>Malachite Green, Leuco Malachite Green</v>
      </c>
      <c r="H9" s="124" t="str">
        <f>Thuysan!U46</f>
        <v>09/04/2024</v>
      </c>
      <c r="I9" s="124" t="str">
        <f>Thuysan!V46</f>
        <v>Cao Quang Nguyên</v>
      </c>
      <c r="J9" s="34" t="str">
        <f>Thuysan!W46</f>
        <v>Ao 1</v>
      </c>
    </row>
    <row r="10" spans="1:10" ht="31.5" x14ac:dyDescent="0.25">
      <c r="A10" s="59">
        <f>_xlfn.AGGREGATE(3,3,$C$6:C10)</f>
        <v>5</v>
      </c>
      <c r="B10" s="34" t="str">
        <f>Thuysan!O47</f>
        <v>Tôm chân trắng thương phẩm</v>
      </c>
      <c r="C10" s="34" t="str">
        <f>Thuysan!P47</f>
        <v>83/0424/05</v>
      </c>
      <c r="D10" s="125"/>
      <c r="E10" s="126"/>
      <c r="F10" s="34">
        <f>Thuysan!S47</f>
        <v>1</v>
      </c>
      <c r="G10" s="34" t="str">
        <f>Thuysan!T47</f>
        <v>Ormetoprim</v>
      </c>
      <c r="H10" s="125"/>
      <c r="I10" s="125"/>
      <c r="J10" s="34" t="str">
        <f>Thuysan!W47</f>
        <v>Ao 2</v>
      </c>
    </row>
    <row r="11" spans="1:10" ht="31.5" x14ac:dyDescent="0.25">
      <c r="A11" s="59">
        <f>_xlfn.AGGREGATE(3,3,$C$6:C11)</f>
        <v>6</v>
      </c>
      <c r="B11" s="34" t="str">
        <f>Thuysan!O48</f>
        <v>Cá tra thương phẩm</v>
      </c>
      <c r="C11" s="34" t="str">
        <f>Thuysan!P48</f>
        <v>83/0424/06</v>
      </c>
      <c r="D11" s="125"/>
      <c r="E11" s="124" t="str">
        <f>Thuysan!R48</f>
        <v>Công ty CP Gò Đàng - Ấp Hưng Thạnh, Xã Châu Hưng</v>
      </c>
      <c r="F11" s="34">
        <f>Thuysan!S48</f>
        <v>1.5</v>
      </c>
      <c r="G11" s="34" t="str">
        <f>Thuysan!T48</f>
        <v>Malachite Green, Leuco Malachite Green</v>
      </c>
      <c r="H11" s="125"/>
      <c r="I11" s="125"/>
      <c r="J11" s="34" t="str">
        <f>Thuysan!W48</f>
        <v>Ao 1</v>
      </c>
    </row>
    <row r="12" spans="1:10" ht="21" customHeight="1" x14ac:dyDescent="0.25">
      <c r="A12" s="59">
        <f>_xlfn.AGGREGATE(3,3,$C$6:C12)</f>
        <v>7</v>
      </c>
      <c r="B12" s="34" t="str">
        <f>Thuysan!O49</f>
        <v>Cá tra thương phẩm</v>
      </c>
      <c r="C12" s="34" t="str">
        <f>Thuysan!P49</f>
        <v>83/0424/07</v>
      </c>
      <c r="D12" s="125"/>
      <c r="E12" s="126"/>
      <c r="F12" s="34">
        <f>Thuysan!S49</f>
        <v>1.5</v>
      </c>
      <c r="G12" s="34" t="str">
        <f>Thuysan!T49</f>
        <v>Pb, Hg, Cd</v>
      </c>
      <c r="H12" s="125"/>
      <c r="I12" s="125"/>
      <c r="J12" s="34" t="str">
        <f>Thuysan!W49</f>
        <v>Ao 3</v>
      </c>
    </row>
    <row r="13" spans="1:10" ht="47.25" x14ac:dyDescent="0.25">
      <c r="A13" s="59">
        <f>_xlfn.AGGREGATE(3,3,$C$6:C13)</f>
        <v>8</v>
      </c>
      <c r="B13" s="34" t="str">
        <f>Thuysan!O50</f>
        <v>Cá tra thương phẩm</v>
      </c>
      <c r="C13" s="34" t="str">
        <f>Thuysan!P50</f>
        <v>83/0424/08</v>
      </c>
      <c r="D13" s="126"/>
      <c r="E13" s="34" t="str">
        <f>Thuysan!R50</f>
        <v>Công ty CP Thủy sản Vinh Quang - Ấp Hưng Nhơn, Xã Châu Hưng</v>
      </c>
      <c r="F13" s="34">
        <f>Thuysan!S50</f>
        <v>1.5</v>
      </c>
      <c r="G13" s="34" t="str">
        <f>Thuysan!T50</f>
        <v>Thuốc trừ sâu gốc Chlor hữu cơ; phospho hữu cơ; cúc tổng hợp…</v>
      </c>
      <c r="H13" s="126"/>
      <c r="I13" s="126"/>
      <c r="J13" s="34" t="str">
        <f>Thuysan!W50</f>
        <v>Ao 3</v>
      </c>
    </row>
    <row r="14" spans="1:10" ht="24.75" customHeight="1" x14ac:dyDescent="0.25">
      <c r="A14" s="59">
        <f>_xlfn.AGGREGATE(3,3,$C$6:C14)</f>
        <v>9</v>
      </c>
      <c r="B14" s="34" t="str">
        <f>Thuysan!O51</f>
        <v>Tôm sú thương phẩm</v>
      </c>
      <c r="C14" s="34" t="str">
        <f>Thuysan!P51</f>
        <v>83/0424/09</v>
      </c>
      <c r="D14" s="124" t="str">
        <f>Thuysan!Q51</f>
        <v>Thạnh Phú 83/03</v>
      </c>
      <c r="E14" s="124" t="str">
        <f>Thuysan!R51</f>
        <v>Phạm Văn Triều - Ấp 4, Xã Thạnh Phong</v>
      </c>
      <c r="F14" s="34">
        <f>Thuysan!S51</f>
        <v>1</v>
      </c>
      <c r="G14" s="34" t="str">
        <f>Thuysan!T51</f>
        <v>Ivermectin</v>
      </c>
      <c r="H14" s="124" t="str">
        <f>Thuysan!U51</f>
        <v>10/04/2024</v>
      </c>
      <c r="I14" s="124" t="str">
        <f>Thuysan!V51</f>
        <v>Cao Quang Nguyên</v>
      </c>
      <c r="J14" s="34" t="str">
        <f>Thuysan!W51</f>
        <v>Ao 1</v>
      </c>
    </row>
    <row r="15" spans="1:10" ht="31.5" x14ac:dyDescent="0.25">
      <c r="A15" s="59">
        <f>_xlfn.AGGREGATE(3,3,$C$6:C15)</f>
        <v>10</v>
      </c>
      <c r="B15" s="34" t="str">
        <f>Thuysan!O52</f>
        <v>Tôm chân trắng thương phẩm</v>
      </c>
      <c r="C15" s="34" t="str">
        <f>Thuysan!P52</f>
        <v>83/0424/10</v>
      </c>
      <c r="D15" s="126"/>
      <c r="E15" s="126"/>
      <c r="F15" s="34">
        <f>Thuysan!S52</f>
        <v>1</v>
      </c>
      <c r="G15" s="34" t="str">
        <f>Thuysan!T52</f>
        <v>Pb, Hg, Cd</v>
      </c>
      <c r="H15" s="126"/>
      <c r="I15" s="126"/>
      <c r="J15" s="34" t="str">
        <f>Thuysan!W52</f>
        <v>Ao 2</v>
      </c>
    </row>
    <row r="16" spans="1:10" ht="31.5" customHeight="1" x14ac:dyDescent="0.25">
      <c r="A16" s="59">
        <f>_xlfn.AGGREGATE(3,3,$C$6:C16)</f>
        <v>11</v>
      </c>
      <c r="B16" s="34" t="str">
        <f>Thuysan!O53</f>
        <v>Cá tra thương phẩm</v>
      </c>
      <c r="C16" s="34" t="str">
        <f>Thuysan!P53</f>
        <v>83/0424/11</v>
      </c>
      <c r="D16" s="124" t="str">
        <f>Thuysan!Q53</f>
        <v>Mỏ Cày 83/04</v>
      </c>
      <c r="E16" s="124" t="str">
        <f>Thuysan!R53</f>
        <v>Công ty CP Gò Đàng - Ấp Tân Phong, Xã Thành Thới A</v>
      </c>
      <c r="F16" s="34">
        <f>Thuysan!S53</f>
        <v>1.5</v>
      </c>
      <c r="G16" s="34" t="str">
        <f>Thuysan!T53</f>
        <v>Pb, Hg, Cd</v>
      </c>
      <c r="H16" s="124" t="str">
        <f>Thuysan!U53</f>
        <v>10/04/2024</v>
      </c>
      <c r="I16" s="124" t="str">
        <f>Thuysan!V53</f>
        <v>Phạm Minh Thuận</v>
      </c>
      <c r="J16" s="34" t="str">
        <f>Thuysan!W53</f>
        <v>Ao 4</v>
      </c>
    </row>
    <row r="17" spans="1:10" ht="47.25" x14ac:dyDescent="0.25">
      <c r="A17" s="59">
        <f>_xlfn.AGGREGATE(3,3,$C$6:C17)</f>
        <v>12</v>
      </c>
      <c r="B17" s="34" t="str">
        <f>Thuysan!O54</f>
        <v>Cá tra thương phẩm</v>
      </c>
      <c r="C17" s="34" t="str">
        <f>Thuysan!P54</f>
        <v>83/0424/12</v>
      </c>
      <c r="D17" s="126"/>
      <c r="E17" s="126"/>
      <c r="F17" s="34">
        <f>Thuysan!S54</f>
        <v>1.5</v>
      </c>
      <c r="G17" s="34" t="str">
        <f>Thuysan!T54</f>
        <v>Thuốc trừ sâu gốc Chlor hữu cơ; phospho hữu cơ; cúc tổng hợp…</v>
      </c>
      <c r="H17" s="126"/>
      <c r="I17" s="126"/>
      <c r="J17" s="34" t="str">
        <f>Thuysan!W54</f>
        <v>Ao 3</v>
      </c>
    </row>
    <row r="18" spans="1:10" ht="18.75" customHeight="1" x14ac:dyDescent="0.25">
      <c r="A18" s="59">
        <f>_xlfn.AGGREGATE(3,3,$C$6:C18)</f>
        <v>13</v>
      </c>
      <c r="B18" s="34" t="str">
        <f>Thuysan!O55</f>
        <v>Cá tra thương phẩm</v>
      </c>
      <c r="C18" s="34" t="str">
        <f>Thuysan!P55</f>
        <v>83/0424/13</v>
      </c>
      <c r="D18" s="124" t="str">
        <f>Thuysan!Q55</f>
        <v>Châu Thành 83/05</v>
      </c>
      <c r="E18" s="124" t="str">
        <f>Thuysan!R55</f>
        <v>Công ty CP XNK Thủy sản Bến Tre (DL 22) - Ấp Phú Tân, Xã Phú Túc</v>
      </c>
      <c r="F18" s="34">
        <f>Thuysan!S55</f>
        <v>1.5</v>
      </c>
      <c r="G18" s="34" t="str">
        <f>Thuysan!T55</f>
        <v>Trimethoprim</v>
      </c>
      <c r="H18" s="124" t="str">
        <f>Thuysan!U55</f>
        <v>09/04/2024</v>
      </c>
      <c r="I18" s="124" t="str">
        <f>Thuysan!V55</f>
        <v>Nguyễn Duy Khanh</v>
      </c>
      <c r="J18" s="34" t="str">
        <f>Thuysan!W55</f>
        <v>Ao A4</v>
      </c>
    </row>
    <row r="19" spans="1:10" ht="20.25" customHeight="1" x14ac:dyDescent="0.25">
      <c r="A19" s="59">
        <f>_xlfn.AGGREGATE(3,3,$C$6:C19)</f>
        <v>14</v>
      </c>
      <c r="B19" s="34" t="str">
        <f>Thuysan!O56</f>
        <v>Cá tra thương phẩm</v>
      </c>
      <c r="C19" s="34" t="str">
        <f>Thuysan!P56</f>
        <v>83/0424/14</v>
      </c>
      <c r="D19" s="125"/>
      <c r="E19" s="125"/>
      <c r="F19" s="34">
        <f>Thuysan!S56</f>
        <v>1.5</v>
      </c>
      <c r="G19" s="34" t="str">
        <f>Thuysan!T56</f>
        <v>Pb, Hg, Cd</v>
      </c>
      <c r="H19" s="125"/>
      <c r="I19" s="125"/>
      <c r="J19" s="34" t="str">
        <f>Thuysan!W56</f>
        <v>Ao B4</v>
      </c>
    </row>
    <row r="20" spans="1:10" ht="47.25" x14ac:dyDescent="0.25">
      <c r="A20" s="59">
        <f>_xlfn.AGGREGATE(3,3,$C$6:C20)</f>
        <v>15</v>
      </c>
      <c r="B20" s="34" t="str">
        <f>Thuysan!O57</f>
        <v>Cá tra thương phẩm</v>
      </c>
      <c r="C20" s="34" t="str">
        <f>Thuysan!P57</f>
        <v>83/0424/15</v>
      </c>
      <c r="D20" s="126"/>
      <c r="E20" s="126"/>
      <c r="F20" s="34">
        <f>Thuysan!S57</f>
        <v>1.5</v>
      </c>
      <c r="G20" s="34" t="str">
        <f>Thuysan!T57</f>
        <v>Thuốc trừ sâu gốc Chlor hữu cơ; phospho hữu cơ; cúc tổng hợp…</v>
      </c>
      <c r="H20" s="126"/>
      <c r="I20" s="126"/>
      <c r="J20" s="34" t="str">
        <f>Thuysan!W57</f>
        <v>Ao B6</v>
      </c>
    </row>
    <row r="21" spans="1:10" ht="15.75" x14ac:dyDescent="0.25">
      <c r="A21" s="59">
        <f>_xlfn.AGGREGATE(3,3,$C$6:C21)</f>
        <v>16</v>
      </c>
      <c r="B21" s="34" t="str">
        <f>Thuysan!O58</f>
        <v>Cá tra thương phẩm</v>
      </c>
      <c r="C21" s="34" t="str">
        <f>Thuysan!P58</f>
        <v>83/0424/16</v>
      </c>
      <c r="D21" s="124" t="str">
        <f>Thuysan!Q58</f>
        <v>Giồng Trôm 83/06</v>
      </c>
      <c r="E21" s="124" t="str">
        <f>Thuysan!R58</f>
        <v xml:space="preserve">Không có mẫu - , </v>
      </c>
      <c r="F21" s="34">
        <f>Thuysan!S58</f>
        <v>1.5</v>
      </c>
      <c r="G21" s="34" t="str">
        <f>Thuysan!T58</f>
        <v>Nhóm Tetracyclines</v>
      </c>
      <c r="H21" s="124"/>
      <c r="I21" s="124" t="str">
        <f>Thuysan!V58</f>
        <v>-</v>
      </c>
      <c r="J21" s="34" t="str">
        <f>Thuysan!W58</f>
        <v/>
      </c>
    </row>
    <row r="22" spans="1:10" ht="15.75" x14ac:dyDescent="0.25">
      <c r="A22" s="59">
        <f>_xlfn.AGGREGATE(3,3,$C$6:C22)</f>
        <v>17</v>
      </c>
      <c r="B22" s="34" t="str">
        <f>Thuysan!O59</f>
        <v>Cá tra thương phẩm</v>
      </c>
      <c r="C22" s="34" t="str">
        <f>Thuysan!P59</f>
        <v>83/0424/17</v>
      </c>
      <c r="D22" s="125"/>
      <c r="E22" s="125"/>
      <c r="F22" s="34">
        <f>Thuysan!S59</f>
        <v>1.5</v>
      </c>
      <c r="G22" s="34" t="str">
        <f>Thuysan!T59</f>
        <v>Florfenicol</v>
      </c>
      <c r="H22" s="125"/>
      <c r="I22" s="125"/>
      <c r="J22" s="34" t="str">
        <f>Thuysan!W59</f>
        <v/>
      </c>
    </row>
    <row r="23" spans="1:10" ht="15.75" x14ac:dyDescent="0.25">
      <c r="A23" s="59">
        <f>_xlfn.AGGREGATE(3,3,$C$6:C23)</f>
        <v>18</v>
      </c>
      <c r="B23" s="34" t="str">
        <f>Thuysan!O60</f>
        <v>Cá tra thương phẩm</v>
      </c>
      <c r="C23" s="34" t="str">
        <f>Thuysan!P60</f>
        <v>83/0424/18</v>
      </c>
      <c r="D23" s="126"/>
      <c r="E23" s="126"/>
      <c r="F23" s="34">
        <f>Thuysan!S60</f>
        <v>1.5</v>
      </c>
      <c r="G23" s="34" t="str">
        <f>Thuysan!T60</f>
        <v>Pb, Hg, Cd</v>
      </c>
      <c r="H23" s="126"/>
      <c r="I23" s="126"/>
      <c r="J23" s="34" t="str">
        <f>Thuysan!W60</f>
        <v/>
      </c>
    </row>
    <row r="24" spans="1:10" ht="30" customHeight="1" x14ac:dyDescent="0.25">
      <c r="A24" s="59">
        <f>_xlfn.AGGREGATE(3,3,$C$6:C24)</f>
        <v>19</v>
      </c>
      <c r="B24" s="34" t="str">
        <f>Thuysan!O61</f>
        <v>Cá tra thương phẩm</v>
      </c>
      <c r="C24" s="34" t="str">
        <f>Thuysan!P61</f>
        <v>83/0424/19</v>
      </c>
      <c r="D24" s="124" t="str">
        <f>Thuysan!Q61</f>
        <v>Chợ Lách 83/07</v>
      </c>
      <c r="E24" s="124" t="str">
        <f>Thuysan!R61</f>
        <v>Công ty TNHH CBTPXK Vạn Đức Tiền Giang - Vùng nuôi Hòa Nghĩa, ấp Bình An, Xã Hòa Nghĩa</v>
      </c>
      <c r="F24" s="34">
        <f>Thuysan!S61</f>
        <v>1.5</v>
      </c>
      <c r="G24" s="34" t="str">
        <f>Thuysan!T61</f>
        <v>Nhóm Nitroimidazoles</v>
      </c>
      <c r="H24" s="124" t="str">
        <f>Thuysan!U61</f>
        <v>10/04/2024</v>
      </c>
      <c r="I24" s="124" t="str">
        <f>Thuysan!V61</f>
        <v>Nguyễn Duy Khanh</v>
      </c>
      <c r="J24" s="34" t="str">
        <f>Thuysan!W61</f>
        <v>Ao 1</v>
      </c>
    </row>
    <row r="25" spans="1:10" ht="35.25" customHeight="1" x14ac:dyDescent="0.25">
      <c r="A25" s="59">
        <f>_xlfn.AGGREGATE(3,3,$C$6:C25)</f>
        <v>20</v>
      </c>
      <c r="B25" s="34" t="str">
        <f>Thuysan!O62</f>
        <v>Cá tra thương phẩm</v>
      </c>
      <c r="C25" s="34" t="str">
        <f>Thuysan!P62</f>
        <v>83/0424/20</v>
      </c>
      <c r="D25" s="125"/>
      <c r="E25" s="126"/>
      <c r="F25" s="34">
        <f>Thuysan!S62</f>
        <v>1.5</v>
      </c>
      <c r="G25" s="34" t="str">
        <f>Thuysan!T62</f>
        <v>Ormetoprim</v>
      </c>
      <c r="H25" s="125"/>
      <c r="I25" s="125"/>
      <c r="J25" s="34" t="str">
        <f>Thuysan!W62</f>
        <v>Ao 5</v>
      </c>
    </row>
    <row r="26" spans="1:10" ht="15.75" x14ac:dyDescent="0.25">
      <c r="A26" s="114">
        <f>_xlfn.AGGREGATE(3,3,$C$6:C26)</f>
        <v>21</v>
      </c>
      <c r="B26" s="34" t="str">
        <f>Thuysan!O63</f>
        <v>Cá tra thương phẩm</v>
      </c>
      <c r="C26" s="34" t="str">
        <f>Thuysan!P63</f>
        <v>83/0424/21</v>
      </c>
      <c r="D26" s="125"/>
      <c r="E26" s="124" t="str">
        <f>Thuysan!R63</f>
        <v>Công ty TNHH CBTPXK Vạn Đức Tiền Giang - Vùng nuôi Cồn Sơn, ấp Thanh Yên, Xã Tân Thiềng</v>
      </c>
      <c r="F26" s="34">
        <f>Thuysan!S63</f>
        <v>1.5</v>
      </c>
      <c r="G26" s="34" t="str">
        <f>Thuysan!T63</f>
        <v>Nhóm Tetracyclines</v>
      </c>
      <c r="H26" s="125"/>
      <c r="I26" s="125"/>
      <c r="J26" s="34" t="str">
        <f>Thuysan!W63</f>
        <v>Ao 1</v>
      </c>
    </row>
    <row r="27" spans="1:10" ht="15.75" x14ac:dyDescent="0.25">
      <c r="A27" s="114">
        <f>_xlfn.AGGREGATE(3,3,$C$6:C27)</f>
        <v>22</v>
      </c>
      <c r="B27" s="34" t="str">
        <f>Thuysan!O64</f>
        <v>Cá tra thương phẩm</v>
      </c>
      <c r="C27" s="34" t="str">
        <f>Thuysan!P64</f>
        <v>83/0424/22</v>
      </c>
      <c r="D27" s="125"/>
      <c r="E27" s="125"/>
      <c r="F27" s="34">
        <f>Thuysan!S64</f>
        <v>1.5</v>
      </c>
      <c r="G27" s="34" t="str">
        <f>Thuysan!T64</f>
        <v>Pb, Hg, Cd</v>
      </c>
      <c r="H27" s="125"/>
      <c r="I27" s="125"/>
      <c r="J27" s="34" t="str">
        <f>Thuysan!W64</f>
        <v>Ao 4</v>
      </c>
    </row>
    <row r="28" spans="1:10" ht="47.25" customHeight="1" x14ac:dyDescent="0.25">
      <c r="A28" s="114">
        <f>_xlfn.AGGREGATE(3,3,$C$6:C28)</f>
        <v>23</v>
      </c>
      <c r="B28" s="34" t="str">
        <f>Thuysan!O65</f>
        <v>Cá tra thương phẩm</v>
      </c>
      <c r="C28" s="34" t="str">
        <f>Thuysan!P65</f>
        <v>83/0424/23</v>
      </c>
      <c r="D28" s="126"/>
      <c r="E28" s="126"/>
      <c r="F28" s="34">
        <f>Thuysan!S65</f>
        <v>1.5</v>
      </c>
      <c r="G28" s="34" t="str">
        <f>Thuysan!T65</f>
        <v>Thuốc trừ sâu gốc Chlor hữu cơ; phospho hữu cơ; cúc tổng hợp…</v>
      </c>
      <c r="H28" s="126"/>
      <c r="I28" s="126"/>
      <c r="J28" s="34" t="str">
        <f>Thuysan!W65</f>
        <v>Ao 7</v>
      </c>
    </row>
  </sheetData>
  <mergeCells count="32">
    <mergeCell ref="E24:E25"/>
    <mergeCell ref="E26:E28"/>
    <mergeCell ref="E21:E23"/>
    <mergeCell ref="E18:E20"/>
    <mergeCell ref="E16:E17"/>
    <mergeCell ref="E14:E15"/>
    <mergeCell ref="E9:E10"/>
    <mergeCell ref="E11:E12"/>
    <mergeCell ref="H9:H13"/>
    <mergeCell ref="I21:I23"/>
    <mergeCell ref="H21:H23"/>
    <mergeCell ref="I18:I20"/>
    <mergeCell ref="H18:H20"/>
    <mergeCell ref="H16:H17"/>
    <mergeCell ref="I16:I17"/>
    <mergeCell ref="I9:I13"/>
    <mergeCell ref="D24:D28"/>
    <mergeCell ref="I24:I28"/>
    <mergeCell ref="H24:H28"/>
    <mergeCell ref="A1:J1"/>
    <mergeCell ref="A2:J2"/>
    <mergeCell ref="A3:J3"/>
    <mergeCell ref="I6:I8"/>
    <mergeCell ref="H6:H8"/>
    <mergeCell ref="D6:D8"/>
    <mergeCell ref="D9:D13"/>
    <mergeCell ref="D14:D15"/>
    <mergeCell ref="D16:D17"/>
    <mergeCell ref="D18:D20"/>
    <mergeCell ref="D21:D23"/>
    <mergeCell ref="H14:H15"/>
    <mergeCell ref="I14:I15"/>
  </mergeCells>
  <pageMargins left="0.41" right="0.19" top="0.4" bottom="0.28000000000000003" header="0.3" footer="0.2"/>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opLeftCell="A16" zoomScaleNormal="100" workbookViewId="0">
      <selection activeCell="E23" sqref="E23:E27"/>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651</v>
      </c>
      <c r="B2" s="127"/>
      <c r="C2" s="127"/>
      <c r="D2" s="127"/>
      <c r="E2" s="127"/>
      <c r="F2" s="127"/>
      <c r="G2" s="127"/>
      <c r="H2" s="127"/>
      <c r="I2" s="127"/>
      <c r="J2" s="127"/>
    </row>
    <row r="3" spans="1:10" ht="34.5" customHeight="1" x14ac:dyDescent="0.25">
      <c r="A3" s="128" t="s">
        <v>640</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31.5" x14ac:dyDescent="0.25">
      <c r="A6" s="55">
        <f>_xlfn.AGGREGATE(3,3,$C$6:C6)</f>
        <v>1</v>
      </c>
      <c r="B6" s="34" t="str">
        <f>Thuysan!O21</f>
        <v>Tôm chân trắng nhỏ</v>
      </c>
      <c r="C6" s="34" t="str">
        <f>Thuysan!P21</f>
        <v>83/0324/01</v>
      </c>
      <c r="D6" s="124" t="str">
        <f>Thuysan!Q21</f>
        <v>Ba Tri 83/01</v>
      </c>
      <c r="E6" s="34" t="str">
        <f>Thuysan!R21</f>
        <v>Nguyễn Văn Bi - Ấp 7, Thị Trấn Tiệm Tôm</v>
      </c>
      <c r="F6" s="34">
        <f>Thuysan!S21</f>
        <v>0.5</v>
      </c>
      <c r="G6" s="34" t="str">
        <f>Thuysan!T21</f>
        <v>Chloramphenicol</v>
      </c>
      <c r="H6" s="124" t="str">
        <f>Thuysan!U21</f>
        <v>18/03/2024</v>
      </c>
      <c r="I6" s="124" t="str">
        <f>Thuysan!V21</f>
        <v>Phạm Minh Thuận</v>
      </c>
      <c r="J6" s="34" t="str">
        <f>Thuysan!W21</f>
        <v>Ao 1</v>
      </c>
    </row>
    <row r="7" spans="1:10" ht="31.5" x14ac:dyDescent="0.25">
      <c r="A7" s="55">
        <f>_xlfn.AGGREGATE(3,3,$C$6:C7)</f>
        <v>2</v>
      </c>
      <c r="B7" s="34" t="str">
        <f>Thuysan!O22</f>
        <v>Cá tra thương phẩm</v>
      </c>
      <c r="C7" s="34" t="str">
        <f>Thuysan!P22</f>
        <v>83/0324/02</v>
      </c>
      <c r="D7" s="126"/>
      <c r="E7" s="34" t="str">
        <f>Thuysan!R22</f>
        <v>Công ty CP Gò Đàng - Ấp 4, Xã Tân Xuân</v>
      </c>
      <c r="F7" s="34">
        <f>Thuysan!S22</f>
        <v>1.5</v>
      </c>
      <c r="G7" s="34" t="str">
        <f>Thuysan!T22</f>
        <v>Trifluralin</v>
      </c>
      <c r="H7" s="126"/>
      <c r="I7" s="126"/>
      <c r="J7" s="34" t="str">
        <f>Thuysan!W22</f>
        <v>Ao 4</v>
      </c>
    </row>
    <row r="8" spans="1:10" ht="15.75" x14ac:dyDescent="0.25">
      <c r="A8" s="55">
        <f>_xlfn.AGGREGATE(3,3,$C$6:C8)</f>
        <v>3</v>
      </c>
      <c r="B8" s="34" t="str">
        <f>Thuysan!O23</f>
        <v>Tôm sú thương phẩm</v>
      </c>
      <c r="C8" s="34" t="str">
        <f>Thuysan!P23</f>
        <v>83/0324/03</v>
      </c>
      <c r="D8" s="124" t="str">
        <f>Thuysan!Q23</f>
        <v>Bình Đại 83/02</v>
      </c>
      <c r="E8" s="124" t="str">
        <f>Thuysan!R23</f>
        <v>Trần Thanh Hải  - Ấp 1 , Xã Thạnh Phước</v>
      </c>
      <c r="F8" s="34">
        <f>Thuysan!S23</f>
        <v>1</v>
      </c>
      <c r="G8" s="34" t="str">
        <f>Thuysan!T23</f>
        <v>Nhóm Tetracyclines</v>
      </c>
      <c r="H8" s="124" t="str">
        <f>Thuysan!U23</f>
        <v>18/03/2024</v>
      </c>
      <c r="I8" s="124" t="str">
        <f>Thuysan!V23</f>
        <v>Cao Quang Nguyên</v>
      </c>
      <c r="J8" s="34" t="str">
        <f>Thuysan!W23</f>
        <v>Ao 1</v>
      </c>
    </row>
    <row r="9" spans="1:10" ht="21.75" customHeight="1" x14ac:dyDescent="0.25">
      <c r="A9" s="55">
        <f>_xlfn.AGGREGATE(3,3,$C$6:C9)</f>
        <v>4</v>
      </c>
      <c r="B9" s="34" t="str">
        <f>Thuysan!O24</f>
        <v>Tôm chân trắng thương phẩm</v>
      </c>
      <c r="C9" s="34" t="str">
        <f>Thuysan!P24</f>
        <v>83/0324/04</v>
      </c>
      <c r="D9" s="125"/>
      <c r="E9" s="126"/>
      <c r="F9" s="34">
        <f>Thuysan!S24</f>
        <v>1</v>
      </c>
      <c r="G9" s="34" t="str">
        <f>Thuysan!T24</f>
        <v>Chloramphenicol</v>
      </c>
      <c r="H9" s="125"/>
      <c r="I9" s="125"/>
      <c r="J9" s="34" t="str">
        <f>Thuysan!W24</f>
        <v>Ao 2</v>
      </c>
    </row>
    <row r="10" spans="1:10" ht="21" customHeight="1" x14ac:dyDescent="0.25">
      <c r="A10" s="55">
        <f>_xlfn.AGGREGATE(3,3,$C$6:C10)</f>
        <v>5</v>
      </c>
      <c r="B10" s="34" t="str">
        <f>Thuysan!O25</f>
        <v>Cá tra thương phẩm</v>
      </c>
      <c r="C10" s="34" t="str">
        <f>Thuysan!P25</f>
        <v>83/0324/05</v>
      </c>
      <c r="D10" s="125"/>
      <c r="E10" s="124" t="str">
        <f>Thuysan!R25</f>
        <v>Công ty CP Gò Đàng - Khu A Lộc Thuận, ấp Lộc Sơn, Xã Lộc Thuận</v>
      </c>
      <c r="F10" s="34">
        <f>Thuysan!S25</f>
        <v>1.5</v>
      </c>
      <c r="G10" s="34" t="str">
        <f>Thuysan!T25</f>
        <v>Fosfomycin</v>
      </c>
      <c r="H10" s="125"/>
      <c r="I10" s="125"/>
      <c r="J10" s="34" t="str">
        <f>Thuysan!W25</f>
        <v>Ao 1</v>
      </c>
    </row>
    <row r="11" spans="1:10" ht="27" customHeight="1" x14ac:dyDescent="0.25">
      <c r="A11" s="55">
        <f>_xlfn.AGGREGATE(3,3,$C$6:C11)</f>
        <v>6</v>
      </c>
      <c r="B11" s="34" t="str">
        <f>Thuysan!O26</f>
        <v>Cá tra thương phẩm</v>
      </c>
      <c r="C11" s="34" t="str">
        <f>Thuysan!P26</f>
        <v>83/0324/06</v>
      </c>
      <c r="D11" s="125"/>
      <c r="E11" s="126"/>
      <c r="F11" s="34">
        <f>Thuysan!S26</f>
        <v>1.5</v>
      </c>
      <c r="G11" s="34" t="str">
        <f>Thuysan!T26</f>
        <v>Azadirachtin</v>
      </c>
      <c r="H11" s="125"/>
      <c r="I11" s="125"/>
      <c r="J11" s="34" t="str">
        <f>Thuysan!W26</f>
        <v>Ao 3</v>
      </c>
    </row>
    <row r="12" spans="1:10" ht="21" customHeight="1" x14ac:dyDescent="0.25">
      <c r="A12" s="55">
        <f>_xlfn.AGGREGATE(3,3,$C$6:C12)</f>
        <v>7</v>
      </c>
      <c r="B12" s="34" t="str">
        <f>Thuysan!O27</f>
        <v>Cá chẽm nhỏ</v>
      </c>
      <c r="C12" s="34" t="str">
        <f>Thuysan!P27</f>
        <v>83/0324/07</v>
      </c>
      <c r="D12" s="125"/>
      <c r="E12" s="124" t="str">
        <f>Thuysan!R27</f>
        <v>Công ty TNHH Thực Phẩm Vạn Đức  - Ấp 7, Xã Thạnh Phước</v>
      </c>
      <c r="F12" s="34">
        <f>Thuysan!S27</f>
        <v>0</v>
      </c>
      <c r="G12" s="34" t="str">
        <f>Thuysan!T27</f>
        <v>Chloramphenicol</v>
      </c>
      <c r="H12" s="125"/>
      <c r="I12" s="125"/>
      <c r="J12" s="34" t="str">
        <f>Thuysan!W27</f>
        <v>Ao B10</v>
      </c>
    </row>
    <row r="13" spans="1:10" ht="27" customHeight="1" x14ac:dyDescent="0.25">
      <c r="A13" s="55">
        <f>_xlfn.AGGREGATE(3,3,$C$6:C13)</f>
        <v>8</v>
      </c>
      <c r="B13" s="34" t="str">
        <f>Thuysan!O28</f>
        <v>Cá chẽm thương phẩm</v>
      </c>
      <c r="C13" s="34" t="str">
        <f>Thuysan!P28</f>
        <v>83/0324/08</v>
      </c>
      <c r="D13" s="126"/>
      <c r="E13" s="126"/>
      <c r="F13" s="34">
        <f>Thuysan!S28</f>
        <v>0</v>
      </c>
      <c r="G13" s="34" t="str">
        <f>Thuysan!T28</f>
        <v>Nitrofurans</v>
      </c>
      <c r="H13" s="126"/>
      <c r="I13" s="126"/>
      <c r="J13" s="34" t="str">
        <f>Thuysan!W28</f>
        <v>Ao A20</v>
      </c>
    </row>
    <row r="14" spans="1:10" ht="51" customHeight="1" x14ac:dyDescent="0.25">
      <c r="A14" s="55">
        <f>_xlfn.AGGREGATE(3,3,$C$6:C14)</f>
        <v>9</v>
      </c>
      <c r="B14" s="34" t="str">
        <f>Thuysan!O29</f>
        <v>Tôm chân trắng thương phẩm</v>
      </c>
      <c r="C14" s="34" t="str">
        <f>Thuysan!P29</f>
        <v>83/0324/09</v>
      </c>
      <c r="D14" s="34" t="str">
        <f>Thuysan!Q29</f>
        <v>Thạnh Phú 83/03</v>
      </c>
      <c r="E14" s="34" t="str">
        <f>Thuysan!R29</f>
        <v>Phạm Văn Cưng  - , Xã An Thuận</v>
      </c>
      <c r="F14" s="34">
        <f>Thuysan!S29</f>
        <v>1</v>
      </c>
      <c r="G14" s="34" t="str">
        <f>Thuysan!T29</f>
        <v>Nitrofurans</v>
      </c>
      <c r="H14" s="34" t="str">
        <f>Thuysan!U29</f>
        <v>19/03/2024</v>
      </c>
      <c r="I14" s="107" t="str">
        <f>Thuysan!V29</f>
        <v>Cao Quang Nguyên</v>
      </c>
      <c r="J14" s="34" t="str">
        <f>Thuysan!W29</f>
        <v>Ao 1</v>
      </c>
    </row>
    <row r="15" spans="1:10" ht="15.75" x14ac:dyDescent="0.25">
      <c r="A15" s="55">
        <f>_xlfn.AGGREGATE(3,3,$C$6:C15)</f>
        <v>10</v>
      </c>
      <c r="B15" s="34" t="str">
        <f>Thuysan!O30</f>
        <v>Cá tra nhỏ</v>
      </c>
      <c r="C15" s="34" t="str">
        <f>Thuysan!P30</f>
        <v>83/0324/10</v>
      </c>
      <c r="D15" s="124" t="str">
        <f>Thuysan!Q30</f>
        <v>Mỏ Cày 83/04</v>
      </c>
      <c r="E15" s="124" t="str">
        <f>Thuysan!R30</f>
        <v>Công ty CP Gò Đàng - Ấp Thành Long, Xã Thành Thới A</v>
      </c>
      <c r="F15" s="34">
        <f>Thuysan!S30</f>
        <v>1</v>
      </c>
      <c r="G15" s="34" t="str">
        <f>Thuysan!T30</f>
        <v>Chloramphenicol</v>
      </c>
      <c r="H15" s="124" t="str">
        <f>Thuysan!U30</f>
        <v>19/03/2024</v>
      </c>
      <c r="I15" s="124" t="str">
        <f>Thuysan!V30</f>
        <v>Phạm Minh Thuận</v>
      </c>
      <c r="J15" s="34" t="str">
        <f>Thuysan!W30</f>
        <v>Ao 1</v>
      </c>
    </row>
    <row r="16" spans="1:10" ht="29.25" customHeight="1" x14ac:dyDescent="0.25">
      <c r="A16" s="55">
        <f>_xlfn.AGGREGATE(3,3,$C$6:C16)</f>
        <v>11</v>
      </c>
      <c r="B16" s="34" t="str">
        <f>Thuysan!O31</f>
        <v>Cá tra nhỏ</v>
      </c>
      <c r="C16" s="34" t="str">
        <f>Thuysan!P31</f>
        <v>83/0324/11</v>
      </c>
      <c r="D16" s="126"/>
      <c r="E16" s="126"/>
      <c r="F16" s="34">
        <f>Thuysan!S31</f>
        <v>1</v>
      </c>
      <c r="G16" s="34" t="str">
        <f>Thuysan!T31</f>
        <v>Nitrofurans</v>
      </c>
      <c r="H16" s="126"/>
      <c r="I16" s="126"/>
      <c r="J16" s="34" t="str">
        <f>Thuysan!W31</f>
        <v>Ao 3</v>
      </c>
    </row>
    <row r="17" spans="1:10" ht="31.5" customHeight="1" x14ac:dyDescent="0.25">
      <c r="A17" s="55">
        <f>_xlfn.AGGREGATE(3,3,$C$6:C17)</f>
        <v>12</v>
      </c>
      <c r="B17" s="34" t="str">
        <f>Thuysan!O32</f>
        <v>Cá tra thương phẩm</v>
      </c>
      <c r="C17" s="34" t="str">
        <f>Thuysan!P32</f>
        <v>83/0324/12</v>
      </c>
      <c r="D17" s="124" t="str">
        <f>Thuysan!Q32</f>
        <v>Châu Thành 83/05</v>
      </c>
      <c r="E17" s="124" t="str">
        <f>Thuysan!R32</f>
        <v xml:space="preserve"> Trại nuôi cá tra Thành Hưng - Ấp Phú Tân, Xã Phú Túc</v>
      </c>
      <c r="F17" s="34">
        <f>Thuysan!S32</f>
        <v>1.5</v>
      </c>
      <c r="G17" s="34" t="str">
        <f>Thuysan!T32</f>
        <v>Chloramphenicol</v>
      </c>
      <c r="H17" s="124" t="str">
        <f>Thuysan!U32</f>
        <v>18/03/2024</v>
      </c>
      <c r="I17" s="124" t="str">
        <f>Thuysan!V32</f>
        <v>Nguyễn Duy Khanh</v>
      </c>
      <c r="J17" s="34" t="str">
        <f>Thuysan!W32</f>
        <v>Ao 1</v>
      </c>
    </row>
    <row r="18" spans="1:10" ht="31.5" customHeight="1" x14ac:dyDescent="0.25">
      <c r="A18" s="55">
        <f>_xlfn.AGGREGATE(3,3,$C$6:C18)</f>
        <v>13</v>
      </c>
      <c r="B18" s="34" t="str">
        <f>Thuysan!O33</f>
        <v>Cá tra thương phẩm</v>
      </c>
      <c r="C18" s="34" t="str">
        <f>Thuysan!P33</f>
        <v>83/0324/13</v>
      </c>
      <c r="D18" s="125"/>
      <c r="E18" s="125"/>
      <c r="F18" s="34">
        <f>Thuysan!S33</f>
        <v>1.5</v>
      </c>
      <c r="G18" s="34" t="str">
        <f>Thuysan!T33</f>
        <v>Nitrofurans</v>
      </c>
      <c r="H18" s="125"/>
      <c r="I18" s="125"/>
      <c r="J18" s="34" t="str">
        <f>Thuysan!W33</f>
        <v>Ao 6</v>
      </c>
    </row>
    <row r="19" spans="1:10" ht="31.5" customHeight="1" x14ac:dyDescent="0.25">
      <c r="A19" s="55">
        <f>_xlfn.AGGREGATE(3,3,$C$6:C19)</f>
        <v>14</v>
      </c>
      <c r="B19" s="34" t="str">
        <f>Thuysan!O34</f>
        <v>Cá tra thương phẩm</v>
      </c>
      <c r="C19" s="34" t="str">
        <f>Thuysan!P34</f>
        <v>83/0324/14</v>
      </c>
      <c r="D19" s="126"/>
      <c r="E19" s="126"/>
      <c r="F19" s="34">
        <f>Thuysan!S34</f>
        <v>1.5</v>
      </c>
      <c r="G19" s="34" t="str">
        <f>Thuysan!T34</f>
        <v>Ormetoprim</v>
      </c>
      <c r="H19" s="126"/>
      <c r="I19" s="126"/>
      <c r="J19" s="34" t="str">
        <f>Thuysan!W34</f>
        <v>Ao 8</v>
      </c>
    </row>
    <row r="20" spans="1:10" ht="15.75" x14ac:dyDescent="0.25">
      <c r="A20" s="55">
        <f>_xlfn.AGGREGATE(3,3,$C$6:C20)</f>
        <v>15</v>
      </c>
      <c r="B20" s="34" t="str">
        <f>Thuysan!O35</f>
        <v>Cá tra thương phẩm</v>
      </c>
      <c r="C20" s="34" t="str">
        <f>Thuysan!P35</f>
        <v>83/0324/15</v>
      </c>
      <c r="D20" s="124" t="str">
        <f>Thuysan!Q35</f>
        <v>Giồng Trôm 83/06</v>
      </c>
      <c r="E20" s="124" t="str">
        <f>Thuysan!R35</f>
        <v>Công ty CP Gò Đàng - Ấp 1, Xã Hưng Phong</v>
      </c>
      <c r="F20" s="34">
        <f>Thuysan!S35</f>
        <v>1.5</v>
      </c>
      <c r="G20" s="34" t="str">
        <f>Thuysan!T35</f>
        <v>Nhóm Nitroimidazoles</v>
      </c>
      <c r="H20" s="124" t="str">
        <f>Thuysan!U35</f>
        <v>20/03/2024</v>
      </c>
      <c r="I20" s="124" t="str">
        <f>Thuysan!V35</f>
        <v>Phạm Minh Thuận</v>
      </c>
      <c r="J20" s="34" t="str">
        <f>Thuysan!W35</f>
        <v>Ao 5</v>
      </c>
    </row>
    <row r="21" spans="1:10" ht="15.75" x14ac:dyDescent="0.25">
      <c r="A21" s="55">
        <f>_xlfn.AGGREGATE(3,3,$C$6:C21)</f>
        <v>16</v>
      </c>
      <c r="B21" s="34" t="str">
        <f>Thuysan!O36</f>
        <v>Cá tra thương phẩm</v>
      </c>
      <c r="C21" s="34" t="str">
        <f>Thuysan!P36</f>
        <v>83/0324/16</v>
      </c>
      <c r="D21" s="125"/>
      <c r="E21" s="125"/>
      <c r="F21" s="34">
        <f>Thuysan!S36</f>
        <v>1.5</v>
      </c>
      <c r="G21" s="34" t="str">
        <f>Thuysan!T36</f>
        <v>Pb, Hg, Cd</v>
      </c>
      <c r="H21" s="125"/>
      <c r="I21" s="125"/>
      <c r="J21" s="34" t="str">
        <f>Thuysan!W36</f>
        <v>Ao 3</v>
      </c>
    </row>
    <row r="22" spans="1:10" ht="47.25" x14ac:dyDescent="0.25">
      <c r="A22" s="107">
        <v>17</v>
      </c>
      <c r="B22" s="34" t="str">
        <f>Thuysan!O37</f>
        <v>Cá tra thương phẩm</v>
      </c>
      <c r="C22" s="34" t="str">
        <f>Thuysan!P37</f>
        <v>83/0324/17</v>
      </c>
      <c r="D22" s="126"/>
      <c r="E22" s="126"/>
      <c r="F22" s="34">
        <f>Thuysan!S37</f>
        <v>1.5</v>
      </c>
      <c r="G22" s="34" t="str">
        <f>Thuysan!T37</f>
        <v>Thuốc trừ sâu gốc Chlor hữu cơ; phospho hữu cơ; cúc tổng hợp…</v>
      </c>
      <c r="H22" s="126"/>
      <c r="I22" s="126"/>
      <c r="J22" s="34" t="str">
        <f>Thuysan!W37</f>
        <v>Ao 2</v>
      </c>
    </row>
    <row r="23" spans="1:10" ht="31.5" x14ac:dyDescent="0.25">
      <c r="A23" s="107">
        <v>18</v>
      </c>
      <c r="B23" s="34" t="str">
        <f>Thuysan!O38</f>
        <v>Cá tra thương phẩm</v>
      </c>
      <c r="C23" s="34" t="str">
        <f>Thuysan!P38</f>
        <v>83/0324/18</v>
      </c>
      <c r="D23" s="124" t="str">
        <f>Thuysan!Q38</f>
        <v>Chợ Lách 83/07</v>
      </c>
      <c r="E23" s="124" t="str">
        <f>Thuysan!R38</f>
        <v>Công ty CP Thủy sản Vinh Quang - Ấp Quân Bình, Xã Tân Thiềng</v>
      </c>
      <c r="F23" s="34">
        <f>Thuysan!S38</f>
        <v>1.5</v>
      </c>
      <c r="G23" s="34" t="str">
        <f>Thuysan!T38</f>
        <v>Malachite Green, Leuco Malachite Green</v>
      </c>
      <c r="H23" s="124" t="str">
        <f>Thuysan!U38</f>
        <v>19/03/2024</v>
      </c>
      <c r="I23" s="124" t="str">
        <f>Thuysan!V38</f>
        <v>Nguyễn Duy Khanh</v>
      </c>
      <c r="J23" s="34" t="str">
        <f>Thuysan!W38</f>
        <v>Ao 1B</v>
      </c>
    </row>
    <row r="24" spans="1:10" ht="15.75" x14ac:dyDescent="0.25">
      <c r="A24" s="107">
        <v>19</v>
      </c>
      <c r="B24" s="34" t="str">
        <f>Thuysan!O39</f>
        <v>Cá tra thương phẩm</v>
      </c>
      <c r="C24" s="34" t="str">
        <f>Thuysan!P39</f>
        <v>83/0324/19</v>
      </c>
      <c r="D24" s="125"/>
      <c r="E24" s="125"/>
      <c r="F24" s="34">
        <f>Thuysan!S39</f>
        <v>1.5</v>
      </c>
      <c r="G24" s="34" t="str">
        <f>Thuysan!T39</f>
        <v>Ivermectin</v>
      </c>
      <c r="H24" s="125"/>
      <c r="I24" s="125"/>
      <c r="J24" s="34" t="str">
        <f>Thuysan!W39</f>
        <v>Ao 3B</v>
      </c>
    </row>
    <row r="25" spans="1:10" ht="31.5" x14ac:dyDescent="0.25">
      <c r="A25" s="107">
        <v>20</v>
      </c>
      <c r="B25" s="34" t="str">
        <f>Thuysan!O40</f>
        <v>Cá tra thương phẩm</v>
      </c>
      <c r="C25" s="34" t="str">
        <f>Thuysan!P40</f>
        <v>83/0324/20</v>
      </c>
      <c r="D25" s="125"/>
      <c r="E25" s="125"/>
      <c r="F25" s="34">
        <f>Thuysan!S40</f>
        <v>1.5</v>
      </c>
      <c r="G25" s="34" t="str">
        <f>Thuysan!T40</f>
        <v>Avermectin B1a (Abarmectin B1a)</v>
      </c>
      <c r="H25" s="125"/>
      <c r="I25" s="125"/>
      <c r="J25" s="34" t="str">
        <f>Thuysan!W40</f>
        <v>Ao 1</v>
      </c>
    </row>
    <row r="26" spans="1:10" ht="15.75" x14ac:dyDescent="0.25">
      <c r="A26" s="107">
        <v>21</v>
      </c>
      <c r="B26" s="34" t="str">
        <f>Thuysan!O41</f>
        <v>Cá tra thương phẩm</v>
      </c>
      <c r="C26" s="34" t="str">
        <f>Thuysan!P41</f>
        <v>83/0324/21</v>
      </c>
      <c r="D26" s="125"/>
      <c r="E26" s="125"/>
      <c r="F26" s="34">
        <f>Thuysan!S41</f>
        <v>1.5</v>
      </c>
      <c r="G26" s="34" t="str">
        <f>Thuysan!T41</f>
        <v>Praziquantel</v>
      </c>
      <c r="H26" s="125"/>
      <c r="I26" s="125"/>
      <c r="J26" s="34" t="str">
        <f>Thuysan!W41</f>
        <v>Ao 3</v>
      </c>
    </row>
    <row r="27" spans="1:10" ht="15.75" x14ac:dyDescent="0.25">
      <c r="A27" s="107">
        <v>22</v>
      </c>
      <c r="B27" s="34" t="str">
        <f>Thuysan!O42</f>
        <v>Cá tra thương phẩm</v>
      </c>
      <c r="C27" s="34" t="str">
        <f>Thuysan!P42</f>
        <v>83/0324/22</v>
      </c>
      <c r="D27" s="126"/>
      <c r="E27" s="126"/>
      <c r="F27" s="34">
        <f>Thuysan!S42</f>
        <v>1.5</v>
      </c>
      <c r="G27" s="34" t="str">
        <f>Thuysan!T42</f>
        <v xml:space="preserve"> Trichlorfon (Dipterex)</v>
      </c>
      <c r="H27" s="126"/>
      <c r="I27" s="126"/>
      <c r="J27" s="34" t="str">
        <f>Thuysan!W42</f>
        <v>Ao 4</v>
      </c>
    </row>
  </sheetData>
  <mergeCells count="28">
    <mergeCell ref="H17:H19"/>
    <mergeCell ref="I17:I19"/>
    <mergeCell ref="H20:H22"/>
    <mergeCell ref="I20:I22"/>
    <mergeCell ref="E15:E16"/>
    <mergeCell ref="E17:E19"/>
    <mergeCell ref="E20:E22"/>
    <mergeCell ref="H8:H13"/>
    <mergeCell ref="I8:I13"/>
    <mergeCell ref="H15:H16"/>
    <mergeCell ref="I15:I16"/>
    <mergeCell ref="D15:D16"/>
    <mergeCell ref="E23:E27"/>
    <mergeCell ref="A1:J1"/>
    <mergeCell ref="A2:J2"/>
    <mergeCell ref="A3:J3"/>
    <mergeCell ref="D6:D7"/>
    <mergeCell ref="D8:D13"/>
    <mergeCell ref="E8:E9"/>
    <mergeCell ref="E10:E11"/>
    <mergeCell ref="E12:E13"/>
    <mergeCell ref="D17:D19"/>
    <mergeCell ref="D20:D22"/>
    <mergeCell ref="D23:D27"/>
    <mergeCell ref="I6:I7"/>
    <mergeCell ref="H23:H27"/>
    <mergeCell ref="I23:I27"/>
    <mergeCell ref="H6:H7"/>
  </mergeCells>
  <pageMargins left="0.41" right="0.19" top="0.43" bottom="0.3" header="0.3" footer="0.18"/>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Normal="100" workbookViewId="0">
      <selection activeCell="E9" sqref="E9"/>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639</v>
      </c>
      <c r="B2" s="127"/>
      <c r="C2" s="127"/>
      <c r="D2" s="127"/>
      <c r="E2" s="127"/>
      <c r="F2" s="127"/>
      <c r="G2" s="127"/>
      <c r="H2" s="127"/>
      <c r="I2" s="127"/>
      <c r="J2" s="127"/>
    </row>
    <row r="3" spans="1:10" ht="34.5" customHeight="1" x14ac:dyDescent="0.25">
      <c r="A3" s="128" t="s">
        <v>640</v>
      </c>
      <c r="B3" s="128"/>
      <c r="C3" s="128"/>
      <c r="D3" s="128"/>
      <c r="E3" s="128"/>
      <c r="F3" s="128"/>
      <c r="G3" s="128"/>
      <c r="H3" s="128"/>
      <c r="I3" s="128"/>
      <c r="J3" s="128"/>
    </row>
    <row r="4" spans="1:10" ht="9" customHeight="1" x14ac:dyDescent="0.25"/>
    <row r="5" spans="1:10" ht="71.25" customHeight="1" x14ac:dyDescent="0.25">
      <c r="A5" s="31" t="s">
        <v>175</v>
      </c>
      <c r="B5" s="32" t="s">
        <v>205</v>
      </c>
      <c r="C5" s="32" t="s">
        <v>371</v>
      </c>
      <c r="D5" s="32" t="s">
        <v>390</v>
      </c>
      <c r="E5" s="31" t="s">
        <v>391</v>
      </c>
      <c r="F5" s="32" t="s">
        <v>392</v>
      </c>
      <c r="G5" s="31" t="s">
        <v>361</v>
      </c>
      <c r="H5" s="32" t="s">
        <v>360</v>
      </c>
      <c r="I5" s="32" t="s">
        <v>359</v>
      </c>
      <c r="J5" s="31" t="s">
        <v>176</v>
      </c>
    </row>
    <row r="6" spans="1:10" ht="31.5" x14ac:dyDescent="0.25">
      <c r="A6" s="53">
        <f>_xlfn.AGGREGATE(3,3,$C$6:C6)</f>
        <v>1</v>
      </c>
      <c r="B6" s="34" t="str">
        <f>Thuysan!O4</f>
        <v>Cá tra thương phẩm</v>
      </c>
      <c r="C6" s="34" t="str">
        <f>Thuysan!P4</f>
        <v>83/0224/01</v>
      </c>
      <c r="D6" s="124" t="str">
        <f>Thuysan!Q4</f>
        <v>Ba Tri 83/01</v>
      </c>
      <c r="E6" s="34" t="str">
        <f>Thuysan!R4</f>
        <v>Công ty CP Gò Đàng - Ấp 4, Xã Tân Xuân</v>
      </c>
      <c r="F6" s="104">
        <f>Thuysan!S4</f>
        <v>1.5</v>
      </c>
      <c r="G6" s="34" t="str">
        <f>Thuysan!T4</f>
        <v xml:space="preserve"> Crystal Violet, Leuco Crystal Violet</v>
      </c>
      <c r="H6" s="124" t="str">
        <f>Thuysan!U4</f>
        <v>27/02/2024</v>
      </c>
      <c r="I6" s="124" t="str">
        <f>Thuysan!V4</f>
        <v>Phạm Minh Thuận</v>
      </c>
      <c r="J6" s="34" t="str">
        <f>Thuysan!W4</f>
        <v>Ao A2</v>
      </c>
    </row>
    <row r="7" spans="1:10" ht="15.75" x14ac:dyDescent="0.25">
      <c r="A7" s="53">
        <f>_xlfn.AGGREGATE(3,3,$C$6:C7)</f>
        <v>2</v>
      </c>
      <c r="B7" s="34" t="str">
        <f>Thuysan!O5</f>
        <v>Cá chẽm nhỏ</v>
      </c>
      <c r="C7" s="34" t="str">
        <f>Thuysan!P5</f>
        <v>83/0224/02</v>
      </c>
      <c r="D7" s="125"/>
      <c r="E7" s="124" t="str">
        <f>Thuysan!R5</f>
        <v>Công ty TNHH Thực Phẩm Vạn Đức  - Ấp 6, Xã Bảo Thạnh</v>
      </c>
      <c r="F7" s="104">
        <f>Thuysan!S5</f>
        <v>1</v>
      </c>
      <c r="G7" s="34" t="str">
        <f>Thuysan!T5</f>
        <v>Methyltestosterone</v>
      </c>
      <c r="H7" s="125"/>
      <c r="I7" s="125"/>
      <c r="J7" s="34" t="str">
        <f>Thuysan!W5</f>
        <v>Ao B10</v>
      </c>
    </row>
    <row r="8" spans="1:10" ht="29.25" customHeight="1" x14ac:dyDescent="0.25">
      <c r="A8" s="53">
        <f>_xlfn.AGGREGATE(3,3,$C$6:C8)</f>
        <v>3</v>
      </c>
      <c r="B8" s="34" t="str">
        <f>Thuysan!O6</f>
        <v>Cá chẽm thương phẩm</v>
      </c>
      <c r="C8" s="34" t="str">
        <f>Thuysan!P6</f>
        <v>83/0224/03</v>
      </c>
      <c r="D8" s="126"/>
      <c r="E8" s="126"/>
      <c r="F8" s="104">
        <f>Thuysan!S6</f>
        <v>1.5</v>
      </c>
      <c r="G8" s="34" t="str">
        <f>Thuysan!T6</f>
        <v>Pb, Hg, Cd</v>
      </c>
      <c r="H8" s="126"/>
      <c r="I8" s="126"/>
      <c r="J8" s="34" t="str">
        <f>Thuysan!W6</f>
        <v>Ao 6</v>
      </c>
    </row>
    <row r="9" spans="1:10" ht="31.5" x14ac:dyDescent="0.25">
      <c r="A9" s="53">
        <f>_xlfn.AGGREGATE(3,3,$C$6:C9)</f>
        <v>4</v>
      </c>
      <c r="B9" s="34" t="str">
        <f>Thuysan!O7</f>
        <v>Tôm chân trắng nhỏ</v>
      </c>
      <c r="C9" s="34" t="str">
        <f>Thuysan!P7</f>
        <v>83/0224/04</v>
      </c>
      <c r="D9" s="124" t="str">
        <f>Thuysan!Q7</f>
        <v>Bình Đại 83/02</v>
      </c>
      <c r="E9" s="34" t="str">
        <f>Thuysan!R7</f>
        <v>Cao Văn Dước - Ấp 3, Xã Phú Vang</v>
      </c>
      <c r="F9" s="104">
        <f>Thuysan!S7</f>
        <v>0.5</v>
      </c>
      <c r="G9" s="34" t="str">
        <f>Thuysan!T7</f>
        <v>Nhóm Nitroimidazoles</v>
      </c>
      <c r="H9" s="124" t="str">
        <f>Thuysan!U7</f>
        <v>27/02/2024</v>
      </c>
      <c r="I9" s="124" t="str">
        <f>Thuysan!V7</f>
        <v>Cao Quang Nguyên</v>
      </c>
      <c r="J9" s="34" t="str">
        <f>Thuysan!W7</f>
        <v>Ao 1</v>
      </c>
    </row>
    <row r="10" spans="1:10" ht="47.25" x14ac:dyDescent="0.25">
      <c r="A10" s="53">
        <f>_xlfn.AGGREGATE(3,3,$C$6:C10)</f>
        <v>5</v>
      </c>
      <c r="B10" s="34" t="str">
        <f>Thuysan!O8</f>
        <v>Cá tra nhỏ</v>
      </c>
      <c r="C10" s="34" t="str">
        <f>Thuysan!P8</f>
        <v>83/0224/05</v>
      </c>
      <c r="D10" s="126"/>
      <c r="E10" s="34" t="str">
        <f>Thuysan!R8</f>
        <v>Công ty CP Thủy sản Vinh Quang - Ấp Hưng Thạnh, Xã Châu Hưng</v>
      </c>
      <c r="F10" s="104">
        <f>Thuysan!S8</f>
        <v>1</v>
      </c>
      <c r="G10" s="34" t="str">
        <f>Thuysan!T8</f>
        <v>Methyltestosterone</v>
      </c>
      <c r="H10" s="126"/>
      <c r="I10" s="126"/>
      <c r="J10" s="34" t="str">
        <f>Thuysan!W8</f>
        <v>Ao 1</v>
      </c>
    </row>
    <row r="11" spans="1:10" ht="47.25" x14ac:dyDescent="0.25">
      <c r="A11" s="53">
        <f>_xlfn.AGGREGATE(3,3,$C$6:C11)</f>
        <v>6</v>
      </c>
      <c r="B11" s="34" t="str">
        <f>Thuysan!O9</f>
        <v>Tôm chân trắng nhỏ</v>
      </c>
      <c r="C11" s="34" t="str">
        <f>Thuysan!P9</f>
        <v>83/0224/06</v>
      </c>
      <c r="D11" s="34" t="str">
        <f>Thuysan!Q9</f>
        <v>Thạnh Phú 83/03</v>
      </c>
      <c r="E11" s="34" t="str">
        <f>Thuysan!R9</f>
        <v>Cao Văn Tùng - Ấp An Hòa, Xã An Nhơn</v>
      </c>
      <c r="F11" s="104">
        <f>Thuysan!S9</f>
        <v>0.5</v>
      </c>
      <c r="G11" s="34" t="str">
        <f>Thuysan!T9</f>
        <v>Chloramphenicol</v>
      </c>
      <c r="H11" s="34" t="str">
        <f>Thuysan!U9</f>
        <v>28/02/2024</v>
      </c>
      <c r="I11" s="34" t="str">
        <f>Thuysan!V9</f>
        <v>Cao Quang Nguyên</v>
      </c>
      <c r="J11" s="34" t="str">
        <f>Thuysan!W9</f>
        <v>Ao 1</v>
      </c>
    </row>
    <row r="12" spans="1:10" ht="15.75" x14ac:dyDescent="0.25">
      <c r="A12" s="53">
        <f>_xlfn.AGGREGATE(3,3,$C$6:C12)</f>
        <v>7</v>
      </c>
      <c r="B12" s="34" t="str">
        <f>Thuysan!O10</f>
        <v>Cá tra nhỏ</v>
      </c>
      <c r="C12" s="34" t="str">
        <f>Thuysan!P10</f>
        <v>83/0224/07</v>
      </c>
      <c r="D12" s="124" t="str">
        <f>Thuysan!Q10</f>
        <v>Châu Thành 83/05</v>
      </c>
      <c r="E12" s="124" t="str">
        <f>Thuysan!R10</f>
        <v>Công ty CP Gò Đàng - Ấp Phú Luông, Xã Tân Phú</v>
      </c>
      <c r="F12" s="104">
        <f>Thuysan!S10</f>
        <v>1</v>
      </c>
      <c r="G12" s="34" t="str">
        <f>Thuysan!T10</f>
        <v>Methyltestosterone</v>
      </c>
      <c r="H12" s="124" t="str">
        <f>Thuysan!U10</f>
        <v>27/02/2024</v>
      </c>
      <c r="I12" s="124" t="str">
        <f>Thuysan!V10</f>
        <v>Nguyễn Duy Khanh</v>
      </c>
      <c r="J12" s="34" t="str">
        <f>Thuysan!W10</f>
        <v>Ao 3</v>
      </c>
    </row>
    <row r="13" spans="1:10" ht="15.75" x14ac:dyDescent="0.25">
      <c r="A13" s="53">
        <f>_xlfn.AGGREGATE(3,3,$C$6:C13)</f>
        <v>8</v>
      </c>
      <c r="B13" s="34" t="str">
        <f>Thuysan!O11</f>
        <v>Cá tra nhỏ</v>
      </c>
      <c r="C13" s="34" t="str">
        <f>Thuysan!P11</f>
        <v>83/0224/08</v>
      </c>
      <c r="D13" s="125"/>
      <c r="E13" s="125"/>
      <c r="F13" s="104">
        <f>Thuysan!S11</f>
        <v>1</v>
      </c>
      <c r="G13" s="34" t="str">
        <f>Thuysan!T11</f>
        <v>Nhóm Nitroimidazoles</v>
      </c>
      <c r="H13" s="125"/>
      <c r="I13" s="125"/>
      <c r="J13" s="34" t="str">
        <f>Thuysan!W11</f>
        <v>Ao 4</v>
      </c>
    </row>
    <row r="14" spans="1:10" ht="15.75" x14ac:dyDescent="0.25">
      <c r="A14" s="53">
        <f>_xlfn.AGGREGATE(3,3,$C$6:C14)</f>
        <v>9</v>
      </c>
      <c r="B14" s="34" t="str">
        <f>Thuysan!O12</f>
        <v>Cá tra nhỏ</v>
      </c>
      <c r="C14" s="34" t="str">
        <f>Thuysan!P12</f>
        <v>83/0224/09</v>
      </c>
      <c r="D14" s="126"/>
      <c r="E14" s="126"/>
      <c r="F14" s="104">
        <f>Thuysan!S12</f>
        <v>1</v>
      </c>
      <c r="G14" s="34" t="str">
        <f>Thuysan!T12</f>
        <v>Pb, Hg, Cd</v>
      </c>
      <c r="H14" s="126"/>
      <c r="I14" s="126"/>
      <c r="J14" s="34" t="str">
        <f>Thuysan!W12</f>
        <v>Ao 5</v>
      </c>
    </row>
    <row r="15" spans="1:10" ht="15.75" x14ac:dyDescent="0.25">
      <c r="A15" s="53">
        <f>_xlfn.AGGREGATE(3,3,$C$6:C15)</f>
        <v>10</v>
      </c>
      <c r="B15" s="34" t="str">
        <f>Thuysan!O13</f>
        <v>Cá tra nhỏ</v>
      </c>
      <c r="C15" s="34" t="str">
        <f>Thuysan!P13</f>
        <v>83/0224/10</v>
      </c>
      <c r="D15" s="124" t="str">
        <f>Thuysan!Q13</f>
        <v>Giồng Trôm 83/06</v>
      </c>
      <c r="E15" s="124" t="str">
        <f>Thuysan!R13</f>
        <v>Công ty CP Gò Đàng - Ấp 1, Xã Sơn Phú</v>
      </c>
      <c r="F15" s="104">
        <f>Thuysan!S13</f>
        <v>1</v>
      </c>
      <c r="G15" s="34" t="str">
        <f>Thuysan!T13</f>
        <v>Methyltestosterone</v>
      </c>
      <c r="H15" s="124" t="str">
        <f>Thuysan!U13</f>
        <v>28/02/2024</v>
      </c>
      <c r="I15" s="124" t="str">
        <f>Thuysan!V13</f>
        <v>Phạm Minh Thuận</v>
      </c>
      <c r="J15" s="34" t="str">
        <f>Thuysan!W13</f>
        <v>Ao 2</v>
      </c>
    </row>
    <row r="16" spans="1:10" ht="15.75" x14ac:dyDescent="0.25">
      <c r="A16" s="53">
        <f>_xlfn.AGGREGATE(3,3,$C$6:C16)</f>
        <v>11</v>
      </c>
      <c r="B16" s="34" t="str">
        <f>Thuysan!O14</f>
        <v>Cá tra thương phẩm</v>
      </c>
      <c r="C16" s="34" t="str">
        <f>Thuysan!P14</f>
        <v>83/0224/11</v>
      </c>
      <c r="D16" s="125"/>
      <c r="E16" s="125"/>
      <c r="F16" s="104">
        <f>Thuysan!S14</f>
        <v>1.5</v>
      </c>
      <c r="G16" s="34" t="str">
        <f>Thuysan!T14</f>
        <v>Chloramphenicol</v>
      </c>
      <c r="H16" s="125"/>
      <c r="I16" s="125"/>
      <c r="J16" s="34" t="str">
        <f>Thuysan!W14</f>
        <v>Ao 3</v>
      </c>
    </row>
    <row r="17" spans="1:10" ht="15.75" x14ac:dyDescent="0.25">
      <c r="A17" s="101">
        <f>_xlfn.AGGREGATE(3,3,$C$6:C17)</f>
        <v>12</v>
      </c>
      <c r="B17" s="34" t="str">
        <f>Thuysan!O15</f>
        <v>Cá tra thương phẩm</v>
      </c>
      <c r="C17" s="34" t="str">
        <f>Thuysan!P15</f>
        <v>83/0224/12</v>
      </c>
      <c r="D17" s="125"/>
      <c r="E17" s="125"/>
      <c r="F17" s="104">
        <f>Thuysan!S15</f>
        <v>1.5</v>
      </c>
      <c r="G17" s="34" t="str">
        <f>Thuysan!T15</f>
        <v>Nitrofurans</v>
      </c>
      <c r="H17" s="125"/>
      <c r="I17" s="125"/>
      <c r="J17" s="34" t="str">
        <f>Thuysan!W15</f>
        <v>Ao 5</v>
      </c>
    </row>
    <row r="18" spans="1:10" ht="15.75" x14ac:dyDescent="0.25">
      <c r="A18" s="101">
        <f>_xlfn.AGGREGATE(3,3,$C$6:C18)</f>
        <v>13</v>
      </c>
      <c r="B18" s="34" t="str">
        <f>Thuysan!O16</f>
        <v>Cá tra thương phẩm</v>
      </c>
      <c r="C18" s="34" t="str">
        <f>Thuysan!P16</f>
        <v>83/0224/13</v>
      </c>
      <c r="D18" s="126"/>
      <c r="E18" s="126"/>
      <c r="F18" s="104">
        <f>Thuysan!S16</f>
        <v>1.5</v>
      </c>
      <c r="G18" s="34" t="str">
        <f>Thuysan!T16</f>
        <v>Nhóm Nitroimidazoles</v>
      </c>
      <c r="H18" s="126"/>
      <c r="I18" s="126"/>
      <c r="J18" s="34" t="str">
        <f>Thuysan!W16</f>
        <v>Ao 6</v>
      </c>
    </row>
    <row r="19" spans="1:10" ht="15.75" x14ac:dyDescent="0.25">
      <c r="A19" s="101">
        <f>_xlfn.AGGREGATE(3,3,$C$6:C19)</f>
        <v>14</v>
      </c>
      <c r="B19" s="34" t="str">
        <f>Thuysan!O17</f>
        <v>Cá tra nhỏ</v>
      </c>
      <c r="C19" s="34" t="str">
        <f>Thuysan!P17</f>
        <v>83/0224/14</v>
      </c>
      <c r="D19" s="124" t="str">
        <f>Thuysan!Q17</f>
        <v>Chợ Lách 83/07</v>
      </c>
      <c r="E19" s="124" t="str">
        <f>Thuysan!R17</f>
        <v>Công ty TNHH CBTPXK Vạn Đức Tiền Giang - Ấp Phú Bình, Xã Vĩnh Bình</v>
      </c>
      <c r="F19" s="104">
        <f>Thuysan!S17</f>
        <v>1</v>
      </c>
      <c r="G19" s="34" t="str">
        <f>Thuysan!T17</f>
        <v>Methyltestosterone</v>
      </c>
      <c r="H19" s="124" t="str">
        <f>Thuysan!U17</f>
        <v>28/02/2024</v>
      </c>
      <c r="I19" s="124" t="str">
        <f>Thuysan!V17</f>
        <v>Nguyễn Duy Khanh</v>
      </c>
      <c r="J19" s="34" t="str">
        <f>Thuysan!W17</f>
        <v>Ao 23</v>
      </c>
    </row>
    <row r="20" spans="1:10" ht="15.75" x14ac:dyDescent="0.25">
      <c r="A20" s="101">
        <f>_xlfn.AGGREGATE(3,3,$C$6:C20)</f>
        <v>15</v>
      </c>
      <c r="B20" s="34" t="str">
        <f>Thuysan!O18</f>
        <v>Cá tra thương phẩm</v>
      </c>
      <c r="C20" s="34" t="str">
        <f>Thuysan!P18</f>
        <v>83/0224/15</v>
      </c>
      <c r="D20" s="125"/>
      <c r="E20" s="125"/>
      <c r="F20" s="104">
        <f>Thuysan!S18</f>
        <v>1.5</v>
      </c>
      <c r="G20" s="34" t="str">
        <f>Thuysan!T18</f>
        <v>Nhóm Nitroimidazoles</v>
      </c>
      <c r="H20" s="125"/>
      <c r="I20" s="125"/>
      <c r="J20" s="34" t="str">
        <f>Thuysan!W18</f>
        <v>Ao 8</v>
      </c>
    </row>
    <row r="21" spans="1:10" ht="15.75" x14ac:dyDescent="0.25">
      <c r="A21" s="101">
        <f>_xlfn.AGGREGATE(3,3,$C$6:C21)</f>
        <v>16</v>
      </c>
      <c r="B21" s="34" t="str">
        <f>Thuysan!O19</f>
        <v>Cá tra thương phẩm</v>
      </c>
      <c r="C21" s="34" t="str">
        <f>Thuysan!P19</f>
        <v>83/0224/16</v>
      </c>
      <c r="D21" s="125"/>
      <c r="E21" s="125"/>
      <c r="F21" s="104">
        <f>Thuysan!S19</f>
        <v>1.5</v>
      </c>
      <c r="G21" s="34" t="str">
        <f>Thuysan!T19</f>
        <v>Albendazole</v>
      </c>
      <c r="H21" s="125"/>
      <c r="I21" s="125"/>
      <c r="J21" s="34" t="str">
        <f>Thuysan!W19</f>
        <v>Ao 11</v>
      </c>
    </row>
    <row r="22" spans="1:10" ht="15.75" x14ac:dyDescent="0.25">
      <c r="A22" s="101">
        <f>_xlfn.AGGREGATE(3,3,$C$6:C22)</f>
        <v>17</v>
      </c>
      <c r="B22" s="34" t="str">
        <f>Thuysan!O20</f>
        <v>Cá tra thương phẩm</v>
      </c>
      <c r="C22" s="34" t="str">
        <f>Thuysan!P20</f>
        <v>83/0224/17</v>
      </c>
      <c r="D22" s="126"/>
      <c r="E22" s="126"/>
      <c r="F22" s="104">
        <f>Thuysan!S20</f>
        <v>1.5</v>
      </c>
      <c r="G22" s="34" t="str">
        <f>Thuysan!T20</f>
        <v>Perfluoroalkyl</v>
      </c>
      <c r="H22" s="126"/>
      <c r="I22" s="126"/>
      <c r="J22" s="34" t="str">
        <f>Thuysan!W20</f>
        <v>Ao 3</v>
      </c>
    </row>
  </sheetData>
  <mergeCells count="22">
    <mergeCell ref="E19:E22"/>
    <mergeCell ref="D19:D22"/>
    <mergeCell ref="H6:H8"/>
    <mergeCell ref="I6:I8"/>
    <mergeCell ref="H9:H10"/>
    <mergeCell ref="I9:I10"/>
    <mergeCell ref="H12:H14"/>
    <mergeCell ref="I12:I14"/>
    <mergeCell ref="H15:H18"/>
    <mergeCell ref="I15:I18"/>
    <mergeCell ref="H19:H22"/>
    <mergeCell ref="I19:I22"/>
    <mergeCell ref="D12:D14"/>
    <mergeCell ref="D15:D18"/>
    <mergeCell ref="E7:E8"/>
    <mergeCell ref="E12:E14"/>
    <mergeCell ref="E15:E18"/>
    <mergeCell ref="A1:J1"/>
    <mergeCell ref="A2:J2"/>
    <mergeCell ref="A3:J3"/>
    <mergeCell ref="D6:D8"/>
    <mergeCell ref="D9:D10"/>
  </mergeCells>
  <pageMargins left="0.41" right="0.19" top="0.43" bottom="0.3" header="0.3" footer="0.18"/>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opLeftCell="A23" zoomScaleNormal="100" workbookViewId="0">
      <selection activeCell="A6" sqref="A6"/>
    </sheetView>
  </sheetViews>
  <sheetFormatPr defaultColWidth="11.42578125" defaultRowHeight="15" x14ac:dyDescent="0.25"/>
  <cols>
    <col min="1" max="1" width="5.42578125" style="38" customWidth="1"/>
    <col min="2" max="2" width="26.7109375" style="33" customWidth="1"/>
    <col min="3" max="3" width="11.85546875" style="33" customWidth="1"/>
    <col min="4" max="4" width="7.85546875" style="33" customWidth="1"/>
    <col min="5" max="5" width="28.7109375" style="33" customWidth="1"/>
    <col min="6" max="6" width="6.28515625" style="33" customWidth="1"/>
    <col min="7" max="7" width="25.42578125" style="33" customWidth="1"/>
    <col min="8" max="8" width="6.85546875" style="33" customWidth="1"/>
    <col min="9" max="9" width="10.85546875" style="33" customWidth="1"/>
    <col min="10" max="10" width="10.42578125" style="38" customWidth="1"/>
    <col min="11" max="16384" width="11.42578125" style="33"/>
  </cols>
  <sheetData>
    <row r="1" spans="1:10" ht="15.75" x14ac:dyDescent="0.25">
      <c r="A1" s="127" t="s">
        <v>355</v>
      </c>
      <c r="B1" s="127"/>
      <c r="C1" s="127"/>
      <c r="D1" s="127"/>
      <c r="E1" s="127"/>
      <c r="F1" s="127"/>
      <c r="G1" s="127"/>
      <c r="H1" s="127"/>
      <c r="I1" s="127"/>
      <c r="J1" s="127"/>
    </row>
    <row r="2" spans="1:10" ht="15.75" customHeight="1" x14ac:dyDescent="0.25">
      <c r="A2" s="127" t="s">
        <v>356</v>
      </c>
      <c r="B2" s="127"/>
      <c r="C2" s="127"/>
      <c r="D2" s="127"/>
      <c r="E2" s="127"/>
      <c r="F2" s="127"/>
      <c r="G2" s="127"/>
      <c r="H2" s="127"/>
      <c r="I2" s="127"/>
      <c r="J2" s="127"/>
    </row>
    <row r="3" spans="1:10" ht="34.5" customHeight="1" x14ac:dyDescent="0.25">
      <c r="A3" s="128" t="s">
        <v>357</v>
      </c>
      <c r="B3" s="128"/>
      <c r="C3" s="128"/>
      <c r="D3" s="128"/>
      <c r="E3" s="128"/>
      <c r="F3" s="128"/>
      <c r="G3" s="128"/>
      <c r="H3" s="128"/>
      <c r="I3" s="128"/>
      <c r="J3" s="128"/>
    </row>
    <row r="5" spans="1:10" ht="78.75" x14ac:dyDescent="0.25">
      <c r="A5" s="31" t="s">
        <v>175</v>
      </c>
      <c r="B5" s="32" t="s">
        <v>205</v>
      </c>
      <c r="C5" s="32" t="s">
        <v>371</v>
      </c>
      <c r="D5" s="32" t="s">
        <v>390</v>
      </c>
      <c r="E5" s="31" t="s">
        <v>391</v>
      </c>
      <c r="F5" s="32" t="s">
        <v>392</v>
      </c>
      <c r="G5" s="31" t="s">
        <v>361</v>
      </c>
      <c r="H5" s="32" t="s">
        <v>360</v>
      </c>
      <c r="I5" s="32" t="s">
        <v>359</v>
      </c>
      <c r="J5" s="31" t="s">
        <v>176</v>
      </c>
    </row>
    <row r="6" spans="1:10" ht="40.5" customHeight="1" x14ac:dyDescent="0.25">
      <c r="A6" s="37">
        <f>_xlfn.AGGREGATE(3,3,$C$6:C6)</f>
        <v>0</v>
      </c>
      <c r="B6" s="34" t="e">
        <f>Thuysan!#REF!</f>
        <v>#REF!</v>
      </c>
      <c r="C6" s="36" t="e">
        <f>Thuysan!#REF!</f>
        <v>#REF!</v>
      </c>
      <c r="D6" s="124" t="e">
        <f>Thuysan!#REF!</f>
        <v>#REF!</v>
      </c>
      <c r="E6" s="124" t="e">
        <f>Thuysan!#REF!</f>
        <v>#REF!</v>
      </c>
      <c r="F6" s="36" t="e">
        <f>Thuysan!#REF!</f>
        <v>#REF!</v>
      </c>
      <c r="G6" s="34" t="e">
        <f>Thuysan!#REF!</f>
        <v>#REF!</v>
      </c>
      <c r="H6" s="124" t="e">
        <f>Thuysan!#REF!</f>
        <v>#REF!</v>
      </c>
      <c r="I6" s="124" t="e">
        <f>Thuysan!#REF!</f>
        <v>#REF!</v>
      </c>
      <c r="J6" s="37"/>
    </row>
    <row r="7" spans="1:10" ht="15.75" x14ac:dyDescent="0.25">
      <c r="A7" s="37">
        <f>_xlfn.AGGREGATE(3,3,$C$6:C7)</f>
        <v>0</v>
      </c>
      <c r="B7" s="34" t="e">
        <f>Thuysan!#REF!</f>
        <v>#REF!</v>
      </c>
      <c r="C7" s="36" t="e">
        <f>Thuysan!#REF!</f>
        <v>#REF!</v>
      </c>
      <c r="D7" s="125"/>
      <c r="E7" s="125"/>
      <c r="F7" s="36" t="e">
        <f>Thuysan!#REF!</f>
        <v>#REF!</v>
      </c>
      <c r="G7" s="34" t="e">
        <f>Thuysan!#REF!</f>
        <v>#REF!</v>
      </c>
      <c r="H7" s="125"/>
      <c r="I7" s="125"/>
      <c r="J7" s="37"/>
    </row>
    <row r="8" spans="1:10" ht="15.75" x14ac:dyDescent="0.25">
      <c r="A8" s="37">
        <f>_xlfn.AGGREGATE(3,3,$C$6:C8)</f>
        <v>0</v>
      </c>
      <c r="B8" s="34" t="e">
        <f>Thuysan!#REF!</f>
        <v>#REF!</v>
      </c>
      <c r="C8" s="36" t="e">
        <f>Thuysan!#REF!</f>
        <v>#REF!</v>
      </c>
      <c r="D8" s="126"/>
      <c r="E8" s="126"/>
      <c r="F8" s="36" t="e">
        <f>Thuysan!#REF!</f>
        <v>#REF!</v>
      </c>
      <c r="G8" s="34" t="e">
        <f>Thuysan!#REF!</f>
        <v>#REF!</v>
      </c>
      <c r="H8" s="126"/>
      <c r="I8" s="126"/>
      <c r="J8" s="37"/>
    </row>
    <row r="9" spans="1:10" ht="15.75" x14ac:dyDescent="0.25">
      <c r="A9" s="37">
        <f>_xlfn.AGGREGATE(3,3,$C$6:C9)</f>
        <v>0</v>
      </c>
      <c r="B9" s="34" t="e">
        <f>Thuysan!#REF!</f>
        <v>#REF!</v>
      </c>
      <c r="C9" s="36" t="e">
        <f>Thuysan!#REF!</f>
        <v>#REF!</v>
      </c>
      <c r="D9" s="124" t="e">
        <f>Thuysan!#REF!</f>
        <v>#REF!</v>
      </c>
      <c r="E9" s="124" t="e">
        <f>Thuysan!#REF!</f>
        <v>#REF!</v>
      </c>
      <c r="F9" s="36" t="e">
        <f>Thuysan!#REF!</f>
        <v>#REF!</v>
      </c>
      <c r="G9" s="34" t="e">
        <f>Thuysan!#REF!</f>
        <v>#REF!</v>
      </c>
      <c r="H9" s="124" t="e">
        <f>Thuysan!#REF!</f>
        <v>#REF!</v>
      </c>
      <c r="I9" s="124" t="e">
        <f>Thuysan!#REF!</f>
        <v>#REF!</v>
      </c>
      <c r="J9" s="37"/>
    </row>
    <row r="10" spans="1:10" ht="15.75" x14ac:dyDescent="0.25">
      <c r="A10" s="37">
        <f>_xlfn.AGGREGATE(3,3,$C$6:C10)</f>
        <v>0</v>
      </c>
      <c r="B10" s="34" t="e">
        <f>Thuysan!#REF!</f>
        <v>#REF!</v>
      </c>
      <c r="C10" s="36" t="e">
        <f>Thuysan!#REF!</f>
        <v>#REF!</v>
      </c>
      <c r="D10" s="125"/>
      <c r="E10" s="125"/>
      <c r="F10" s="36" t="e">
        <f>Thuysan!#REF!</f>
        <v>#REF!</v>
      </c>
      <c r="G10" s="34" t="e">
        <f>Thuysan!#REF!</f>
        <v>#REF!</v>
      </c>
      <c r="H10" s="125"/>
      <c r="I10" s="125"/>
      <c r="J10" s="37"/>
    </row>
    <row r="11" spans="1:10" ht="15.75" x14ac:dyDescent="0.25">
      <c r="A11" s="37">
        <f>_xlfn.AGGREGATE(3,3,$C$6:C11)</f>
        <v>0</v>
      </c>
      <c r="B11" s="34" t="e">
        <f>Thuysan!#REF!</f>
        <v>#REF!</v>
      </c>
      <c r="C11" s="36" t="e">
        <f>Thuysan!#REF!</f>
        <v>#REF!</v>
      </c>
      <c r="D11" s="125"/>
      <c r="E11" s="125"/>
      <c r="F11" s="36" t="e">
        <f>Thuysan!#REF!</f>
        <v>#REF!</v>
      </c>
      <c r="G11" s="34" t="e">
        <f>Thuysan!#REF!</f>
        <v>#REF!</v>
      </c>
      <c r="H11" s="125"/>
      <c r="I11" s="125"/>
      <c r="J11" s="37"/>
    </row>
    <row r="12" spans="1:10" ht="36" customHeight="1" x14ac:dyDescent="0.25">
      <c r="A12" s="37">
        <f>_xlfn.AGGREGATE(3,3,$C$6:C12)</f>
        <v>0</v>
      </c>
      <c r="B12" s="34" t="e">
        <f>Thuysan!#REF!</f>
        <v>#REF!</v>
      </c>
      <c r="C12" s="36" t="e">
        <f>Thuysan!#REF!</f>
        <v>#REF!</v>
      </c>
      <c r="D12" s="125"/>
      <c r="E12" s="126"/>
      <c r="F12" s="36" t="e">
        <f>Thuysan!#REF!</f>
        <v>#REF!</v>
      </c>
      <c r="G12" s="34" t="e">
        <f>Thuysan!#REF!</f>
        <v>#REF!</v>
      </c>
      <c r="H12" s="125"/>
      <c r="I12" s="125"/>
      <c r="J12" s="37"/>
    </row>
    <row r="13" spans="1:10" ht="29.25" customHeight="1" x14ac:dyDescent="0.25">
      <c r="A13" s="37">
        <f>_xlfn.AGGREGATE(3,3,$C$6:C13)</f>
        <v>0</v>
      </c>
      <c r="B13" s="34" t="e">
        <f>Thuysan!#REF!</f>
        <v>#REF!</v>
      </c>
      <c r="C13" s="36" t="e">
        <f>Thuysan!#REF!</f>
        <v>#REF!</v>
      </c>
      <c r="D13" s="125"/>
      <c r="E13" s="34" t="e">
        <f>Thuysan!#REF!</f>
        <v>#REF!</v>
      </c>
      <c r="F13" s="36" t="e">
        <f>Thuysan!#REF!</f>
        <v>#REF!</v>
      </c>
      <c r="G13" s="34" t="e">
        <f>Thuysan!#REF!</f>
        <v>#REF!</v>
      </c>
      <c r="H13" s="125"/>
      <c r="I13" s="125"/>
      <c r="J13" s="37"/>
    </row>
    <row r="14" spans="1:10" ht="24.75" customHeight="1" x14ac:dyDescent="0.25">
      <c r="A14" s="37">
        <f>_xlfn.AGGREGATE(3,3,$C$6:C14)</f>
        <v>0</v>
      </c>
      <c r="B14" s="34" t="e">
        <f>Thuysan!#REF!</f>
        <v>#REF!</v>
      </c>
      <c r="C14" s="36" t="e">
        <f>Thuysan!#REF!</f>
        <v>#REF!</v>
      </c>
      <c r="D14" s="125"/>
      <c r="E14" s="34" t="e">
        <f>Thuysan!#REF!</f>
        <v>#REF!</v>
      </c>
      <c r="F14" s="36" t="e">
        <f>Thuysan!#REF!</f>
        <v>#REF!</v>
      </c>
      <c r="G14" s="34" t="e">
        <f>Thuysan!#REF!</f>
        <v>#REF!</v>
      </c>
      <c r="H14" s="125"/>
      <c r="I14" s="125"/>
      <c r="J14" s="37"/>
    </row>
    <row r="15" spans="1:10" ht="22.5" customHeight="1" x14ac:dyDescent="0.25">
      <c r="A15" s="37">
        <f>_xlfn.AGGREGATE(3,3,$C$6:C15)</f>
        <v>0</v>
      </c>
      <c r="B15" s="34" t="e">
        <f>Thuysan!#REF!</f>
        <v>#REF!</v>
      </c>
      <c r="C15" s="36" t="e">
        <f>Thuysan!#REF!</f>
        <v>#REF!</v>
      </c>
      <c r="D15" s="125"/>
      <c r="E15" s="34" t="e">
        <f>Thuysan!#REF!</f>
        <v>#REF!</v>
      </c>
      <c r="F15" s="36" t="e">
        <f>Thuysan!#REF!</f>
        <v>#REF!</v>
      </c>
      <c r="G15" s="34" t="e">
        <f>Thuysan!#REF!</f>
        <v>#REF!</v>
      </c>
      <c r="H15" s="125"/>
      <c r="I15" s="125"/>
      <c r="J15" s="37"/>
    </row>
    <row r="16" spans="1:10" ht="15.75" x14ac:dyDescent="0.25">
      <c r="A16" s="37">
        <f>_xlfn.AGGREGATE(3,3,$C$6:C16)</f>
        <v>0</v>
      </c>
      <c r="B16" s="34" t="e">
        <f>Thuysan!#REF!</f>
        <v>#REF!</v>
      </c>
      <c r="C16" s="36" t="e">
        <f>Thuysan!#REF!</f>
        <v>#REF!</v>
      </c>
      <c r="D16" s="125"/>
      <c r="E16" s="34" t="e">
        <f>Thuysan!#REF!</f>
        <v>#REF!</v>
      </c>
      <c r="F16" s="36" t="e">
        <f>Thuysan!#REF!</f>
        <v>#REF!</v>
      </c>
      <c r="G16" s="34" t="e">
        <f>Thuysan!#REF!</f>
        <v>#REF!</v>
      </c>
      <c r="H16" s="125"/>
      <c r="I16" s="125"/>
      <c r="J16" s="37"/>
    </row>
    <row r="17" spans="1:10" ht="15.75" x14ac:dyDescent="0.25">
      <c r="A17" s="37">
        <f>_xlfn.AGGREGATE(3,3,$C$6:C17)</f>
        <v>0</v>
      </c>
      <c r="B17" s="34" t="e">
        <f>Thuysan!#REF!</f>
        <v>#REF!</v>
      </c>
      <c r="C17" s="36" t="e">
        <f>Thuysan!#REF!</f>
        <v>#REF!</v>
      </c>
      <c r="D17" s="125"/>
      <c r="E17" s="34" t="e">
        <f>Thuysan!#REF!</f>
        <v>#REF!</v>
      </c>
      <c r="F17" s="36" t="e">
        <f>Thuysan!#REF!</f>
        <v>#REF!</v>
      </c>
      <c r="G17" s="34" t="e">
        <f>Thuysan!#REF!</f>
        <v>#REF!</v>
      </c>
      <c r="H17" s="125"/>
      <c r="I17" s="125"/>
      <c r="J17" s="37"/>
    </row>
    <row r="18" spans="1:10" ht="15.75" x14ac:dyDescent="0.25">
      <c r="A18" s="37">
        <f>_xlfn.AGGREGATE(3,3,$C$6:C18)</f>
        <v>0</v>
      </c>
      <c r="B18" s="34" t="e">
        <f>Thuysan!#REF!</f>
        <v>#REF!</v>
      </c>
      <c r="C18" s="36" t="e">
        <f>Thuysan!#REF!</f>
        <v>#REF!</v>
      </c>
      <c r="D18" s="125"/>
      <c r="E18" s="34" t="e">
        <f>Thuysan!#REF!</f>
        <v>#REF!</v>
      </c>
      <c r="F18" s="36" t="e">
        <f>Thuysan!#REF!</f>
        <v>#REF!</v>
      </c>
      <c r="G18" s="34" t="e">
        <f>Thuysan!#REF!</f>
        <v>#REF!</v>
      </c>
      <c r="H18" s="125"/>
      <c r="I18" s="125"/>
      <c r="J18" s="37"/>
    </row>
    <row r="19" spans="1:10" ht="15.75" x14ac:dyDescent="0.25">
      <c r="A19" s="37">
        <f>_xlfn.AGGREGATE(3,3,$C$6:C19)</f>
        <v>0</v>
      </c>
      <c r="B19" s="34" t="e">
        <f>Thuysan!#REF!</f>
        <v>#REF!</v>
      </c>
      <c r="C19" s="36" t="e">
        <f>Thuysan!#REF!</f>
        <v>#REF!</v>
      </c>
      <c r="D19" s="126"/>
      <c r="E19" s="34" t="e">
        <f>Thuysan!#REF!</f>
        <v>#REF!</v>
      </c>
      <c r="F19" s="36" t="e">
        <f>Thuysan!#REF!</f>
        <v>#REF!</v>
      </c>
      <c r="G19" s="34" t="e">
        <f>Thuysan!#REF!</f>
        <v>#REF!</v>
      </c>
      <c r="H19" s="126"/>
      <c r="I19" s="126"/>
      <c r="J19" s="37"/>
    </row>
    <row r="20" spans="1:10" ht="15.75" x14ac:dyDescent="0.25">
      <c r="A20" s="37">
        <f>_xlfn.AGGREGATE(3,3,$C$6:C20)</f>
        <v>0</v>
      </c>
      <c r="B20" s="34" t="e">
        <f>Thuysan!#REF!</f>
        <v>#REF!</v>
      </c>
      <c r="C20" s="36" t="e">
        <f>Thuysan!#REF!</f>
        <v>#REF!</v>
      </c>
      <c r="D20" s="124" t="e">
        <f>Thuysan!#REF!</f>
        <v>#REF!</v>
      </c>
      <c r="E20" s="124" t="e">
        <f>Thuysan!#REF!</f>
        <v>#REF!</v>
      </c>
      <c r="F20" s="36" t="e">
        <f>Thuysan!#REF!</f>
        <v>#REF!</v>
      </c>
      <c r="G20" s="34" t="e">
        <f>Thuysan!#REF!</f>
        <v>#REF!</v>
      </c>
      <c r="H20" s="124" t="e">
        <f>Thuysan!#REF!</f>
        <v>#REF!</v>
      </c>
      <c r="I20" s="124" t="e">
        <f>Thuysan!#REF!</f>
        <v>#REF!</v>
      </c>
      <c r="J20" s="37"/>
    </row>
    <row r="21" spans="1:10" ht="15.75" x14ac:dyDescent="0.25">
      <c r="A21" s="37">
        <f>_xlfn.AGGREGATE(3,3,$C$6:C21)</f>
        <v>0</v>
      </c>
      <c r="B21" s="34" t="e">
        <f>Thuysan!#REF!</f>
        <v>#REF!</v>
      </c>
      <c r="C21" s="36" t="e">
        <f>Thuysan!#REF!</f>
        <v>#REF!</v>
      </c>
      <c r="D21" s="125"/>
      <c r="E21" s="126"/>
      <c r="F21" s="36" t="e">
        <f>Thuysan!#REF!</f>
        <v>#REF!</v>
      </c>
      <c r="G21" s="34" t="e">
        <f>Thuysan!#REF!</f>
        <v>#REF!</v>
      </c>
      <c r="H21" s="125"/>
      <c r="I21" s="125"/>
      <c r="J21" s="37"/>
    </row>
    <row r="22" spans="1:10" ht="15.75" x14ac:dyDescent="0.25">
      <c r="A22" s="37">
        <f>_xlfn.AGGREGATE(3,3,$C$6:C22)</f>
        <v>0</v>
      </c>
      <c r="B22" s="34" t="e">
        <f>Thuysan!#REF!</f>
        <v>#REF!</v>
      </c>
      <c r="C22" s="36" t="e">
        <f>Thuysan!#REF!</f>
        <v>#REF!</v>
      </c>
      <c r="D22" s="125"/>
      <c r="E22" s="124" t="e">
        <f>Thuysan!#REF!</f>
        <v>#REF!</v>
      </c>
      <c r="F22" s="36" t="e">
        <f>Thuysan!#REF!</f>
        <v>#REF!</v>
      </c>
      <c r="G22" s="34" t="e">
        <f>Thuysan!#REF!</f>
        <v>#REF!</v>
      </c>
      <c r="H22" s="125"/>
      <c r="I22" s="125"/>
      <c r="J22" s="37"/>
    </row>
    <row r="23" spans="1:10" ht="15.75" x14ac:dyDescent="0.25">
      <c r="A23" s="37">
        <f>_xlfn.AGGREGATE(3,3,$C$6:C23)</f>
        <v>0</v>
      </c>
      <c r="B23" s="34" t="e">
        <f>Thuysan!#REF!</f>
        <v>#REF!</v>
      </c>
      <c r="C23" s="36" t="e">
        <f>Thuysan!#REF!</f>
        <v>#REF!</v>
      </c>
      <c r="D23" s="126"/>
      <c r="E23" s="126"/>
      <c r="F23" s="36" t="e">
        <f>Thuysan!#REF!</f>
        <v>#REF!</v>
      </c>
      <c r="G23" s="34" t="e">
        <f>Thuysan!#REF!</f>
        <v>#REF!</v>
      </c>
      <c r="H23" s="126"/>
      <c r="I23" s="126"/>
      <c r="J23" s="37"/>
    </row>
    <row r="24" spans="1:10" ht="15.75" x14ac:dyDescent="0.25">
      <c r="A24" s="37">
        <f>_xlfn.AGGREGATE(3,3,$C$6:C24)</f>
        <v>0</v>
      </c>
      <c r="B24" s="34" t="e">
        <f>Thuysan!#REF!</f>
        <v>#REF!</v>
      </c>
      <c r="C24" s="36" t="e">
        <f>Thuysan!#REF!</f>
        <v>#REF!</v>
      </c>
      <c r="D24" s="124" t="e">
        <f>Thuysan!#REF!</f>
        <v>#REF!</v>
      </c>
      <c r="E24" s="124" t="e">
        <f>Thuysan!#REF!</f>
        <v>#REF!</v>
      </c>
      <c r="F24" s="36" t="e">
        <f>Thuysan!#REF!</f>
        <v>#REF!</v>
      </c>
      <c r="G24" s="34" t="e">
        <f>Thuysan!#REF!</f>
        <v>#REF!</v>
      </c>
      <c r="H24" s="124" t="e">
        <f>Thuysan!#REF!</f>
        <v>#REF!</v>
      </c>
      <c r="I24" s="124" t="e">
        <f>Thuysan!#REF!</f>
        <v>#REF!</v>
      </c>
      <c r="J24" s="37"/>
    </row>
    <row r="25" spans="1:10" ht="15.75" x14ac:dyDescent="0.25">
      <c r="A25" s="37">
        <f>_xlfn.AGGREGATE(3,3,$C$6:C25)</f>
        <v>0</v>
      </c>
      <c r="B25" s="34" t="e">
        <f>Thuysan!#REF!</f>
        <v>#REF!</v>
      </c>
      <c r="C25" s="36" t="e">
        <f>Thuysan!#REF!</f>
        <v>#REF!</v>
      </c>
      <c r="D25" s="126"/>
      <c r="E25" s="126"/>
      <c r="F25" s="36" t="e">
        <f>Thuysan!#REF!</f>
        <v>#REF!</v>
      </c>
      <c r="G25" s="34" t="e">
        <f>Thuysan!#REF!</f>
        <v>#REF!</v>
      </c>
      <c r="H25" s="126"/>
      <c r="I25" s="126"/>
      <c r="J25" s="37"/>
    </row>
    <row r="26" spans="1:10" ht="15.75" x14ac:dyDescent="0.25">
      <c r="A26" s="37">
        <f>_xlfn.AGGREGATE(3,3,$C$6:C26)</f>
        <v>0</v>
      </c>
      <c r="B26" s="34" t="e">
        <f>Thuysan!#REF!</f>
        <v>#REF!</v>
      </c>
      <c r="C26" s="36" t="e">
        <f>Thuysan!#REF!</f>
        <v>#REF!</v>
      </c>
      <c r="D26" s="124" t="e">
        <f>Thuysan!#REF!</f>
        <v>#REF!</v>
      </c>
      <c r="E26" s="124" t="e">
        <f>Thuysan!#REF!</f>
        <v>#REF!</v>
      </c>
      <c r="F26" s="36" t="e">
        <f>Thuysan!#REF!</f>
        <v>#REF!</v>
      </c>
      <c r="G26" s="34" t="e">
        <f>Thuysan!#REF!</f>
        <v>#REF!</v>
      </c>
      <c r="H26" s="124" t="e">
        <f>Thuysan!#REF!</f>
        <v>#REF!</v>
      </c>
      <c r="I26" s="124" t="e">
        <f>Thuysan!#REF!</f>
        <v>#REF!</v>
      </c>
      <c r="J26" s="37"/>
    </row>
    <row r="27" spans="1:10" ht="15.75" x14ac:dyDescent="0.25">
      <c r="A27" s="37">
        <f>_xlfn.AGGREGATE(3,3,$C$6:C27)</f>
        <v>0</v>
      </c>
      <c r="B27" s="34" t="e">
        <f>Thuysan!#REF!</f>
        <v>#REF!</v>
      </c>
      <c r="C27" s="36" t="e">
        <f>Thuysan!#REF!</f>
        <v>#REF!</v>
      </c>
      <c r="D27" s="125"/>
      <c r="E27" s="125"/>
      <c r="F27" s="36" t="e">
        <f>Thuysan!#REF!</f>
        <v>#REF!</v>
      </c>
      <c r="G27" s="34" t="e">
        <f>Thuysan!#REF!</f>
        <v>#REF!</v>
      </c>
      <c r="H27" s="125"/>
      <c r="I27" s="125"/>
      <c r="J27" s="37"/>
    </row>
    <row r="28" spans="1:10" ht="15.75" x14ac:dyDescent="0.25">
      <c r="A28" s="37">
        <f>_xlfn.AGGREGATE(3,3,$C$6:C28)</f>
        <v>0</v>
      </c>
      <c r="B28" s="34" t="e">
        <f>Thuysan!#REF!</f>
        <v>#REF!</v>
      </c>
      <c r="C28" s="36" t="e">
        <f>Thuysan!#REF!</f>
        <v>#REF!</v>
      </c>
      <c r="D28" s="125"/>
      <c r="E28" s="125"/>
      <c r="F28" s="36" t="e">
        <f>Thuysan!#REF!</f>
        <v>#REF!</v>
      </c>
      <c r="G28" s="34" t="e">
        <f>Thuysan!#REF!</f>
        <v>#REF!</v>
      </c>
      <c r="H28" s="125"/>
      <c r="I28" s="125"/>
      <c r="J28" s="37"/>
    </row>
    <row r="29" spans="1:10" ht="15.75" x14ac:dyDescent="0.25">
      <c r="A29" s="37">
        <f>_xlfn.AGGREGATE(3,3,$C$6:C29)</f>
        <v>0</v>
      </c>
      <c r="B29" s="34" t="e">
        <f>Thuysan!#REF!</f>
        <v>#REF!</v>
      </c>
      <c r="C29" s="36" t="e">
        <f>Thuysan!#REF!</f>
        <v>#REF!</v>
      </c>
      <c r="D29" s="126"/>
      <c r="E29" s="126"/>
      <c r="F29" s="36" t="e">
        <f>Thuysan!#REF!</f>
        <v>#REF!</v>
      </c>
      <c r="G29" s="34" t="e">
        <f>Thuysan!#REF!</f>
        <v>#REF!</v>
      </c>
      <c r="H29" s="126"/>
      <c r="I29" s="126"/>
      <c r="J29" s="37"/>
    </row>
    <row r="30" spans="1:10" ht="15.75" x14ac:dyDescent="0.25">
      <c r="A30" s="37">
        <f>_xlfn.AGGREGATE(3,3,$C$6:C30)</f>
        <v>0</v>
      </c>
      <c r="B30" s="34" t="e">
        <f>Thuysan!#REF!</f>
        <v>#REF!</v>
      </c>
      <c r="C30" s="36" t="e">
        <f>Thuysan!#REF!</f>
        <v>#REF!</v>
      </c>
      <c r="D30" s="124" t="e">
        <f>Thuysan!#REF!</f>
        <v>#REF!</v>
      </c>
      <c r="E30" s="124" t="e">
        <f>Thuysan!#REF!</f>
        <v>#REF!</v>
      </c>
      <c r="F30" s="36" t="e">
        <f>Thuysan!#REF!</f>
        <v>#REF!</v>
      </c>
      <c r="G30" s="34" t="e">
        <f>Thuysan!#REF!</f>
        <v>#REF!</v>
      </c>
      <c r="H30" s="124" t="e">
        <f>Thuysan!#REF!</f>
        <v>#REF!</v>
      </c>
      <c r="I30" s="124" t="e">
        <f>Thuysan!#REF!</f>
        <v>#REF!</v>
      </c>
      <c r="J30" s="37"/>
    </row>
    <row r="31" spans="1:10" ht="15.75" x14ac:dyDescent="0.25">
      <c r="A31" s="37">
        <f>_xlfn.AGGREGATE(3,3,$C$6:C31)</f>
        <v>0</v>
      </c>
      <c r="B31" s="34" t="e">
        <f>Thuysan!#REF!</f>
        <v>#REF!</v>
      </c>
      <c r="C31" s="36" t="e">
        <f>Thuysan!#REF!</f>
        <v>#REF!</v>
      </c>
      <c r="D31" s="126"/>
      <c r="E31" s="126"/>
      <c r="F31" s="36" t="e">
        <f>Thuysan!#REF!</f>
        <v>#REF!</v>
      </c>
      <c r="G31" s="34" t="e">
        <f>Thuysan!#REF!</f>
        <v>#REF!</v>
      </c>
      <c r="H31" s="126"/>
      <c r="I31" s="126"/>
      <c r="J31" s="37"/>
    </row>
    <row r="32" spans="1:10" ht="15.75" x14ac:dyDescent="0.25">
      <c r="A32" s="37">
        <f>_xlfn.AGGREGATE(3,3,$C$6:C32)</f>
        <v>0</v>
      </c>
      <c r="B32" s="34" t="e">
        <f>Thuysan!#REF!</f>
        <v>#REF!</v>
      </c>
      <c r="C32" s="36" t="e">
        <f>Thuysan!#REF!</f>
        <v>#REF!</v>
      </c>
      <c r="D32" s="124" t="e">
        <f>Thuysan!#REF!</f>
        <v>#REF!</v>
      </c>
      <c r="E32" s="124" t="e">
        <f>Thuysan!#REF!</f>
        <v>#REF!</v>
      </c>
      <c r="F32" s="36" t="e">
        <f>Thuysan!#REF!</f>
        <v>#REF!</v>
      </c>
      <c r="G32" s="34" t="e">
        <f>Thuysan!#REF!</f>
        <v>#REF!</v>
      </c>
      <c r="H32" s="124" t="e">
        <f>Thuysan!#REF!</f>
        <v>#REF!</v>
      </c>
      <c r="I32" s="124" t="e">
        <f>Thuysan!#REF!</f>
        <v>#REF!</v>
      </c>
      <c r="J32" s="37"/>
    </row>
    <row r="33" spans="1:10" ht="15.75" x14ac:dyDescent="0.25">
      <c r="A33" s="37">
        <f>_xlfn.AGGREGATE(3,3,$C$6:C33)</f>
        <v>0</v>
      </c>
      <c r="B33" s="34" t="e">
        <f>Thuysan!#REF!</f>
        <v>#REF!</v>
      </c>
      <c r="C33" s="36" t="e">
        <f>Thuysan!#REF!</f>
        <v>#REF!</v>
      </c>
      <c r="D33" s="125"/>
      <c r="E33" s="125"/>
      <c r="F33" s="36" t="e">
        <f>Thuysan!#REF!</f>
        <v>#REF!</v>
      </c>
      <c r="G33" s="34" t="e">
        <f>Thuysan!#REF!</f>
        <v>#REF!</v>
      </c>
      <c r="H33" s="125"/>
      <c r="I33" s="125"/>
      <c r="J33" s="37"/>
    </row>
    <row r="34" spans="1:10" ht="15.75" x14ac:dyDescent="0.25">
      <c r="A34" s="37">
        <f>_xlfn.AGGREGATE(3,3,$C$6:C34)</f>
        <v>0</v>
      </c>
      <c r="B34" s="34" t="e">
        <f>Thuysan!#REF!</f>
        <v>#REF!</v>
      </c>
      <c r="C34" s="36" t="e">
        <f>Thuysan!#REF!</f>
        <v>#REF!</v>
      </c>
      <c r="D34" s="125"/>
      <c r="E34" s="125"/>
      <c r="F34" s="36" t="e">
        <f>Thuysan!#REF!</f>
        <v>#REF!</v>
      </c>
      <c r="G34" s="34" t="e">
        <f>Thuysan!#REF!</f>
        <v>#REF!</v>
      </c>
      <c r="H34" s="125"/>
      <c r="I34" s="125"/>
      <c r="J34" s="37"/>
    </row>
    <row r="35" spans="1:10" ht="15.75" x14ac:dyDescent="0.25">
      <c r="A35" s="37">
        <f>_xlfn.AGGREGATE(3,3,$C$6:C35)</f>
        <v>0</v>
      </c>
      <c r="B35" s="34" t="e">
        <f>Thuysan!#REF!</f>
        <v>#REF!</v>
      </c>
      <c r="C35" s="36" t="e">
        <f>Thuysan!#REF!</f>
        <v>#REF!</v>
      </c>
      <c r="D35" s="125"/>
      <c r="E35" s="125"/>
      <c r="F35" s="36" t="e">
        <f>Thuysan!#REF!</f>
        <v>#REF!</v>
      </c>
      <c r="G35" s="34" t="e">
        <f>Thuysan!#REF!</f>
        <v>#REF!</v>
      </c>
      <c r="H35" s="125"/>
      <c r="I35" s="125"/>
      <c r="J35" s="37"/>
    </row>
    <row r="36" spans="1:10" ht="15.75" x14ac:dyDescent="0.25">
      <c r="A36" s="37">
        <f>_xlfn.AGGREGATE(3,3,$C$6:C36)</f>
        <v>0</v>
      </c>
      <c r="B36" s="34" t="e">
        <f>Thuysan!#REF!</f>
        <v>#REF!</v>
      </c>
      <c r="C36" s="37" t="e">
        <f>Thuysan!#REF!</f>
        <v>#REF!</v>
      </c>
      <c r="D36" s="126"/>
      <c r="E36" s="126"/>
      <c r="F36" s="37" t="e">
        <f>Thuysan!#REF!</f>
        <v>#REF!</v>
      </c>
      <c r="G36" s="34" t="e">
        <f>Thuysan!#REF!</f>
        <v>#REF!</v>
      </c>
      <c r="H36" s="126"/>
      <c r="I36" s="126"/>
      <c r="J36" s="37"/>
    </row>
  </sheetData>
  <mergeCells count="32">
    <mergeCell ref="I32:I36"/>
    <mergeCell ref="E26:E29"/>
    <mergeCell ref="I26:I29"/>
    <mergeCell ref="E22:E23"/>
    <mergeCell ref="H9:H19"/>
    <mergeCell ref="I20:I23"/>
    <mergeCell ref="H32:H36"/>
    <mergeCell ref="E20:E21"/>
    <mergeCell ref="H20:H23"/>
    <mergeCell ref="D24:D25"/>
    <mergeCell ref="E32:E36"/>
    <mergeCell ref="H26:H29"/>
    <mergeCell ref="E24:E25"/>
    <mergeCell ref="H30:H31"/>
    <mergeCell ref="D32:D36"/>
    <mergeCell ref="E30:E31"/>
    <mergeCell ref="A1:J1"/>
    <mergeCell ref="A2:J2"/>
    <mergeCell ref="A3:J3"/>
    <mergeCell ref="I30:I31"/>
    <mergeCell ref="D6:D8"/>
    <mergeCell ref="I24:I25"/>
    <mergeCell ref="H24:H25"/>
    <mergeCell ref="D26:D29"/>
    <mergeCell ref="I6:I8"/>
    <mergeCell ref="I9:I19"/>
    <mergeCell ref="E6:E8"/>
    <mergeCell ref="H6:H8"/>
    <mergeCell ref="D9:D19"/>
    <mergeCell ref="D20:D23"/>
    <mergeCell ref="E9:E12"/>
    <mergeCell ref="D30:D31"/>
  </mergeCells>
  <pageMargins left="0.41" right="0.19" top="0.43" bottom="0.3" header="0.3" footer="0.18"/>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H11" sqref="H11:H12"/>
    </sheetView>
  </sheetViews>
  <sheetFormatPr defaultColWidth="11.42578125" defaultRowHeight="15" x14ac:dyDescent="0.25"/>
  <cols>
    <col min="1" max="1" width="5.42578125" style="38" customWidth="1"/>
    <col min="2" max="2" width="19" style="33" customWidth="1"/>
    <col min="3" max="3" width="11" style="33" customWidth="1"/>
    <col min="4" max="4" width="7.85546875" style="33" customWidth="1"/>
    <col min="5" max="5" width="21.7109375" style="33" customWidth="1"/>
    <col min="6" max="6" width="6.28515625" style="33" customWidth="1"/>
    <col min="7" max="7" width="33.42578125" style="33" customWidth="1"/>
    <col min="8" max="8" width="11.28515625" style="33" customWidth="1"/>
    <col min="9" max="9" width="10.85546875" style="33" customWidth="1"/>
    <col min="10" max="10" width="9.2851562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481</v>
      </c>
      <c r="B3" s="136"/>
      <c r="C3" s="136"/>
      <c r="D3" s="136"/>
      <c r="E3" s="136"/>
      <c r="F3" s="137" t="s">
        <v>482</v>
      </c>
      <c r="G3" s="137"/>
      <c r="H3" s="137"/>
      <c r="I3" s="137"/>
      <c r="J3" s="137"/>
    </row>
    <row r="4" spans="1:10" ht="21" customHeight="1" x14ac:dyDescent="0.25">
      <c r="A4" s="132" t="s">
        <v>478</v>
      </c>
      <c r="B4" s="132"/>
      <c r="C4" s="132"/>
      <c r="D4" s="132"/>
      <c r="E4" s="132"/>
      <c r="F4" s="132"/>
      <c r="G4" s="132"/>
      <c r="H4" s="132"/>
      <c r="I4" s="132"/>
      <c r="J4" s="132"/>
    </row>
    <row r="5" spans="1:10" ht="10.5" hidden="1" customHeight="1" x14ac:dyDescent="0.25"/>
    <row r="6" spans="1:10" ht="69" customHeight="1" x14ac:dyDescent="0.25">
      <c r="A6" s="31" t="s">
        <v>175</v>
      </c>
      <c r="B6" s="32" t="s">
        <v>205</v>
      </c>
      <c r="C6" s="32" t="s">
        <v>371</v>
      </c>
      <c r="D6" s="32" t="s">
        <v>390</v>
      </c>
      <c r="E6" s="31" t="s">
        <v>391</v>
      </c>
      <c r="F6" s="32" t="s">
        <v>392</v>
      </c>
      <c r="G6" s="31" t="s">
        <v>361</v>
      </c>
      <c r="H6" s="32" t="s">
        <v>360</v>
      </c>
      <c r="I6" s="32" t="s">
        <v>359</v>
      </c>
      <c r="J6" s="31" t="s">
        <v>176</v>
      </c>
    </row>
    <row r="7" spans="1:10" ht="31.5" x14ac:dyDescent="0.25">
      <c r="A7" s="51">
        <f>_xlfn.AGGREGATE(3,3,$C$7:C7)</f>
        <v>1</v>
      </c>
      <c r="B7" s="34" t="str">
        <f>Thuysan!O197</f>
        <v>Tôm chân trắng thương phẩm</v>
      </c>
      <c r="C7" s="34" t="str">
        <f>Thuysan!P197</f>
        <v>83/1222/01</v>
      </c>
      <c r="D7" s="124" t="str">
        <f>Thuysan!Q197</f>
        <v>Ba Tri 83/01</v>
      </c>
      <c r="E7" s="124" t="str">
        <f>Thuysan!R197</f>
        <v>Phạm Văn Ba - Ấp 7, Xã An Thủy</v>
      </c>
      <c r="F7" s="34">
        <f>Thuysan!S197</f>
        <v>1</v>
      </c>
      <c r="G7" s="34" t="str">
        <f>Thuysan!T197</f>
        <v>Chloramphenicol, Nhóm Quinolones</v>
      </c>
      <c r="H7" s="124" t="str">
        <f>Thuysan!U197</f>
        <v>13/12/2022</v>
      </c>
      <c r="I7" s="124" t="str">
        <f>Thuysan!V197</f>
        <v>Phạm Minh Thuận</v>
      </c>
      <c r="J7" s="34" t="str">
        <f>Thuysan!W197</f>
        <v>Ao 1</v>
      </c>
    </row>
    <row r="8" spans="1:10" ht="31.5" customHeight="1" x14ac:dyDescent="0.25">
      <c r="A8" s="51">
        <f>_xlfn.AGGREGATE(3,3,$C$7:C8)</f>
        <v>2</v>
      </c>
      <c r="B8" s="34" t="str">
        <f>Thuysan!O198</f>
        <v>Tôm chân trắng thương phẩm</v>
      </c>
      <c r="C8" s="34" t="str">
        <f>Thuysan!P198</f>
        <v>83/1222/02</v>
      </c>
      <c r="D8" s="126"/>
      <c r="E8" s="126"/>
      <c r="F8" s="34">
        <f>Thuysan!S198</f>
        <v>1</v>
      </c>
      <c r="G8" s="34" t="str">
        <f>Thuysan!T198</f>
        <v>Thuốc trừ sâu gốc Chlor hữu cơ, Pb, Hg, Cd</v>
      </c>
      <c r="H8" s="126"/>
      <c r="I8" s="126"/>
      <c r="J8" s="34" t="str">
        <f>Thuysan!W198</f>
        <v>Ao 2</v>
      </c>
    </row>
    <row r="9" spans="1:10" ht="29.25" customHeight="1" x14ac:dyDescent="0.25">
      <c r="A9" s="51">
        <f>_xlfn.AGGREGATE(3,3,$C$7:C9)</f>
        <v>3</v>
      </c>
      <c r="B9" s="34" t="str">
        <f>Thuysan!O199</f>
        <v>Tôm chân trắng thương phẩm</v>
      </c>
      <c r="C9" s="34" t="str">
        <f>Thuysan!P199</f>
        <v>83/1222/03</v>
      </c>
      <c r="D9" s="124" t="str">
        <f>Thuysan!Q199</f>
        <v>Bình Đại 83/02</v>
      </c>
      <c r="E9" s="124" t="str">
        <f>Thuysan!R199</f>
        <v>Võ Huỳnh Tiến Nghĩa  - Ấp 4, Xã Bình Thới</v>
      </c>
      <c r="F9" s="34">
        <f>Thuysan!S199</f>
        <v>1</v>
      </c>
      <c r="G9" s="34" t="str">
        <f>Thuysan!T199</f>
        <v>Chloramphenicol, Nhóm Quinolones</v>
      </c>
      <c r="H9" s="124" t="str">
        <f>Thuysan!U199</f>
        <v>13/12/2022</v>
      </c>
      <c r="I9" s="124" t="str">
        <f>Thuysan!V199</f>
        <v>Cao Quang Nguyên</v>
      </c>
      <c r="J9" s="34" t="str">
        <f>Thuysan!W199</f>
        <v>Ao 1</v>
      </c>
    </row>
    <row r="10" spans="1:10" ht="34.5" customHeight="1" x14ac:dyDescent="0.25">
      <c r="A10" s="51">
        <f>_xlfn.AGGREGATE(3,3,$C$7:C10)</f>
        <v>4</v>
      </c>
      <c r="B10" s="34" t="str">
        <f>Thuysan!O200</f>
        <v>Tôm chân trắng thương phẩm</v>
      </c>
      <c r="C10" s="34" t="str">
        <f>Thuysan!P200</f>
        <v>83/1222/04</v>
      </c>
      <c r="D10" s="126"/>
      <c r="E10" s="126"/>
      <c r="F10" s="34">
        <f>Thuysan!S200</f>
        <v>1</v>
      </c>
      <c r="G10" s="34" t="str">
        <f>Thuysan!T200</f>
        <v>Thuốc trừ sâu gốc Chlor hữu cơ, Pb, Hg, Cd</v>
      </c>
      <c r="H10" s="126"/>
      <c r="I10" s="125"/>
      <c r="J10" s="34" t="str">
        <f>Thuysan!W200</f>
        <v>Ao 2</v>
      </c>
    </row>
    <row r="11" spans="1:10" ht="32.25" customHeight="1" x14ac:dyDescent="0.25">
      <c r="A11" s="51">
        <f>_xlfn.AGGREGATE(3,3,$C$7:C11)</f>
        <v>5</v>
      </c>
      <c r="B11" s="34" t="str">
        <f>Thuysan!O201</f>
        <v>Tôm chân trắng thương phẩm</v>
      </c>
      <c r="C11" s="34" t="str">
        <f>Thuysan!P201</f>
        <v>83/1222/05</v>
      </c>
      <c r="D11" s="124" t="str">
        <f>Thuysan!Q201</f>
        <v>Thạnh Phú 83/03</v>
      </c>
      <c r="E11" s="124" t="str">
        <f>Thuysan!R201</f>
        <v>Trần Văn Tần  - Ấp Thạnh Thới B, Xã Thạnh Hải</v>
      </c>
      <c r="F11" s="34">
        <f>Thuysan!S201</f>
        <v>1</v>
      </c>
      <c r="G11" s="34" t="str">
        <f>Thuysan!T201</f>
        <v>Chloramphenicol, Nhóm Quinolones</v>
      </c>
      <c r="H11" s="124" t="str">
        <f>Thuysan!U201</f>
        <v>14/12/2022</v>
      </c>
      <c r="I11" s="125"/>
      <c r="J11" s="34" t="str">
        <f>Thuysan!W201</f>
        <v>Ao 1</v>
      </c>
    </row>
    <row r="12" spans="1:10" ht="30.75" customHeight="1" x14ac:dyDescent="0.25">
      <c r="A12" s="51">
        <f>_xlfn.AGGREGATE(3,3,$C$7:C12)</f>
        <v>6</v>
      </c>
      <c r="B12" s="34" t="str">
        <f>Thuysan!O202</f>
        <v>Tôm chân trắng thương phẩm</v>
      </c>
      <c r="C12" s="34" t="str">
        <f>Thuysan!P202</f>
        <v>83/1222/06</v>
      </c>
      <c r="D12" s="126"/>
      <c r="E12" s="126"/>
      <c r="F12" s="34">
        <f>Thuysan!S202</f>
        <v>1</v>
      </c>
      <c r="G12" s="34" t="str">
        <f>Thuysan!T202</f>
        <v>Thuốc trừ sâu gốc Chlor hữu cơ, Pb, Hg, Cd</v>
      </c>
      <c r="H12" s="126"/>
      <c r="I12" s="126"/>
      <c r="J12" s="34" t="str">
        <f>Thuysan!W202</f>
        <v>Ao 2</v>
      </c>
    </row>
    <row r="13" spans="1:10" ht="17.25" customHeight="1" x14ac:dyDescent="0.25">
      <c r="A13" s="51">
        <f>_xlfn.AGGREGATE(3,3,$C$7:C13)</f>
        <v>7</v>
      </c>
      <c r="B13" s="34" t="str">
        <f>Thuysan!O203</f>
        <v>Cá tra thương phẩm</v>
      </c>
      <c r="C13" s="34" t="str">
        <f>Thuysan!P203</f>
        <v>83/1222/07</v>
      </c>
      <c r="D13" s="124" t="str">
        <f>Thuysan!Q203</f>
        <v>Châu Thành 83/05</v>
      </c>
      <c r="E13" s="124" t="str">
        <f>Thuysan!R203</f>
        <v>Công ty CP Gò Đàng - ấp Tân Tây, Xã Tân Phú</v>
      </c>
      <c r="F13" s="34">
        <f>Thuysan!S203</f>
        <v>1.5</v>
      </c>
      <c r="G13" s="34" t="str">
        <f>Thuysan!T203</f>
        <v>Chloramphenicol, Nhóm Quinolones</v>
      </c>
      <c r="H13" s="124" t="str">
        <f>Thuysan!U203</f>
        <v>13/12/2022</v>
      </c>
      <c r="I13" s="124" t="str">
        <f>Thuysan!V203</f>
        <v>Phạm Châu An</v>
      </c>
      <c r="J13" s="34" t="str">
        <f>Thuysan!W203</f>
        <v>Ao 4</v>
      </c>
    </row>
    <row r="14" spans="1:10" ht="60.75" customHeight="1" x14ac:dyDescent="0.25">
      <c r="A14" s="51">
        <f>_xlfn.AGGREGATE(3,3,$C$7:C14)</f>
        <v>8</v>
      </c>
      <c r="B14" s="34" t="str">
        <f>Thuysan!O204</f>
        <v>Cá tra thương phẩm</v>
      </c>
      <c r="C14" s="34" t="str">
        <f>Thuysan!P204</f>
        <v>83/1222/08</v>
      </c>
      <c r="D14" s="126"/>
      <c r="E14" s="126"/>
      <c r="F14" s="34">
        <f>Thuysan!S204</f>
        <v>1.5</v>
      </c>
      <c r="G14" s="34" t="str">
        <f>Thuysan!T204</f>
        <v>Ivermectin, Praziquantel, Trichlorfon, Avermectin B1a, Malachite Green, Leuco Malachite Green, Crystal Violet, Leuco Crystal Violet</v>
      </c>
      <c r="H14" s="126"/>
      <c r="I14" s="126"/>
      <c r="J14" s="34" t="str">
        <f>Thuysan!W204</f>
        <v>Ao 5</v>
      </c>
    </row>
    <row r="15" spans="1:10" ht="25.5" customHeight="1" x14ac:dyDescent="0.25">
      <c r="A15" s="51">
        <f>_xlfn.AGGREGATE(3,3,$C$7:C15)</f>
        <v>9</v>
      </c>
      <c r="B15" s="34" t="str">
        <f>Thuysan!O205</f>
        <v>Cá tra thương phẩm</v>
      </c>
      <c r="C15" s="34" t="str">
        <f>Thuysan!P205</f>
        <v>83/1222/09</v>
      </c>
      <c r="D15" s="124" t="str">
        <f>Thuysan!Q205</f>
        <v>Giồng Trôm 83/06</v>
      </c>
      <c r="E15" s="124" t="str">
        <f>Thuysan!R205</f>
        <v>Công ty CP Gò Đàng - Ấp 8, Xã Phước Long</v>
      </c>
      <c r="F15" s="34">
        <f>Thuysan!S205</f>
        <v>1.5</v>
      </c>
      <c r="G15" s="34" t="str">
        <f>Thuysan!T205</f>
        <v>Chloramphenicol, Nhóm Quinolones</v>
      </c>
      <c r="H15" s="124" t="str">
        <f>Thuysan!U205</f>
        <v>14/12/2022</v>
      </c>
      <c r="I15" s="124" t="str">
        <f>Thuysan!V205</f>
        <v>Phạm Minh Thuận</v>
      </c>
      <c r="J15" s="34" t="str">
        <f>Thuysan!W205</f>
        <v>Ao 1</v>
      </c>
    </row>
    <row r="16" spans="1:10" ht="33" customHeight="1" x14ac:dyDescent="0.25">
      <c r="A16" s="51">
        <f>_xlfn.AGGREGATE(3,3,$C$7:C16)</f>
        <v>10</v>
      </c>
      <c r="B16" s="34" t="str">
        <f>Thuysan!O206</f>
        <v>Cá tra thương phẩm</v>
      </c>
      <c r="C16" s="34" t="str">
        <f>Thuysan!P206</f>
        <v>83/1222/10</v>
      </c>
      <c r="D16" s="125"/>
      <c r="E16" s="125"/>
      <c r="F16" s="34">
        <f>Thuysan!S206</f>
        <v>1.5</v>
      </c>
      <c r="G16" s="34" t="str">
        <f>Thuysan!T206</f>
        <v>-</v>
      </c>
      <c r="H16" s="125"/>
      <c r="I16" s="125"/>
      <c r="J16" s="34" t="str">
        <f>Thuysan!W206</f>
        <v>Ao 2</v>
      </c>
    </row>
    <row r="17" spans="1:10" ht="31.5" x14ac:dyDescent="0.25">
      <c r="A17" s="51">
        <f>_xlfn.AGGREGATE(3,3,$C$7:C17)</f>
        <v>11</v>
      </c>
      <c r="B17" s="34" t="str">
        <f>Thuysan!O207</f>
        <v>Cá tra thương phẩm</v>
      </c>
      <c r="C17" s="34" t="str">
        <f>Thuysan!P207</f>
        <v>83/1222/11</v>
      </c>
      <c r="D17" s="126"/>
      <c r="E17" s="126"/>
      <c r="F17" s="34">
        <f>Thuysan!S207</f>
        <v>1.5</v>
      </c>
      <c r="G17" s="34" t="str">
        <f>Thuysan!T207</f>
        <v>-</v>
      </c>
      <c r="H17" s="126"/>
      <c r="I17" s="126"/>
      <c r="J17" s="34" t="str">
        <f>Thuysan!W207</f>
        <v>Ao 5</v>
      </c>
    </row>
    <row r="18" spans="1:10" ht="60" customHeight="1" x14ac:dyDescent="0.25">
      <c r="A18" s="51">
        <f>_xlfn.AGGREGATE(3,3,$C$7:C18)</f>
        <v>12</v>
      </c>
      <c r="B18" s="34" t="str">
        <f>Thuysan!O208</f>
        <v>Cá tra thương phẩm</v>
      </c>
      <c r="C18" s="34" t="str">
        <f>Thuysan!P208</f>
        <v>83/1222/12</v>
      </c>
      <c r="D18" s="124" t="str">
        <f>Thuysan!Q208</f>
        <v>Chợ Lách 83/07</v>
      </c>
      <c r="E18" s="34" t="str">
        <f>Thuysan!R208</f>
        <v>Công ty TNHH CBTPXK Vạn Đức Tiền Giang - ấp Phú Bình, Xã Vĩnh Bình</v>
      </c>
      <c r="F18" s="34">
        <f>Thuysan!S208</f>
        <v>1.5</v>
      </c>
      <c r="G18" s="34" t="str">
        <f>Thuysan!T208</f>
        <v>-</v>
      </c>
      <c r="H18" s="124" t="str">
        <f>Thuysan!U208</f>
        <v>14/12/2022</v>
      </c>
      <c r="I18" s="124" t="str">
        <f>Thuysan!V208</f>
        <v>Phạm Châu An</v>
      </c>
      <c r="J18" s="34" t="str">
        <f>Thuysan!W208</f>
        <v>Ao 20</v>
      </c>
    </row>
    <row r="19" spans="1:10" ht="60.75" customHeight="1" x14ac:dyDescent="0.25">
      <c r="A19" s="51">
        <f>_xlfn.AGGREGATE(3,3,$C$7:C19)</f>
        <v>13</v>
      </c>
      <c r="B19" s="34" t="str">
        <f>Thuysan!O209</f>
        <v>Cá tra thương phẩm</v>
      </c>
      <c r="C19" s="34" t="str">
        <f>Thuysan!P209</f>
        <v>83/1222/13</v>
      </c>
      <c r="D19" s="125"/>
      <c r="E19" s="34" t="str">
        <f>Thuysan!R209</f>
        <v>Công ty TNHH CBTPXK Vạn Đức Tiền Giang - ấp Bình An, Xã Hòa Nghĩa</v>
      </c>
      <c r="F19" s="34">
        <f>Thuysan!S209</f>
        <v>1.5</v>
      </c>
      <c r="G19" s="34" t="str">
        <f>Thuysan!T209</f>
        <v>Nhóm Quinolones, Ivermectin, Praziquantel, Trichlorfon, Avermectin B1a</v>
      </c>
      <c r="H19" s="125"/>
      <c r="I19" s="125"/>
      <c r="J19" s="34" t="str">
        <f>Thuysan!W209</f>
        <v>Ao 13</v>
      </c>
    </row>
    <row r="20" spans="1:10" ht="59.25" customHeight="1" x14ac:dyDescent="0.25">
      <c r="A20" s="51">
        <f>_xlfn.AGGREGATE(3,3,$C$7:C20)</f>
        <v>14</v>
      </c>
      <c r="B20" s="34" t="str">
        <f>Thuysan!O210</f>
        <v>Cá tra thương phẩm</v>
      </c>
      <c r="C20" s="34" t="str">
        <f>Thuysan!P210</f>
        <v>83/1222/14</v>
      </c>
      <c r="D20" s="125"/>
      <c r="E20" s="34" t="str">
        <f>Thuysan!R210</f>
        <v>Công ty TNHH CBTPXK Vạn Đức Tiền Giang - ấp Phú Bình, Xã Vĩnh Bình</v>
      </c>
      <c r="F20" s="34">
        <f>Thuysan!S210</f>
        <v>1.5</v>
      </c>
      <c r="G20" s="34" t="str">
        <f>Thuysan!T210</f>
        <v>-</v>
      </c>
      <c r="H20" s="125"/>
      <c r="I20" s="125"/>
      <c r="J20" s="34" t="str">
        <f>Thuysan!W210</f>
        <v>Ao 17</v>
      </c>
    </row>
    <row r="21" spans="1:10" ht="59.25" customHeight="1" x14ac:dyDescent="0.25">
      <c r="A21" s="51">
        <f>_xlfn.AGGREGATE(3,3,$C$7:C21)</f>
        <v>15</v>
      </c>
      <c r="B21" s="34" t="str">
        <f>Thuysan!O211</f>
        <v>Cá tra thương phẩm</v>
      </c>
      <c r="C21" s="34" t="str">
        <f>Thuysan!P211</f>
        <v>83/1222/15</v>
      </c>
      <c r="D21" s="125"/>
      <c r="E21" s="34" t="str">
        <f>Thuysan!R211</f>
        <v>Công ty TNHH CBTPXK Vạn Đức Tiền Giang - ấp Bình An, Xã Hòa Nghĩa</v>
      </c>
      <c r="F21" s="34">
        <f>Thuysan!S211</f>
        <v>1.5</v>
      </c>
      <c r="G21" s="34" t="str">
        <f>Thuysan!T211</f>
        <v>-</v>
      </c>
      <c r="H21" s="125"/>
      <c r="I21" s="125"/>
      <c r="J21" s="34" t="str">
        <f>Thuysan!W211</f>
        <v>Ao 5</v>
      </c>
    </row>
    <row r="22" spans="1:10" ht="60" customHeight="1" x14ac:dyDescent="0.25">
      <c r="A22" s="51">
        <f>_xlfn.AGGREGATE(3,3,$C$7:C22)</f>
        <v>16</v>
      </c>
      <c r="B22" s="34" t="str">
        <f>Thuysan!O212</f>
        <v>Cá tra thương phẩm</v>
      </c>
      <c r="C22" s="34" t="str">
        <f>Thuysan!P212</f>
        <v>83/1222/16</v>
      </c>
      <c r="D22" s="126"/>
      <c r="E22" s="34" t="str">
        <f>Thuysan!R212</f>
        <v>Công ty TNHH CBTPXK Vạn Đức Tiền Giang - ấp Phú Bình, Xã Vĩnh Bình</v>
      </c>
      <c r="F22" s="34">
        <f>Thuysan!S212</f>
        <v>1.5</v>
      </c>
      <c r="G22" s="34" t="str">
        <f>Thuysan!T212</f>
        <v>-</v>
      </c>
      <c r="H22" s="126"/>
      <c r="I22" s="126"/>
      <c r="J22" s="34" t="str">
        <f>Thuysan!W212</f>
        <v>Ao 21</v>
      </c>
    </row>
    <row r="23" spans="1:10" ht="30" customHeight="1" x14ac:dyDescent="0.25">
      <c r="A23" s="51">
        <f>_xlfn.AGGREGATE(3,3,$C$7:C23)</f>
        <v>17</v>
      </c>
      <c r="B23" s="34" t="str">
        <f>Thuysan!O213</f>
        <v>Cá tra thương phẩm</v>
      </c>
      <c r="C23" s="34" t="str">
        <f>Thuysan!P213</f>
        <v>83/0922/04</v>
      </c>
      <c r="D23" s="34" t="str">
        <f>Thuysan!Q213</f>
        <v>Ba Tri 83/01</v>
      </c>
      <c r="E23" s="34" t="str">
        <f>Thuysan!R213</f>
        <v>Công ty CP Gò Đàng - ấp 4, Xã Tân Xuân</v>
      </c>
      <c r="F23" s="34">
        <f>Thuysan!S213</f>
        <v>1.5</v>
      </c>
      <c r="G23" s="34" t="str">
        <f>Thuysan!T213</f>
        <v>-</v>
      </c>
      <c r="H23" s="49">
        <f>Thuysan!U213</f>
        <v>44908</v>
      </c>
      <c r="I23" s="34" t="str">
        <f>Thuysan!V213</f>
        <v>Phạm Minh Thuận</v>
      </c>
      <c r="J23" s="34" t="str">
        <f>Thuysan!W213</f>
        <v>Ao 4</v>
      </c>
    </row>
    <row r="24" spans="1:10" ht="16.5" customHeight="1" x14ac:dyDescent="0.25">
      <c r="A24" s="51">
        <f>_xlfn.AGGREGATE(3,3,$C$7:C24)</f>
        <v>18</v>
      </c>
      <c r="B24" s="34" t="str">
        <f>Thuysan!O214</f>
        <v>Cá tra thương phẩm</v>
      </c>
      <c r="C24" s="34" t="str">
        <f>Thuysan!P214</f>
        <v>83/0922/10</v>
      </c>
      <c r="D24" s="124" t="str">
        <f>Thuysan!Q214</f>
        <v>Bình Đại 83/02</v>
      </c>
      <c r="E24" s="124" t="str">
        <f>Thuysan!R214</f>
        <v>Công ty CP Gò Đàng - Khu A Lộc Thuận, ấp Lộc Sơn, Xã Lộc Thuận</v>
      </c>
      <c r="F24" s="34">
        <f>Thuysan!S214</f>
        <v>1.5</v>
      </c>
      <c r="G24" s="34" t="str">
        <f>Thuysan!T214</f>
        <v>Chloramphenicol</v>
      </c>
      <c r="H24" s="121">
        <f>Thuysan!U214</f>
        <v>44908</v>
      </c>
      <c r="I24" s="124" t="str">
        <f>Thuysan!V214</f>
        <v>Cao Quang Nguyên</v>
      </c>
      <c r="J24" s="34" t="str">
        <f>Thuysan!W214</f>
        <v>Ao B8</v>
      </c>
    </row>
    <row r="25" spans="1:10" ht="27.75" customHeight="1" x14ac:dyDescent="0.25">
      <c r="A25" s="51">
        <f>_xlfn.AGGREGATE(3,3,$C$7:C25)</f>
        <v>19</v>
      </c>
      <c r="B25" s="34" t="str">
        <f>Thuysan!O215</f>
        <v>Cá tra thương phẩm</v>
      </c>
      <c r="C25" s="34" t="str">
        <f>Thuysan!P215</f>
        <v>83/0922/11</v>
      </c>
      <c r="D25" s="125"/>
      <c r="E25" s="125"/>
      <c r="F25" s="34">
        <f>Thuysan!S215</f>
        <v>1.5</v>
      </c>
      <c r="G25" s="34" t="str">
        <f>Thuysan!T215</f>
        <v>-</v>
      </c>
      <c r="H25" s="122"/>
      <c r="I25" s="125"/>
      <c r="J25" s="34" t="str">
        <f>Thuysan!W215</f>
        <v>Ao 3</v>
      </c>
    </row>
    <row r="26" spans="1:10" ht="14.25" customHeight="1" x14ac:dyDescent="0.25">
      <c r="A26" s="51">
        <f>_xlfn.AGGREGATE(3,3,$C$7:C26)</f>
        <v>20</v>
      </c>
      <c r="B26" s="34" t="str">
        <f>Thuysan!O216</f>
        <v>Cá tra thương phẩm</v>
      </c>
      <c r="C26" s="34" t="str">
        <f>Thuysan!P216</f>
        <v>83/0922/12</v>
      </c>
      <c r="D26" s="126"/>
      <c r="E26" s="126"/>
      <c r="F26" s="34">
        <f>Thuysan!S216</f>
        <v>1.5</v>
      </c>
      <c r="G26" s="34" t="str">
        <f>Thuysan!T216</f>
        <v>Fenbendazole</v>
      </c>
      <c r="H26" s="123"/>
      <c r="I26" s="126"/>
      <c r="J26" s="34" t="str">
        <f>Thuysan!W216</f>
        <v>Ao 6</v>
      </c>
    </row>
    <row r="27" spans="1:10" ht="1.5" customHeight="1" x14ac:dyDescent="0.25">
      <c r="G27" s="39"/>
      <c r="H27" s="39"/>
      <c r="I27" s="39"/>
      <c r="J27" s="40"/>
    </row>
    <row r="28" spans="1:10" ht="18.75" x14ac:dyDescent="0.25">
      <c r="G28" s="130" t="s">
        <v>482</v>
      </c>
      <c r="H28" s="130"/>
      <c r="I28" s="130"/>
      <c r="J28" s="130"/>
    </row>
    <row r="29" spans="1:10" ht="18.75" x14ac:dyDescent="0.25">
      <c r="G29" s="131" t="s">
        <v>398</v>
      </c>
      <c r="H29" s="131"/>
      <c r="I29" s="131"/>
      <c r="J29" s="131"/>
    </row>
    <row r="30" spans="1:10" ht="18.75" x14ac:dyDescent="0.25">
      <c r="G30" s="40"/>
      <c r="H30" s="40"/>
      <c r="I30" s="40"/>
      <c r="J30" s="40"/>
    </row>
    <row r="31" spans="1:10" ht="18.75" x14ac:dyDescent="0.25">
      <c r="G31" s="39"/>
      <c r="H31" s="39"/>
      <c r="I31" s="39"/>
      <c r="J31" s="40"/>
    </row>
    <row r="32" spans="1:10" ht="8.25" customHeight="1" x14ac:dyDescent="0.25">
      <c r="G32" s="39"/>
      <c r="H32" s="39"/>
      <c r="I32" s="39"/>
      <c r="J32" s="40"/>
    </row>
    <row r="33" spans="7:10" ht="18" customHeight="1" x14ac:dyDescent="0.3">
      <c r="G33" s="129" t="s">
        <v>364</v>
      </c>
      <c r="H33" s="129"/>
      <c r="I33" s="129"/>
      <c r="J33" s="129"/>
    </row>
  </sheetData>
  <mergeCells count="36">
    <mergeCell ref="A1:E1"/>
    <mergeCell ref="F1:J1"/>
    <mergeCell ref="A2:E2"/>
    <mergeCell ref="F2:J2"/>
    <mergeCell ref="A3:E3"/>
    <mergeCell ref="F3:J3"/>
    <mergeCell ref="G33:J33"/>
    <mergeCell ref="G28:J28"/>
    <mergeCell ref="G29:J29"/>
    <mergeCell ref="D18:D22"/>
    <mergeCell ref="A4:J4"/>
    <mergeCell ref="E9:E10"/>
    <mergeCell ref="E11:E12"/>
    <mergeCell ref="I24:I26"/>
    <mergeCell ref="H24:H26"/>
    <mergeCell ref="H18:H22"/>
    <mergeCell ref="H15:H17"/>
    <mergeCell ref="H13:H14"/>
    <mergeCell ref="I7:I8"/>
    <mergeCell ref="I9:I12"/>
    <mergeCell ref="I13:I14"/>
    <mergeCell ref="I15:I17"/>
    <mergeCell ref="I18:I22"/>
    <mergeCell ref="H7:H8"/>
    <mergeCell ref="E15:E17"/>
    <mergeCell ref="D24:D26"/>
    <mergeCell ref="E24:E26"/>
    <mergeCell ref="E13:E14"/>
    <mergeCell ref="E7:E8"/>
    <mergeCell ref="D7:D8"/>
    <mergeCell ref="D9:D10"/>
    <mergeCell ref="D11:D12"/>
    <mergeCell ref="D13:D14"/>
    <mergeCell ref="D15:D17"/>
    <mergeCell ref="H9:H10"/>
    <mergeCell ref="H11:H12"/>
  </mergeCells>
  <pageMargins left="0.28999999999999998" right="0.19" top="0.43" bottom="0.3" header="0.3" footer="0.18"/>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Normal="100" workbookViewId="0">
      <selection activeCell="E12" sqref="E12:E14"/>
    </sheetView>
  </sheetViews>
  <sheetFormatPr defaultColWidth="11.42578125" defaultRowHeight="15" x14ac:dyDescent="0.25"/>
  <cols>
    <col min="1" max="1" width="5.42578125" style="38" customWidth="1"/>
    <col min="2" max="2" width="20.7109375" style="33" customWidth="1"/>
    <col min="3" max="3" width="11" style="33" customWidth="1"/>
    <col min="4" max="4" width="7.85546875" style="33" customWidth="1"/>
    <col min="5" max="5" width="27.7109375" style="33" customWidth="1"/>
    <col min="6" max="6" width="6.28515625" style="33" customWidth="1"/>
    <col min="7" max="7" width="31.5703125" style="33" customWidth="1"/>
    <col min="8" max="8" width="6.85546875" style="33" customWidth="1"/>
    <col min="9" max="9" width="10.85546875" style="33" customWidth="1"/>
    <col min="10" max="10" width="9.2851562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459</v>
      </c>
      <c r="B3" s="136"/>
      <c r="C3" s="136"/>
      <c r="D3" s="136"/>
      <c r="E3" s="136"/>
      <c r="F3" s="137" t="s">
        <v>611</v>
      </c>
      <c r="G3" s="137"/>
      <c r="H3" s="137"/>
      <c r="I3" s="137"/>
      <c r="J3" s="137"/>
    </row>
    <row r="4" spans="1:10" ht="21" customHeight="1" x14ac:dyDescent="0.25">
      <c r="A4" s="132" t="s">
        <v>605</v>
      </c>
      <c r="B4" s="132"/>
      <c r="C4" s="132"/>
      <c r="D4" s="132"/>
      <c r="E4" s="132"/>
      <c r="F4" s="132"/>
      <c r="G4" s="132"/>
      <c r="H4" s="132"/>
      <c r="I4" s="132"/>
      <c r="J4" s="132"/>
    </row>
    <row r="5" spans="1:10" ht="10.5" hidden="1" customHeight="1" x14ac:dyDescent="0.25"/>
    <row r="6" spans="1:10" ht="69" customHeight="1" x14ac:dyDescent="0.25">
      <c r="A6" s="31" t="s">
        <v>175</v>
      </c>
      <c r="B6" s="32" t="s">
        <v>205</v>
      </c>
      <c r="C6" s="32" t="s">
        <v>371</v>
      </c>
      <c r="D6" s="32" t="s">
        <v>390</v>
      </c>
      <c r="E6" s="31" t="s">
        <v>391</v>
      </c>
      <c r="F6" s="32" t="s">
        <v>392</v>
      </c>
      <c r="G6" s="31" t="s">
        <v>361</v>
      </c>
      <c r="H6" s="32" t="s">
        <v>360</v>
      </c>
      <c r="I6" s="32" t="s">
        <v>359</v>
      </c>
      <c r="J6" s="31" t="s">
        <v>176</v>
      </c>
    </row>
    <row r="7" spans="1:10" ht="15.75" customHeight="1" x14ac:dyDescent="0.25">
      <c r="A7" s="37">
        <f>_xlfn.AGGREGATE(3,3,$C$7:C7)</f>
        <v>1</v>
      </c>
      <c r="B7" s="34" t="str">
        <f>Thuysan!O165</f>
        <v>Cá tra thương phẩm</v>
      </c>
      <c r="C7" s="34" t="str">
        <f>Thuysan!P165</f>
        <v>83/1123/01</v>
      </c>
      <c r="D7" s="124" t="str">
        <f>Thuysan!Q165</f>
        <v>Bình Đại 83/02</v>
      </c>
      <c r="E7" s="124" t="str">
        <f>Thuysan!R165</f>
        <v>Công ty CP Gò Đàng - Khu A Lộc Thuận, ấp Lộc Sơn, Xã Lộc Thuận</v>
      </c>
      <c r="F7" s="34">
        <f>Thuysan!S165</f>
        <v>1.5</v>
      </c>
      <c r="G7" s="34" t="str">
        <f>Thuysan!T165</f>
        <v>Erythromycin, Pb, Hg, Cd</v>
      </c>
      <c r="H7" s="124" t="str">
        <f>Thuysan!U165</f>
        <v>28/11/2023</v>
      </c>
      <c r="I7" s="124" t="str">
        <f>Thuysan!V165</f>
        <v>Cao Quang Nguyên</v>
      </c>
      <c r="J7" s="34" t="str">
        <f>Thuysan!W165</f>
        <v>Ao 4</v>
      </c>
    </row>
    <row r="8" spans="1:10" ht="31.5" x14ac:dyDescent="0.25">
      <c r="A8" s="37">
        <f>_xlfn.AGGREGATE(3,3,$C$7:C8)</f>
        <v>2</v>
      </c>
      <c r="B8" s="34" t="str">
        <f>Thuysan!O166</f>
        <v>Cá tra thương phẩm</v>
      </c>
      <c r="C8" s="34" t="str">
        <f>Thuysan!P166</f>
        <v>83/1123/02</v>
      </c>
      <c r="D8" s="126"/>
      <c r="E8" s="126"/>
      <c r="F8" s="34">
        <f>Thuysan!S166</f>
        <v>1.5</v>
      </c>
      <c r="G8" s="34" t="str">
        <f>Thuysan!T166</f>
        <v>Chlorpyrifos, Fipronil, Pb, Hg, Cd</v>
      </c>
      <c r="H8" s="126"/>
      <c r="I8" s="126"/>
      <c r="J8" s="34" t="str">
        <f>Thuysan!W166</f>
        <v>Ao 11</v>
      </c>
    </row>
    <row r="9" spans="1:10" ht="45" customHeight="1" x14ac:dyDescent="0.25">
      <c r="A9" s="37">
        <f>_xlfn.AGGREGATE(3,3,$C$7:C9)</f>
        <v>3</v>
      </c>
      <c r="B9" s="34" t="str">
        <f>Thuysan!O167</f>
        <v>Cá tra thương phẩm</v>
      </c>
      <c r="C9" s="34" t="str">
        <f>Thuysan!P167</f>
        <v>83/1123/03</v>
      </c>
      <c r="D9" s="34" t="str">
        <f>Thuysan!Q167</f>
        <v>Châu Thành 83/05</v>
      </c>
      <c r="E9" s="34" t="str">
        <f>Thuysan!R167</f>
        <v>Công ty CP Hùng Vương - Ấp Phú Tân, Xã Phú Túc</v>
      </c>
      <c r="F9" s="34">
        <f>Thuysan!S167</f>
        <v>1.5</v>
      </c>
      <c r="G9" s="34" t="str">
        <f>Thuysan!T167</f>
        <v>Erythromycin, Pb, Hg, Cd</v>
      </c>
      <c r="H9" s="34" t="str">
        <f>Thuysan!U167</f>
        <v>28/11/2023</v>
      </c>
      <c r="I9" s="34" t="str">
        <f>Thuysan!V167</f>
        <v>Phạm Văn Lâm</v>
      </c>
      <c r="J9" s="34" t="str">
        <f>Thuysan!W167</f>
        <v>Ao 10</v>
      </c>
    </row>
    <row r="10" spans="1:10" ht="31.5" x14ac:dyDescent="0.25">
      <c r="A10" s="37">
        <f>_xlfn.AGGREGATE(3,3,$C$7:C10)</f>
        <v>4</v>
      </c>
      <c r="B10" s="34" t="str">
        <f>Thuysan!O168</f>
        <v>Cá tra thương phẩm</v>
      </c>
      <c r="C10" s="34" t="str">
        <f>Thuysan!P168</f>
        <v>83/1123/04</v>
      </c>
      <c r="D10" s="124" t="str">
        <f>Thuysan!Q168</f>
        <v>Giồng Trôm 83/06</v>
      </c>
      <c r="E10" s="124" t="str">
        <f>Thuysan!R168</f>
        <v>Công ty CP XNK Thủy sản Bến Tre (DL 22) - Trại nuôi cá tra Cồn Bần-Ấp Phước Long, Xã Sơn Phú</v>
      </c>
      <c r="F10" s="34">
        <f>Thuysan!S168</f>
        <v>1.5</v>
      </c>
      <c r="G10" s="34" t="str">
        <f>Thuysan!T168</f>
        <v>Azadirachtin, Pb, Hg, Cd</v>
      </c>
      <c r="H10" s="124" t="str">
        <f>Thuysan!U168</f>
        <v>28/11/2023</v>
      </c>
      <c r="I10" s="124" t="str">
        <f>Thuysan!V168</f>
        <v>Phạm Minh Thuận</v>
      </c>
      <c r="J10" s="34" t="str">
        <f>Thuysan!W168</f>
        <v>Ao C1</v>
      </c>
    </row>
    <row r="11" spans="1:10" ht="31.5" x14ac:dyDescent="0.25">
      <c r="A11" s="37">
        <f>_xlfn.AGGREGATE(3,3,$C$7:C11)</f>
        <v>5</v>
      </c>
      <c r="B11" s="34" t="str">
        <f>Thuysan!O169</f>
        <v>Cá tra thương phẩm</v>
      </c>
      <c r="C11" s="34" t="str">
        <f>Thuysan!P169</f>
        <v>83/1123/05</v>
      </c>
      <c r="D11" s="126"/>
      <c r="E11" s="126"/>
      <c r="F11" s="34">
        <f>Thuysan!S169</f>
        <v>1.5</v>
      </c>
      <c r="G11" s="34" t="str">
        <f>Thuysan!T169</f>
        <v>Amoxicillin , Pb, Hg, Cd</v>
      </c>
      <c r="H11" s="126"/>
      <c r="I11" s="126"/>
      <c r="J11" s="34" t="str">
        <f>Thuysan!W169</f>
        <v>Ao C3</v>
      </c>
    </row>
    <row r="12" spans="1:10" ht="26.25" customHeight="1" x14ac:dyDescent="0.25">
      <c r="A12" s="37">
        <f>_xlfn.AGGREGATE(3,3,$C$7:C12)</f>
        <v>6</v>
      </c>
      <c r="B12" s="34" t="str">
        <f>Thuysan!O170</f>
        <v>Cá tra thương phẩm</v>
      </c>
      <c r="C12" s="34" t="str">
        <f>Thuysan!P170</f>
        <v>83/1123/06</v>
      </c>
      <c r="D12" s="124" t="str">
        <f>Thuysan!Q170</f>
        <v>Chợ Lách 83/07</v>
      </c>
      <c r="E12" s="124" t="str">
        <f>Thuysan!R170</f>
        <v>Công ty TNHH CBTPXK Vạn Đức Tiền Giang - Ấp Phú Bình, Xã Vĩnh Bình</v>
      </c>
      <c r="F12" s="34">
        <f>Thuysan!S170</f>
        <v>1.5</v>
      </c>
      <c r="G12" s="34" t="str">
        <f>Thuysan!T170</f>
        <v>Nhóm Nitroimidazoles, Pb, Hg, Cd</v>
      </c>
      <c r="H12" s="124" t="str">
        <f>Thuysan!U170</f>
        <v>29/11/2023</v>
      </c>
      <c r="I12" s="124" t="str">
        <f>Thuysan!V170</f>
        <v>Phạm Văn Lâm</v>
      </c>
      <c r="J12" s="34" t="str">
        <f>Thuysan!W170</f>
        <v>Ao 3</v>
      </c>
    </row>
    <row r="13" spans="1:10" ht="24.75" customHeight="1" x14ac:dyDescent="0.25">
      <c r="A13" s="37">
        <f>_xlfn.AGGREGATE(3,3,$C$7:C13)</f>
        <v>7</v>
      </c>
      <c r="B13" s="34" t="str">
        <f>Thuysan!O171</f>
        <v>Cá tra thương phẩm</v>
      </c>
      <c r="C13" s="34" t="str">
        <f>Thuysan!P171</f>
        <v>83/1123/07</v>
      </c>
      <c r="D13" s="125"/>
      <c r="E13" s="125"/>
      <c r="F13" s="34">
        <f>Thuysan!S171</f>
        <v>1.5</v>
      </c>
      <c r="G13" s="34" t="str">
        <f>Thuysan!T171</f>
        <v>Nhóm Quinolones, Pb, Hg, Cd</v>
      </c>
      <c r="H13" s="125"/>
      <c r="I13" s="125"/>
      <c r="J13" s="34" t="str">
        <f>Thuysan!W171</f>
        <v>Ao 11</v>
      </c>
    </row>
    <row r="14" spans="1:10" ht="27" customHeight="1" x14ac:dyDescent="0.25">
      <c r="A14" s="37">
        <f>_xlfn.AGGREGATE(3,3,$C$7:C14)</f>
        <v>8</v>
      </c>
      <c r="B14" s="34" t="str">
        <f>Thuysan!O172</f>
        <v>Cá tra thương phẩm</v>
      </c>
      <c r="C14" s="34" t="str">
        <f>Thuysan!P172</f>
        <v>83/1123/08</v>
      </c>
      <c r="D14" s="126"/>
      <c r="E14" s="126"/>
      <c r="F14" s="34">
        <f>Thuysan!S172</f>
        <v>1.5</v>
      </c>
      <c r="G14" s="34" t="str">
        <f>Thuysan!T172</f>
        <v>Chlorpyrifos, Fipronil, Pb, Hg, Cd</v>
      </c>
      <c r="H14" s="126"/>
      <c r="I14" s="126"/>
      <c r="J14" s="34" t="str">
        <f>Thuysan!W172</f>
        <v>Ao 18</v>
      </c>
    </row>
    <row r="15" spans="1:10" ht="11.25" customHeight="1" x14ac:dyDescent="0.25">
      <c r="G15" s="39"/>
      <c r="H15" s="39"/>
      <c r="I15" s="39"/>
      <c r="J15" s="40"/>
    </row>
    <row r="16" spans="1:10" ht="21.75" customHeight="1" x14ac:dyDescent="0.25">
      <c r="G16" s="130" t="s">
        <v>611</v>
      </c>
      <c r="H16" s="130"/>
      <c r="I16" s="130"/>
      <c r="J16" s="130"/>
    </row>
    <row r="17" spans="7:10" ht="18.75" customHeight="1" x14ac:dyDescent="0.25">
      <c r="G17" s="131" t="s">
        <v>398</v>
      </c>
      <c r="H17" s="131"/>
      <c r="I17" s="131"/>
      <c r="J17" s="131"/>
    </row>
    <row r="18" spans="7:10" ht="29.25" customHeight="1" x14ac:dyDescent="0.25">
      <c r="G18" s="40"/>
      <c r="H18" s="40"/>
      <c r="I18" s="40"/>
      <c r="J18" s="40"/>
    </row>
    <row r="19" spans="7:10" ht="18.75" x14ac:dyDescent="0.25">
      <c r="G19" s="39"/>
      <c r="H19" s="39"/>
      <c r="I19" s="39"/>
      <c r="J19" s="40"/>
    </row>
    <row r="20" spans="7:10" ht="18.75" x14ac:dyDescent="0.25">
      <c r="G20" s="39"/>
      <c r="H20" s="39"/>
      <c r="I20" s="39"/>
      <c r="J20" s="40"/>
    </row>
    <row r="21" spans="7:10" ht="31.5" customHeight="1" x14ac:dyDescent="0.3">
      <c r="G21" s="129" t="s">
        <v>364</v>
      </c>
      <c r="H21" s="129"/>
      <c r="I21" s="129"/>
      <c r="J21" s="129"/>
    </row>
    <row r="26" spans="7:10" ht="24" customHeight="1" x14ac:dyDescent="0.25"/>
    <row r="27" spans="7:10" ht="24" customHeight="1" x14ac:dyDescent="0.25"/>
    <row r="28" spans="7:10" ht="20.25" customHeight="1" x14ac:dyDescent="0.25"/>
    <row r="29" spans="7:10" ht="1.5" customHeight="1" x14ac:dyDescent="0.25"/>
    <row r="34" ht="8.25" customHeight="1" x14ac:dyDescent="0.25"/>
    <row r="35" ht="18" customHeight="1" x14ac:dyDescent="0.25"/>
  </sheetData>
  <mergeCells count="22">
    <mergeCell ref="D12:D14"/>
    <mergeCell ref="E7:E8"/>
    <mergeCell ref="H7:H8"/>
    <mergeCell ref="I7:I8"/>
    <mergeCell ref="H10:H11"/>
    <mergeCell ref="I10:I11"/>
    <mergeCell ref="D7:D8"/>
    <mergeCell ref="D10:D11"/>
    <mergeCell ref="E10:E11"/>
    <mergeCell ref="E12:E14"/>
    <mergeCell ref="A4:J4"/>
    <mergeCell ref="A1:E1"/>
    <mergeCell ref="F1:J1"/>
    <mergeCell ref="A2:E2"/>
    <mergeCell ref="F2:J2"/>
    <mergeCell ref="A3:E3"/>
    <mergeCell ref="F3:J3"/>
    <mergeCell ref="G21:J21"/>
    <mergeCell ref="G16:J16"/>
    <mergeCell ref="G17:J17"/>
    <mergeCell ref="H12:H14"/>
    <mergeCell ref="I12:I14"/>
  </mergeCells>
  <pageMargins left="0.28999999999999998" right="0.19" top="0.43" bottom="0.3" header="0.3" footer="0.18"/>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topLeftCell="A10" zoomScaleNormal="100" workbookViewId="0">
      <selection activeCell="G23" sqref="G23:J23"/>
    </sheetView>
  </sheetViews>
  <sheetFormatPr defaultColWidth="11.42578125" defaultRowHeight="15" x14ac:dyDescent="0.25"/>
  <cols>
    <col min="1" max="1" width="5.42578125" style="38" customWidth="1"/>
    <col min="2" max="2" width="26.85546875" style="33" customWidth="1"/>
    <col min="3" max="3" width="11" style="33" customWidth="1"/>
    <col min="4" max="4" width="7.8554687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10.71093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420</v>
      </c>
      <c r="B3" s="136"/>
      <c r="C3" s="136"/>
      <c r="D3" s="136"/>
      <c r="E3" s="136"/>
      <c r="F3" s="137" t="s">
        <v>599</v>
      </c>
      <c r="G3" s="137"/>
      <c r="H3" s="137"/>
      <c r="I3" s="137"/>
      <c r="J3" s="137"/>
    </row>
    <row r="4" spans="1:10" ht="21" customHeight="1" x14ac:dyDescent="0.25">
      <c r="A4" s="132" t="s">
        <v>600</v>
      </c>
      <c r="B4" s="132"/>
      <c r="C4" s="132"/>
      <c r="D4" s="132"/>
      <c r="E4" s="132"/>
      <c r="F4" s="132"/>
      <c r="G4" s="132"/>
      <c r="H4" s="132"/>
      <c r="I4" s="132"/>
      <c r="J4" s="132"/>
    </row>
    <row r="5" spans="1:10" ht="10.5" customHeight="1" x14ac:dyDescent="0.25"/>
    <row r="6" spans="1:10" ht="78.75" x14ac:dyDescent="0.25">
      <c r="A6" s="31" t="s">
        <v>175</v>
      </c>
      <c r="B6" s="32" t="s">
        <v>205</v>
      </c>
      <c r="C6" s="32" t="s">
        <v>371</v>
      </c>
      <c r="D6" s="32" t="s">
        <v>390</v>
      </c>
      <c r="E6" s="31" t="s">
        <v>391</v>
      </c>
      <c r="F6" s="32" t="s">
        <v>392</v>
      </c>
      <c r="G6" s="31" t="s">
        <v>361</v>
      </c>
      <c r="H6" s="32" t="s">
        <v>360</v>
      </c>
      <c r="I6" s="32" t="s">
        <v>359</v>
      </c>
      <c r="J6" s="31" t="s">
        <v>176</v>
      </c>
    </row>
    <row r="7" spans="1:10" ht="31.5" x14ac:dyDescent="0.25">
      <c r="A7" s="37">
        <f>_xlfn.AGGREGATE(3,3,$C$7:C7)</f>
        <v>1</v>
      </c>
      <c r="B7" s="34" t="str">
        <f>Thuysan!O150</f>
        <v>Tôm chân trắng thương phẩm</v>
      </c>
      <c r="C7" s="34" t="str">
        <f>Thuysan!P150</f>
        <v>83/1023/01</v>
      </c>
      <c r="D7" s="34" t="str">
        <f>Thuysan!Q150</f>
        <v>Ba Tri 83/01</v>
      </c>
      <c r="E7" s="34" t="str">
        <f>Thuysan!R150</f>
        <v>Trần Văn Ba - Ấp 7, Xã An Thủy</v>
      </c>
      <c r="F7" s="34">
        <f>Thuysan!S150</f>
        <v>1</v>
      </c>
      <c r="G7" s="34" t="str">
        <f>Thuysan!T150</f>
        <v>-</v>
      </c>
      <c r="H7" s="34" t="str">
        <f>Thuysan!U150</f>
        <v>10/10/2023</v>
      </c>
      <c r="I7" s="34" t="str">
        <f>Thuysan!V150</f>
        <v>Phạm Minh Thuận</v>
      </c>
      <c r="J7" s="34" t="str">
        <f>Thuysan!W150</f>
        <v/>
      </c>
    </row>
    <row r="8" spans="1:10" ht="31.5" x14ac:dyDescent="0.25">
      <c r="A8" s="37">
        <f>_xlfn.AGGREGATE(3,3,$C$7:C8)</f>
        <v>2</v>
      </c>
      <c r="B8" s="34" t="str">
        <f>Thuysan!O151</f>
        <v>Tôm chân trắng thương phẩm</v>
      </c>
      <c r="C8" s="34" t="str">
        <f>Thuysan!P151</f>
        <v>83/1023/02</v>
      </c>
      <c r="D8" s="124" t="str">
        <f>Thuysan!Q151</f>
        <v>Bình Đại 83/02</v>
      </c>
      <c r="E8" s="34" t="str">
        <f>Thuysan!R151</f>
        <v>Võ Huỳnh Tiến Nghĩa  - Ấp 4, Xã Bình Thới</v>
      </c>
      <c r="F8" s="34">
        <f>Thuysan!S151</f>
        <v>1</v>
      </c>
      <c r="G8" s="34" t="str">
        <f>Thuysan!T151</f>
        <v>-</v>
      </c>
      <c r="H8" s="124" t="str">
        <f>Thuysan!U151</f>
        <v>11/10/2023</v>
      </c>
      <c r="I8" s="124" t="str">
        <f>Thuysan!V151</f>
        <v>Cao Quang Nguyên</v>
      </c>
      <c r="J8" s="34" t="str">
        <f>Thuysan!W151</f>
        <v/>
      </c>
    </row>
    <row r="9" spans="1:10" ht="31.5" x14ac:dyDescent="0.25">
      <c r="A9" s="37">
        <f>_xlfn.AGGREGATE(3,3,$C$7:C9)</f>
        <v>3</v>
      </c>
      <c r="B9" s="34" t="str">
        <f>Thuysan!O152</f>
        <v>Cá tra thương phẩm</v>
      </c>
      <c r="C9" s="34" t="str">
        <f>Thuysan!P152</f>
        <v>83/1023/03</v>
      </c>
      <c r="D9" s="125"/>
      <c r="E9" s="124" t="str">
        <f>Thuysan!R152</f>
        <v>Công ty CP Gò Đàng - Ấp Việc Giữa, Xã Thới Lai</v>
      </c>
      <c r="F9" s="34">
        <f>Thuysan!S152</f>
        <v>1.5</v>
      </c>
      <c r="G9" s="34" t="str">
        <f>Thuysan!T152</f>
        <v>Fosfomycin, Pb, Hg, Cd</v>
      </c>
      <c r="H9" s="125"/>
      <c r="I9" s="125"/>
      <c r="J9" s="34" t="str">
        <f>Thuysan!W152</f>
        <v/>
      </c>
    </row>
    <row r="10" spans="1:10" ht="16.5" customHeight="1" x14ac:dyDescent="0.25">
      <c r="A10" s="37">
        <f>_xlfn.AGGREGATE(3,3,$C$7:C10)</f>
        <v>4</v>
      </c>
      <c r="B10" s="34" t="str">
        <f>Thuysan!O153</f>
        <v>Cá tra thương phẩm</v>
      </c>
      <c r="C10" s="34" t="str">
        <f>Thuysan!P153</f>
        <v>83/1023/04</v>
      </c>
      <c r="D10" s="126"/>
      <c r="E10" s="126"/>
      <c r="F10" s="34">
        <f>Thuysan!S153</f>
        <v>1.5</v>
      </c>
      <c r="G10" s="34" t="str">
        <f>Thuysan!T153</f>
        <v>Azadirachtin, Pb, Hg, Cd</v>
      </c>
      <c r="H10" s="126"/>
      <c r="I10" s="126"/>
      <c r="J10" s="34" t="str">
        <f>Thuysan!W153</f>
        <v/>
      </c>
    </row>
    <row r="11" spans="1:10" ht="47.25" x14ac:dyDescent="0.25">
      <c r="A11" s="37">
        <f>_xlfn.AGGREGATE(3,3,$C$7:C11)</f>
        <v>5</v>
      </c>
      <c r="B11" s="34" t="str">
        <f>Thuysan!O154</f>
        <v>Tôm sú quảng canh</v>
      </c>
      <c r="C11" s="34" t="str">
        <f>Thuysan!P154</f>
        <v>83/1023/05</v>
      </c>
      <c r="D11" s="34" t="str">
        <f>Thuysan!Q154</f>
        <v>Thạnh Phú 83/03</v>
      </c>
      <c r="E11" s="34" t="str">
        <f>Thuysan!R154</f>
        <v>Đặng Thái Bình - Ấp An Định, Xã An Nhơn</v>
      </c>
      <c r="F11" s="34">
        <f>Thuysan!S154</f>
        <v>1</v>
      </c>
      <c r="G11" s="34" t="str">
        <f>Thuysan!T154</f>
        <v>Fosfomycin</v>
      </c>
      <c r="H11" s="34" t="str">
        <f>Thuysan!U154</f>
        <v>12/10/2023</v>
      </c>
      <c r="I11" s="34" t="str">
        <f>Thuysan!V154</f>
        <v>Cao Quang Nguyên</v>
      </c>
      <c r="J11" s="34" t="str">
        <f>Thuysan!W154</f>
        <v/>
      </c>
    </row>
    <row r="12" spans="1:10" ht="31.5" x14ac:dyDescent="0.25">
      <c r="A12" s="37">
        <f>_xlfn.AGGREGATE(3,3,$C$7:C12)</f>
        <v>6</v>
      </c>
      <c r="B12" s="34" t="str">
        <f>Thuysan!O155</f>
        <v>Cá tra thương phẩm</v>
      </c>
      <c r="C12" s="34" t="str">
        <f>Thuysan!P155</f>
        <v>83/1023/06</v>
      </c>
      <c r="D12" s="124" t="str">
        <f>Thuysan!Q155</f>
        <v>Mỏ Cày 83/04</v>
      </c>
      <c r="E12" s="124" t="str">
        <f>Thuysan!R155</f>
        <v>Công ty CP Gò Đàng - Ấp Thành Long, Xã Thành Thới A</v>
      </c>
      <c r="F12" s="34">
        <f>Thuysan!S155</f>
        <v>1.5</v>
      </c>
      <c r="G12" s="34" t="str">
        <f>Thuysan!T155</f>
        <v>Florfenicol, Pb, Hg, Cd</v>
      </c>
      <c r="H12" s="124" t="str">
        <f>Thuysan!U155</f>
        <v>11/10/2023</v>
      </c>
      <c r="I12" s="124" t="str">
        <f>Thuysan!V155</f>
        <v>Phạm Minh Thuận</v>
      </c>
      <c r="J12" s="34" t="str">
        <f>Thuysan!W155</f>
        <v/>
      </c>
    </row>
    <row r="13" spans="1:10" ht="18" customHeight="1" x14ac:dyDescent="0.25">
      <c r="A13" s="37">
        <f>_xlfn.AGGREGATE(3,3,$C$7:C13)</f>
        <v>7</v>
      </c>
      <c r="B13" s="34" t="str">
        <f>Thuysan!O156</f>
        <v>Cá tra thương phẩm</v>
      </c>
      <c r="C13" s="34" t="str">
        <f>Thuysan!P156</f>
        <v>83/1023/07</v>
      </c>
      <c r="D13" s="126"/>
      <c r="E13" s="126"/>
      <c r="F13" s="34">
        <f>Thuysan!S156</f>
        <v>1.5</v>
      </c>
      <c r="G13" s="34" t="str">
        <f>Thuysan!T156</f>
        <v>Trimethoprim, Pb, Hg, Cd</v>
      </c>
      <c r="H13" s="126"/>
      <c r="I13" s="126"/>
      <c r="J13" s="34" t="str">
        <f>Thuysan!W156</f>
        <v/>
      </c>
    </row>
    <row r="14" spans="1:10" ht="31.5" x14ac:dyDescent="0.25">
      <c r="A14" s="37">
        <f>_xlfn.AGGREGATE(3,3,$C$7:C14)</f>
        <v>8</v>
      </c>
      <c r="B14" s="34" t="str">
        <f>Thuysan!O157</f>
        <v>Cá tra thương phẩm</v>
      </c>
      <c r="C14" s="34" t="str">
        <f>Thuysan!P157</f>
        <v>83/1023/08</v>
      </c>
      <c r="D14" s="124" t="str">
        <f>Thuysan!Q157</f>
        <v>Châu Thành 83/05</v>
      </c>
      <c r="E14" s="124" t="str">
        <f>Thuysan!R157</f>
        <v>Công ty CPTS Hải Hương - Cồn Tiên Lợi, Xã Tiên Long</v>
      </c>
      <c r="F14" s="34">
        <f>Thuysan!S157</f>
        <v>1.5</v>
      </c>
      <c r="G14" s="34" t="str">
        <f>Thuysan!T157</f>
        <v>Florfenicol, Pb, Hg, Cd</v>
      </c>
      <c r="H14" s="124" t="str">
        <f>Thuysan!U157</f>
        <v>11/10/2023</v>
      </c>
      <c r="I14" s="124" t="str">
        <f>Thuysan!V157</f>
        <v>Nguyễn Duy Khanh</v>
      </c>
      <c r="J14" s="34" t="str">
        <f>Thuysan!W157</f>
        <v/>
      </c>
    </row>
    <row r="15" spans="1:10" ht="31.5" x14ac:dyDescent="0.25">
      <c r="A15" s="37">
        <f>_xlfn.AGGREGATE(3,3,$C$7:C15)</f>
        <v>9</v>
      </c>
      <c r="B15" s="34" t="str">
        <f>Thuysan!O158</f>
        <v>Cá tra thương phẩm</v>
      </c>
      <c r="C15" s="34" t="str">
        <f>Thuysan!P158</f>
        <v>83/1023/09</v>
      </c>
      <c r="D15" s="126"/>
      <c r="E15" s="126"/>
      <c r="F15" s="34">
        <f>Thuysan!S158</f>
        <v>1.5</v>
      </c>
      <c r="G15" s="34" t="str">
        <f>Thuysan!T158</f>
        <v>Fosfomycin, Pb, Hg, Cd</v>
      </c>
      <c r="H15" s="125"/>
      <c r="I15" s="126"/>
      <c r="J15" s="34" t="str">
        <f>Thuysan!W158</f>
        <v/>
      </c>
    </row>
    <row r="16" spans="1:10" ht="31.5" x14ac:dyDescent="0.25">
      <c r="A16" s="37">
        <f>_xlfn.AGGREGATE(3,3,$C$7:C16)</f>
        <v>10</v>
      </c>
      <c r="B16" s="34" t="str">
        <f>Thuysan!O159</f>
        <v>Cá tra thương phẩm</v>
      </c>
      <c r="C16" s="34" t="str">
        <f>Thuysan!P159</f>
        <v>83/1023/10</v>
      </c>
      <c r="D16" s="124" t="str">
        <f>Thuysan!Q159</f>
        <v>Giồng Trôm 83/06</v>
      </c>
      <c r="E16" s="124" t="str">
        <f>Thuysan!R159</f>
        <v>Công ty CP Gò Đàng - Ấp 5, Xã Thạnh Phú Đông</v>
      </c>
      <c r="F16" s="34">
        <f>Thuysan!S159</f>
        <v>1.5</v>
      </c>
      <c r="G16" s="34" t="str">
        <f>Thuysan!T159</f>
        <v>Levamisol, Pb, Hg, Cd</v>
      </c>
      <c r="H16" s="125" t="str">
        <f>Thuysan!U160</f>
        <v>12/10/2023</v>
      </c>
      <c r="I16" s="124" t="str">
        <f>Thuysan!V159</f>
        <v>Phạm Minh Thuận</v>
      </c>
      <c r="J16" s="34" t="str">
        <f>Thuysan!W159</f>
        <v/>
      </c>
    </row>
    <row r="17" spans="1:10" ht="28.5" customHeight="1" x14ac:dyDescent="0.25">
      <c r="A17" s="37">
        <f>_xlfn.AGGREGATE(3,3,$C$7:C17)</f>
        <v>11</v>
      </c>
      <c r="B17" s="34" t="str">
        <f>Thuysan!O160</f>
        <v>Cá tra thương phẩm</v>
      </c>
      <c r="C17" s="34" t="str">
        <f>Thuysan!P160</f>
        <v>83/1023/11</v>
      </c>
      <c r="D17" s="126"/>
      <c r="E17" s="126"/>
      <c r="F17" s="34">
        <f>Thuysan!S160</f>
        <v>1.5</v>
      </c>
      <c r="G17" s="34" t="str">
        <f>Thuysan!T160</f>
        <v>Fenbendazole, Pb, Hg, Cd</v>
      </c>
      <c r="H17" s="126"/>
      <c r="I17" s="126"/>
      <c r="J17" s="34" t="str">
        <f>Thuysan!W160</f>
        <v/>
      </c>
    </row>
    <row r="18" spans="1:10" ht="31.5" x14ac:dyDescent="0.25">
      <c r="A18" s="37">
        <f>_xlfn.AGGREGATE(3,3,$C$7:C18)</f>
        <v>12</v>
      </c>
      <c r="B18" s="34" t="str">
        <f>Thuysan!O161</f>
        <v>Cá tra thương phẩm</v>
      </c>
      <c r="C18" s="34" t="str">
        <f>Thuysan!P161</f>
        <v>83/1023/12</v>
      </c>
      <c r="D18" s="124" t="str">
        <f>Thuysan!Q161</f>
        <v>Chợ Lách 83/07</v>
      </c>
      <c r="E18" s="124" t="str">
        <f>Thuysan!R161</f>
        <v>Công ty TNHH CBTPXK Vạn Đức Tiền Giang - Ấp Bình An, Xã Hòa Nghĩa</v>
      </c>
      <c r="F18" s="34">
        <f>Thuysan!S161</f>
        <v>1.5</v>
      </c>
      <c r="G18" s="34" t="str">
        <f>Thuysan!T161</f>
        <v>Chloramphenicol, Pb, Hg, Cd</v>
      </c>
      <c r="H18" s="124" t="str">
        <f>Thuysan!U161</f>
        <v>12/10/2023</v>
      </c>
      <c r="I18" s="124" t="str">
        <f>Thuysan!V161</f>
        <v>Nguyễn Duy Khanh</v>
      </c>
      <c r="J18" s="34" t="str">
        <f>Thuysan!W161</f>
        <v/>
      </c>
    </row>
    <row r="19" spans="1:10" ht="31.5" x14ac:dyDescent="0.25">
      <c r="A19" s="37">
        <f>_xlfn.AGGREGATE(3,3,$C$7:C19)</f>
        <v>13</v>
      </c>
      <c r="B19" s="34" t="str">
        <f>Thuysan!O162</f>
        <v>Cá tra thương phẩm</v>
      </c>
      <c r="C19" s="34" t="str">
        <f>Thuysan!P162</f>
        <v>83/1023/13</v>
      </c>
      <c r="D19" s="125"/>
      <c r="E19" s="125"/>
      <c r="F19" s="34">
        <f>Thuysan!S162</f>
        <v>1.5</v>
      </c>
      <c r="G19" s="34" t="str">
        <f>Thuysan!T162</f>
        <v>Nitrofurans, Pb, Hg, Cd</v>
      </c>
      <c r="H19" s="125"/>
      <c r="I19" s="125"/>
      <c r="J19" s="34" t="str">
        <f>Thuysan!W162</f>
        <v/>
      </c>
    </row>
    <row r="20" spans="1:10" ht="31.5" x14ac:dyDescent="0.25">
      <c r="A20" s="37">
        <f>_xlfn.AGGREGATE(3,3,$C$7:C20)</f>
        <v>14</v>
      </c>
      <c r="B20" s="34" t="str">
        <f>Thuysan!O163</f>
        <v>Cá tra thương phẩm</v>
      </c>
      <c r="C20" s="34" t="str">
        <f>Thuysan!P163</f>
        <v>83/1023/14</v>
      </c>
      <c r="D20" s="125"/>
      <c r="E20" s="125"/>
      <c r="F20" s="34">
        <f>Thuysan!S163</f>
        <v>1.5</v>
      </c>
      <c r="G20" s="34" t="str">
        <f>Thuysan!T163</f>
        <v>Thuốc trừ sâu gốc Chlor hữu cơ, Pb, Hg, Cd</v>
      </c>
      <c r="H20" s="125"/>
      <c r="I20" s="125"/>
      <c r="J20" s="34" t="str">
        <f>Thuysan!W163</f>
        <v/>
      </c>
    </row>
    <row r="21" spans="1:10" ht="31.5" x14ac:dyDescent="0.25">
      <c r="A21" s="37">
        <f>_xlfn.AGGREGATE(3,3,$C$7:C21)</f>
        <v>15</v>
      </c>
      <c r="B21" s="34" t="str">
        <f>Thuysan!O164</f>
        <v>Cá tra thương phẩm</v>
      </c>
      <c r="C21" s="34" t="str">
        <f>Thuysan!P164</f>
        <v>83/1023/15</v>
      </c>
      <c r="D21" s="126"/>
      <c r="E21" s="126"/>
      <c r="F21" s="34">
        <f>Thuysan!S164</f>
        <v>1.5</v>
      </c>
      <c r="G21" s="34" t="str">
        <f>Thuysan!T164</f>
        <v>-</v>
      </c>
      <c r="H21" s="126"/>
      <c r="I21" s="126"/>
      <c r="J21" s="34" t="str">
        <f>Thuysan!W164</f>
        <v/>
      </c>
    </row>
    <row r="22" spans="1:10" ht="8.25" customHeight="1" x14ac:dyDescent="0.25">
      <c r="G22" s="39"/>
      <c r="H22" s="39"/>
      <c r="I22" s="39"/>
      <c r="J22" s="40"/>
    </row>
    <row r="23" spans="1:10" ht="17.25" customHeight="1" x14ac:dyDescent="0.25">
      <c r="G23" s="130" t="s">
        <v>599</v>
      </c>
      <c r="H23" s="130"/>
      <c r="I23" s="130"/>
      <c r="J23" s="130"/>
    </row>
    <row r="24" spans="1:10" ht="48.75" customHeight="1" x14ac:dyDescent="0.25">
      <c r="G24" s="131" t="s">
        <v>398</v>
      </c>
      <c r="H24" s="131"/>
      <c r="I24" s="131"/>
      <c r="J24" s="131"/>
    </row>
    <row r="25" spans="1:10" ht="20.25" customHeight="1" x14ac:dyDescent="0.25">
      <c r="G25" s="40"/>
      <c r="H25" s="40"/>
      <c r="I25" s="40"/>
      <c r="J25" s="40"/>
    </row>
    <row r="26" spans="1:10" ht="23.25" customHeight="1" x14ac:dyDescent="0.25">
      <c r="G26" s="39"/>
      <c r="H26" s="39"/>
      <c r="I26" s="39"/>
      <c r="J26" s="40"/>
    </row>
    <row r="27" spans="1:10" ht="21.75" customHeight="1" x14ac:dyDescent="0.25">
      <c r="G27" s="39"/>
      <c r="H27" s="39"/>
      <c r="I27" s="39"/>
      <c r="J27" s="40"/>
    </row>
    <row r="28" spans="1:10" ht="15.75" customHeight="1" x14ac:dyDescent="0.3">
      <c r="G28" s="129" t="s">
        <v>364</v>
      </c>
      <c r="H28" s="129"/>
      <c r="I28" s="129"/>
      <c r="J28" s="129"/>
    </row>
    <row r="29" spans="1:10" ht="52.5" customHeight="1" x14ac:dyDescent="0.25"/>
    <row r="30" spans="1:10" ht="19.5" customHeight="1" x14ac:dyDescent="0.25"/>
    <row r="31" spans="1:10" ht="51" customHeight="1" x14ac:dyDescent="0.25"/>
    <row r="32" spans="1:10" ht="7.5" customHeight="1" x14ac:dyDescent="0.25"/>
    <row r="37" ht="8.25" customHeight="1" x14ac:dyDescent="0.25"/>
    <row r="38" ht="18" customHeight="1" x14ac:dyDescent="0.25"/>
  </sheetData>
  <mergeCells count="30">
    <mergeCell ref="G24:J24"/>
    <mergeCell ref="G28:J28"/>
    <mergeCell ref="A4:J4"/>
    <mergeCell ref="A1:E1"/>
    <mergeCell ref="F1:J1"/>
    <mergeCell ref="A2:E2"/>
    <mergeCell ref="F2:J2"/>
    <mergeCell ref="A3:E3"/>
    <mergeCell ref="F3:J3"/>
    <mergeCell ref="D8:D10"/>
    <mergeCell ref="E9:E10"/>
    <mergeCell ref="H8:H10"/>
    <mergeCell ref="I8:I10"/>
    <mergeCell ref="D12:D13"/>
    <mergeCell ref="E18:E21"/>
    <mergeCell ref="D18:D21"/>
    <mergeCell ref="H18:H21"/>
    <mergeCell ref="I18:I21"/>
    <mergeCell ref="G23:J23"/>
    <mergeCell ref="H16:H17"/>
    <mergeCell ref="I16:I17"/>
    <mergeCell ref="D16:D17"/>
    <mergeCell ref="E16:E17"/>
    <mergeCell ref="E12:E13"/>
    <mergeCell ref="H12:H13"/>
    <mergeCell ref="I12:I13"/>
    <mergeCell ref="D14:D15"/>
    <mergeCell ref="E14:E15"/>
    <mergeCell ref="I14:I15"/>
    <mergeCell ref="H14:H15"/>
  </mergeCells>
  <pageMargins left="0.28999999999999998" right="0.19" top="0.43" bottom="0.3" header="0.3" footer="0.18"/>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zoomScaleNormal="100" workbookViewId="0">
      <selection activeCell="A11" sqref="A11:XFD11"/>
    </sheetView>
  </sheetViews>
  <sheetFormatPr defaultColWidth="11.42578125" defaultRowHeight="15" x14ac:dyDescent="0.25"/>
  <cols>
    <col min="1" max="1" width="5.42578125" style="38" customWidth="1"/>
    <col min="2" max="2" width="26.85546875" style="33" customWidth="1"/>
    <col min="3" max="3" width="11" style="33" customWidth="1"/>
    <col min="4" max="4" width="7.8554687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10.71093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581</v>
      </c>
      <c r="B3" s="136"/>
      <c r="C3" s="136"/>
      <c r="D3" s="136"/>
      <c r="E3" s="136"/>
      <c r="F3" s="137" t="s">
        <v>557</v>
      </c>
      <c r="G3" s="137"/>
      <c r="H3" s="137"/>
      <c r="I3" s="137"/>
      <c r="J3" s="137"/>
    </row>
    <row r="4" spans="1:10" ht="21" customHeight="1" x14ac:dyDescent="0.25">
      <c r="A4" s="132" t="s">
        <v>582</v>
      </c>
      <c r="B4" s="132"/>
      <c r="C4" s="132"/>
      <c r="D4" s="132"/>
      <c r="E4" s="132"/>
      <c r="F4" s="132"/>
      <c r="G4" s="132"/>
      <c r="H4" s="132"/>
      <c r="I4" s="132"/>
      <c r="J4" s="132"/>
    </row>
    <row r="5" spans="1:10" ht="10.5" customHeight="1" x14ac:dyDescent="0.25"/>
    <row r="6" spans="1:10" ht="78.75" x14ac:dyDescent="0.25">
      <c r="A6" s="31" t="s">
        <v>175</v>
      </c>
      <c r="B6" s="32" t="s">
        <v>205</v>
      </c>
      <c r="C6" s="32" t="s">
        <v>371</v>
      </c>
      <c r="D6" s="32" t="s">
        <v>390</v>
      </c>
      <c r="E6" s="31" t="s">
        <v>391</v>
      </c>
      <c r="F6" s="32" t="s">
        <v>392</v>
      </c>
      <c r="G6" s="31" t="s">
        <v>361</v>
      </c>
      <c r="H6" s="32" t="s">
        <v>360</v>
      </c>
      <c r="I6" s="32" t="s">
        <v>359</v>
      </c>
      <c r="J6" s="31" t="s">
        <v>176</v>
      </c>
    </row>
    <row r="7" spans="1:10" ht="31.5" x14ac:dyDescent="0.25">
      <c r="A7" s="91">
        <f>_xlfn.AGGREGATE(3,3,$C$7:C7)</f>
        <v>1</v>
      </c>
      <c r="B7" s="34" t="str">
        <f>Thuysan!O133</f>
        <v>Tôm sú thương phẩm</v>
      </c>
      <c r="C7" s="34" t="str">
        <f>Thuysan!P133</f>
        <v>83/0923/01</v>
      </c>
      <c r="D7" s="124" t="str">
        <f>Thuysan!Q133</f>
        <v>Ba Tri 83/01</v>
      </c>
      <c r="E7" s="124" t="str">
        <f>Thuysan!R133</f>
        <v>Phạm Văn Tâm - Ấp 7, Xã An Thủy</v>
      </c>
      <c r="F7" s="34">
        <f>Thuysan!S133</f>
        <v>1</v>
      </c>
      <c r="G7" s="34" t="str">
        <f>Thuysan!T133</f>
        <v>-</v>
      </c>
      <c r="H7" s="124" t="str">
        <f>Thuysan!U133</f>
        <v>18/09/2023</v>
      </c>
      <c r="I7" s="124" t="str">
        <f>Thuysan!V133</f>
        <v>Phạm Minh Thuận</v>
      </c>
      <c r="J7" s="34" t="str">
        <f>Thuysan!W133</f>
        <v>Ao 2</v>
      </c>
    </row>
    <row r="8" spans="1:10" ht="18.75" customHeight="1" x14ac:dyDescent="0.25">
      <c r="A8" s="91">
        <f>_xlfn.AGGREGATE(3,3,$C$7:C8)</f>
        <v>2</v>
      </c>
      <c r="B8" s="34" t="str">
        <f>Thuysan!O134</f>
        <v>Tôm chân trắng thương phẩm</v>
      </c>
      <c r="C8" s="34" t="str">
        <f>Thuysan!P134</f>
        <v>83/0923/02</v>
      </c>
      <c r="D8" s="125"/>
      <c r="E8" s="126"/>
      <c r="F8" s="34">
        <f>Thuysan!S134</f>
        <v>1</v>
      </c>
      <c r="G8" s="34" t="str">
        <f>Thuysan!T134</f>
        <v>Amoxicillin</v>
      </c>
      <c r="H8" s="125"/>
      <c r="I8" s="125"/>
      <c r="J8" s="34" t="str">
        <f>Thuysan!W134</f>
        <v>Ao 1</v>
      </c>
    </row>
    <row r="9" spans="1:10" ht="31.5" x14ac:dyDescent="0.25">
      <c r="A9" s="91">
        <f>_xlfn.AGGREGATE(3,3,$C$7:C9)</f>
        <v>3</v>
      </c>
      <c r="B9" s="34" t="str">
        <f>Thuysan!O135</f>
        <v>Cá tra thương phẩm</v>
      </c>
      <c r="C9" s="34" t="str">
        <f>Thuysan!P135</f>
        <v>83/0923/03</v>
      </c>
      <c r="D9" s="126"/>
      <c r="E9" s="34" t="str">
        <f>Thuysan!R135</f>
        <v>Công ty CP Gò Đàng - Ấp 4, Xã Tân Xuân</v>
      </c>
      <c r="F9" s="34">
        <f>Thuysan!S135</f>
        <v>1.5</v>
      </c>
      <c r="G9" s="34" t="str">
        <f>Thuysan!T135</f>
        <v>Trifluralin, Pb, Hg, Cd</v>
      </c>
      <c r="H9" s="126"/>
      <c r="I9" s="126"/>
      <c r="J9" s="34" t="str">
        <f>Thuysan!W135</f>
        <v>Ao 1</v>
      </c>
    </row>
    <row r="10" spans="1:10" ht="30.75" customHeight="1" x14ac:dyDescent="0.25">
      <c r="A10" s="91">
        <f>_xlfn.AGGREGATE(3,3,$C$7:C10)</f>
        <v>4</v>
      </c>
      <c r="B10" s="34" t="str">
        <f>Thuysan!O136</f>
        <v>Tôm chân trắng thương phẩm</v>
      </c>
      <c r="C10" s="34" t="str">
        <f>Thuysan!P136</f>
        <v>83/0923/04</v>
      </c>
      <c r="D10" s="124" t="str">
        <f>Thuysan!Q136</f>
        <v>Bình Đại 83/02</v>
      </c>
      <c r="E10" s="34" t="str">
        <f>Thuysan!R136</f>
        <v>Nguyễn Thị Trang - ấp 3, Xã Thạnh Trị</v>
      </c>
      <c r="F10" s="34">
        <f>Thuysan!S136</f>
        <v>1</v>
      </c>
      <c r="G10" s="34" t="str">
        <f>Thuysan!T136</f>
        <v>Nitrofurans</v>
      </c>
      <c r="H10" s="124" t="str">
        <f>Thuysan!U136</f>
        <v>18/09/2023</v>
      </c>
      <c r="I10" s="124" t="str">
        <f>Thuysan!V136</f>
        <v>Cao Quang Nguyên</v>
      </c>
      <c r="J10" s="34" t="str">
        <f>Thuysan!W136</f>
        <v>Ao 1</v>
      </c>
    </row>
    <row r="11" spans="1:10" ht="31.5" x14ac:dyDescent="0.25">
      <c r="A11" s="91">
        <f>_xlfn.AGGREGATE(3,3,$C$7:C11)</f>
        <v>5</v>
      </c>
      <c r="B11" s="34" t="str">
        <f>Thuysan!O137</f>
        <v>Cá tra thương phẩm</v>
      </c>
      <c r="C11" s="34" t="str">
        <f>Thuysan!P137</f>
        <v>83/0923/05</v>
      </c>
      <c r="D11" s="125"/>
      <c r="E11" s="124" t="str">
        <f>Thuysan!R137</f>
        <v>Công ty CP Gò Đàng - Ấp Hưng Nhơn, Xã Châu Hưng</v>
      </c>
      <c r="F11" s="34">
        <f>Thuysan!S137</f>
        <v>1.5</v>
      </c>
      <c r="G11" s="34" t="str">
        <f>Thuysan!T137</f>
        <v>Nhóm Quinolones, Pb, Hg, Cd</v>
      </c>
      <c r="H11" s="125"/>
      <c r="I11" s="125"/>
      <c r="J11" s="34" t="str">
        <f>Thuysan!W137</f>
        <v>Ao E1</v>
      </c>
    </row>
    <row r="12" spans="1:10" ht="16.5" customHeight="1" x14ac:dyDescent="0.25">
      <c r="A12" s="91">
        <f>_xlfn.AGGREGATE(3,3,$C$7:C12)</f>
        <v>6</v>
      </c>
      <c r="B12" s="34" t="str">
        <f>Thuysan!O138</f>
        <v>Cá tra thương phẩm</v>
      </c>
      <c r="C12" s="34" t="str">
        <f>Thuysan!P138</f>
        <v>83/0923/06</v>
      </c>
      <c r="D12" s="126"/>
      <c r="E12" s="126"/>
      <c r="F12" s="34">
        <f>Thuysan!S138</f>
        <v>1.5</v>
      </c>
      <c r="G12" s="34" t="str">
        <f>Thuysan!T138</f>
        <v>Ormetoprim, Pb, Hg, Cd</v>
      </c>
      <c r="H12" s="126"/>
      <c r="I12" s="126"/>
      <c r="J12" s="34" t="str">
        <f>Thuysan!W138</f>
        <v>Ao E2</v>
      </c>
    </row>
    <row r="13" spans="1:10" ht="31.5" x14ac:dyDescent="0.25">
      <c r="A13" s="91">
        <f>_xlfn.AGGREGATE(3,3,$C$7:C13)</f>
        <v>7</v>
      </c>
      <c r="B13" s="34" t="str">
        <f>Thuysan!O139</f>
        <v>Tôm sú thương phẩm</v>
      </c>
      <c r="C13" s="34" t="str">
        <f>Thuysan!P139</f>
        <v>83/0923/07</v>
      </c>
      <c r="D13" s="124" t="str">
        <f>Thuysan!Q139</f>
        <v>Thạnh Phú 83/03</v>
      </c>
      <c r="E13" s="124" t="str">
        <f>Thuysan!R139</f>
        <v>Phạm Văn Công - Ấp 1, Xã Giao Thạnh</v>
      </c>
      <c r="F13" s="34">
        <f>Thuysan!S139</f>
        <v>1</v>
      </c>
      <c r="G13" s="34" t="str">
        <f>Thuysan!T139</f>
        <v>-</v>
      </c>
      <c r="H13" s="124" t="str">
        <f>Thuysan!U139</f>
        <v>19/09/2023</v>
      </c>
      <c r="I13" s="124" t="str">
        <f>Thuysan!V139</f>
        <v>Cao Quang Nguyên</v>
      </c>
      <c r="J13" s="34" t="str">
        <f>Thuysan!W139</f>
        <v>Ao 1</v>
      </c>
    </row>
    <row r="14" spans="1:10" ht="31.5" x14ac:dyDescent="0.25">
      <c r="A14" s="91">
        <f>_xlfn.AGGREGATE(3,3,$C$7:C14)</f>
        <v>8</v>
      </c>
      <c r="B14" s="34" t="str">
        <f>Thuysan!O140</f>
        <v>Tôm chân trắng thương phẩm</v>
      </c>
      <c r="C14" s="34" t="str">
        <f>Thuysan!P140</f>
        <v>83/0923/08</v>
      </c>
      <c r="D14" s="125"/>
      <c r="E14" s="126"/>
      <c r="F14" s="34">
        <f>Thuysan!S140</f>
        <v>1</v>
      </c>
      <c r="G14" s="34" t="str">
        <f>Thuysan!T140</f>
        <v>-</v>
      </c>
      <c r="H14" s="125"/>
      <c r="I14" s="125"/>
      <c r="J14" s="34" t="str">
        <f>Thuysan!W140</f>
        <v>Ao 3</v>
      </c>
    </row>
    <row r="15" spans="1:10" ht="31.5" x14ac:dyDescent="0.25">
      <c r="A15" s="91">
        <f>_xlfn.AGGREGATE(3,3,$C$7:C15)</f>
        <v>9</v>
      </c>
      <c r="B15" s="34" t="str">
        <f>Thuysan!O141</f>
        <v>Tôm sú quảng canh</v>
      </c>
      <c r="C15" s="34" t="str">
        <f>Thuysan!P141</f>
        <v>83/0923/09</v>
      </c>
      <c r="D15" s="126"/>
      <c r="E15" s="34" t="str">
        <f>Thuysan!R141</f>
        <v>Bùi Hiếu Hiền - Ấp Thạnh Thới B, Xã Thạnh Hải</v>
      </c>
      <c r="F15" s="34">
        <f>Thuysan!S141</f>
        <v>1</v>
      </c>
      <c r="G15" s="34" t="str">
        <f>Thuysan!T141</f>
        <v>Florfenicol</v>
      </c>
      <c r="H15" s="126"/>
      <c r="I15" s="126"/>
      <c r="J15" s="34" t="str">
        <f>Thuysan!W141</f>
        <v/>
      </c>
    </row>
    <row r="16" spans="1:10" ht="31.5" x14ac:dyDescent="0.25">
      <c r="A16" s="91">
        <f>_xlfn.AGGREGATE(3,3,$C$7:C16)</f>
        <v>10</v>
      </c>
      <c r="B16" s="34" t="str">
        <f>Thuysan!O142</f>
        <v>Cá tra thương phẩm</v>
      </c>
      <c r="C16" s="34" t="str">
        <f>Thuysan!P142</f>
        <v>83/0923/10</v>
      </c>
      <c r="D16" s="124" t="str">
        <f>Thuysan!Q142</f>
        <v>Mỏ Cày 83/04</v>
      </c>
      <c r="E16" s="124" t="str">
        <f>Thuysan!R142</f>
        <v>Công ty CPTS Hải Hương - Ấp Thành Long, Xã Thành Thới A</v>
      </c>
      <c r="F16" s="34">
        <f>Thuysan!S142</f>
        <v>1.5</v>
      </c>
      <c r="G16" s="34" t="str">
        <f>Thuysan!T142</f>
        <v>Chlorpyrifos, Fipronil, Pb, Hg, Cd</v>
      </c>
      <c r="H16" s="124" t="str">
        <f>Thuysan!U142</f>
        <v>19/09/2023</v>
      </c>
      <c r="I16" s="124" t="str">
        <f>Thuysan!V142</f>
        <v>Phạm Minh Thuận</v>
      </c>
      <c r="J16" s="34" t="str">
        <f>Thuysan!W142</f>
        <v>Ao 6</v>
      </c>
    </row>
    <row r="17" spans="1:10" ht="63" x14ac:dyDescent="0.25">
      <c r="A17" s="91">
        <f>_xlfn.AGGREGATE(3,3,$C$7:C17)</f>
        <v>11</v>
      </c>
      <c r="B17" s="34" t="str">
        <f>Thuysan!O143</f>
        <v>Cá tra thương phẩm</v>
      </c>
      <c r="C17" s="34" t="str">
        <f>Thuysan!P143</f>
        <v>83/0923/11</v>
      </c>
      <c r="D17" s="126"/>
      <c r="E17" s="126"/>
      <c r="F17" s="34">
        <f>Thuysan!S143</f>
        <v>1.5</v>
      </c>
      <c r="G17" s="34" t="str">
        <f>Thuysan!T143</f>
        <v>Malachite Green, Leuco Malachite Green, Crystal Violet, Leuco Crystal Violet, Pb, Hg, Cd</v>
      </c>
      <c r="H17" s="126"/>
      <c r="I17" s="126"/>
      <c r="J17" s="34" t="str">
        <f>Thuysan!W143</f>
        <v>Ao 10</v>
      </c>
    </row>
    <row r="18" spans="1:10" ht="47.25" x14ac:dyDescent="0.25">
      <c r="A18" s="91">
        <f>_xlfn.AGGREGATE(3,3,$C$7:C18)</f>
        <v>12</v>
      </c>
      <c r="B18" s="34" t="str">
        <f>Thuysan!O144</f>
        <v>Cá tra thương phẩm</v>
      </c>
      <c r="C18" s="34" t="str">
        <f>Thuysan!P144</f>
        <v>83/0923/12</v>
      </c>
      <c r="D18" s="124" t="str">
        <f>Thuysan!Q144</f>
        <v>Châu Thành 83/05</v>
      </c>
      <c r="E18" s="124" t="str">
        <f>Thuysan!R144</f>
        <v>Công ty CP Gò Đàng - Ấp Phú Luông, Xã Tân Phú</v>
      </c>
      <c r="F18" s="34">
        <f>Thuysan!S144</f>
        <v>1.5</v>
      </c>
      <c r="G18" s="34" t="str">
        <f>Thuysan!T144</f>
        <v>Ivermectin, Praziquantel, Trichlorfon, Avermectin B1a, Pb, Hg, Cd</v>
      </c>
      <c r="H18" s="124" t="str">
        <f>Thuysan!U144</f>
        <v>18/09/2023</v>
      </c>
      <c r="I18" s="124" t="str">
        <f>Thuysan!V144</f>
        <v>Phạm Văn Lâm</v>
      </c>
      <c r="J18" s="34" t="str">
        <f>Thuysan!W144</f>
        <v>Ao B3</v>
      </c>
    </row>
    <row r="19" spans="1:10" ht="19.5" customHeight="1" x14ac:dyDescent="0.25">
      <c r="A19" s="91">
        <f>_xlfn.AGGREGATE(3,3,$C$7:C19)</f>
        <v>13</v>
      </c>
      <c r="B19" s="34" t="str">
        <f>Thuysan!O145</f>
        <v>Cá tra thương phẩm</v>
      </c>
      <c r="C19" s="34" t="str">
        <f>Thuysan!P145</f>
        <v>83/0923/13</v>
      </c>
      <c r="D19" s="126"/>
      <c r="E19" s="126"/>
      <c r="F19" s="34">
        <f>Thuysan!S145</f>
        <v>1.5</v>
      </c>
      <c r="G19" s="34" t="str">
        <f>Thuysan!T145</f>
        <v>Trifluralin, Pb, Hg, Cd</v>
      </c>
      <c r="H19" s="126"/>
      <c r="I19" s="126"/>
      <c r="J19" s="34" t="str">
        <f>Thuysan!W145</f>
        <v>Ao B4</v>
      </c>
    </row>
    <row r="20" spans="1:10" ht="23.25" customHeight="1" x14ac:dyDescent="0.25">
      <c r="A20" s="91">
        <f>_xlfn.AGGREGATE(3,3,$C$7:C20)</f>
        <v>14</v>
      </c>
      <c r="B20" s="34" t="str">
        <f>Thuysan!O146</f>
        <v>Cá tra thương phẩm</v>
      </c>
      <c r="C20" s="34" t="str">
        <f>Thuysan!P146</f>
        <v>83/0923/14</v>
      </c>
      <c r="D20" s="124" t="str">
        <f>Thuysan!Q146</f>
        <v>Giồng Trôm 83/06</v>
      </c>
      <c r="E20" s="124" t="str">
        <f>Thuysan!R146</f>
        <v>Công ty CP Gò Đàng - Ấp 1, Xã Sơn Phú</v>
      </c>
      <c r="F20" s="34">
        <f>Thuysan!S146</f>
        <v>1.5</v>
      </c>
      <c r="G20" s="34" t="str">
        <f>Thuysan!T146</f>
        <v>Fosfomycin, Pb, Hg, Cd</v>
      </c>
      <c r="H20" s="124" t="str">
        <f>Thuysan!U146</f>
        <v>20/09/2023</v>
      </c>
      <c r="I20" s="124" t="str">
        <f>Thuysan!V146</f>
        <v>Phạm Minh Thuận</v>
      </c>
      <c r="J20" s="34" t="str">
        <f>Thuysan!W146</f>
        <v>Ao 2</v>
      </c>
    </row>
    <row r="21" spans="1:10" ht="21.75" customHeight="1" x14ac:dyDescent="0.25">
      <c r="A21" s="91">
        <f>_xlfn.AGGREGATE(3,3,$C$7:C21)</f>
        <v>15</v>
      </c>
      <c r="B21" s="34" t="str">
        <f>Thuysan!O147</f>
        <v>Cá tra thương phẩm</v>
      </c>
      <c r="C21" s="34" t="str">
        <f>Thuysan!P147</f>
        <v>83/0923/15</v>
      </c>
      <c r="D21" s="126"/>
      <c r="E21" s="126"/>
      <c r="F21" s="34">
        <f>Thuysan!S147</f>
        <v>1.5</v>
      </c>
      <c r="G21" s="34" t="str">
        <f>Thuysan!T147</f>
        <v>Erythromycin, Pb, Hg, Cd</v>
      </c>
      <c r="H21" s="126"/>
      <c r="I21" s="126"/>
      <c r="J21" s="34" t="str">
        <f>Thuysan!W147</f>
        <v>Ao 7</v>
      </c>
    </row>
    <row r="22" spans="1:10" ht="31.5" x14ac:dyDescent="0.25">
      <c r="A22" s="91">
        <f>_xlfn.AGGREGATE(3,3,$C$7:C22)</f>
        <v>16</v>
      </c>
      <c r="B22" s="34" t="str">
        <f>Thuysan!O148</f>
        <v>Cá tra nhỏ</v>
      </c>
      <c r="C22" s="34" t="str">
        <f>Thuysan!P148</f>
        <v>83/0923/16</v>
      </c>
      <c r="D22" s="124" t="str">
        <f>Thuysan!Q148</f>
        <v>Chợ Lách 83/07</v>
      </c>
      <c r="E22" s="124" t="str">
        <f>Thuysan!R148</f>
        <v>Công ty TNHH CBTPXK Vạn Đức Tiền Giang - Khu nuôi Cồn Kiếng, Ấp Long Khánh, Xã Tân Thiềng</v>
      </c>
      <c r="F22" s="34">
        <f>Thuysan!S148</f>
        <v>1</v>
      </c>
      <c r="G22" s="34" t="str">
        <f>Thuysan!T148</f>
        <v>Nitrofurans, Pb, Hg, Cd</v>
      </c>
      <c r="H22" s="124" t="str">
        <f>Thuysan!U148</f>
        <v>19/09/2023</v>
      </c>
      <c r="I22" s="124" t="str">
        <f>Thuysan!V148</f>
        <v>Phạm Văn Lâm</v>
      </c>
      <c r="J22" s="34" t="str">
        <f>Thuysan!W148</f>
        <v>Ao 7</v>
      </c>
    </row>
    <row r="23" spans="1:10" ht="31.5" x14ac:dyDescent="0.25">
      <c r="A23" s="91">
        <f>_xlfn.AGGREGATE(3,3,$C$7:C23)</f>
        <v>17</v>
      </c>
      <c r="B23" s="34" t="str">
        <f>Thuysan!O149</f>
        <v>Cá tra nhỏ</v>
      </c>
      <c r="C23" s="34" t="str">
        <f>Thuysan!P149</f>
        <v>83/0923/17</v>
      </c>
      <c r="D23" s="126"/>
      <c r="E23" s="126"/>
      <c r="F23" s="34">
        <f>Thuysan!S149</f>
        <v>1</v>
      </c>
      <c r="G23" s="34" t="str">
        <f>Thuysan!T149</f>
        <v>Nhóm Nitroimidazoles, Pb, Hg, Cd</v>
      </c>
      <c r="H23" s="126"/>
      <c r="I23" s="126"/>
      <c r="J23" s="34" t="str">
        <f>Thuysan!W149</f>
        <v>Ao 10</v>
      </c>
    </row>
    <row r="24" spans="1:10" ht="18.75" x14ac:dyDescent="0.25">
      <c r="G24" s="39"/>
      <c r="H24" s="39"/>
      <c r="I24" s="39"/>
      <c r="J24" s="90"/>
    </row>
    <row r="25" spans="1:10" ht="20.25" customHeight="1" x14ac:dyDescent="0.25">
      <c r="G25" s="130" t="s">
        <v>557</v>
      </c>
      <c r="H25" s="130"/>
      <c r="I25" s="130"/>
      <c r="J25" s="130"/>
    </row>
    <row r="26" spans="1:10" ht="23.25" customHeight="1" x14ac:dyDescent="0.25">
      <c r="G26" s="131" t="s">
        <v>398</v>
      </c>
      <c r="H26" s="131"/>
      <c r="I26" s="131"/>
      <c r="J26" s="131"/>
    </row>
    <row r="27" spans="1:10" ht="39" customHeight="1" x14ac:dyDescent="0.25">
      <c r="G27" s="90"/>
      <c r="H27" s="90"/>
      <c r="I27" s="90"/>
      <c r="J27" s="90"/>
    </row>
    <row r="28" spans="1:10" ht="15.75" customHeight="1" x14ac:dyDescent="0.25">
      <c r="G28" s="39"/>
      <c r="H28" s="39"/>
      <c r="I28" s="39"/>
      <c r="J28" s="90"/>
    </row>
    <row r="29" spans="1:10" ht="26.25" customHeight="1" x14ac:dyDescent="0.25">
      <c r="G29" s="39"/>
      <c r="H29" s="39"/>
      <c r="I29" s="39"/>
      <c r="J29" s="90"/>
    </row>
    <row r="30" spans="1:10" ht="19.5" customHeight="1" x14ac:dyDescent="0.3">
      <c r="G30" s="129" t="s">
        <v>364</v>
      </c>
      <c r="H30" s="129"/>
      <c r="I30" s="129"/>
      <c r="J30" s="129"/>
    </row>
    <row r="31" spans="1:10" ht="23.25" customHeight="1" x14ac:dyDescent="0.25"/>
    <row r="33" ht="51" customHeight="1" x14ac:dyDescent="0.25"/>
    <row r="34" ht="7.5" customHeight="1" x14ac:dyDescent="0.25"/>
    <row r="39" ht="8.25" customHeight="1" x14ac:dyDescent="0.25"/>
    <row r="40" ht="18" customHeight="1" x14ac:dyDescent="0.25"/>
  </sheetData>
  <mergeCells count="38">
    <mergeCell ref="D10:D12"/>
    <mergeCell ref="H10:H12"/>
    <mergeCell ref="I10:I12"/>
    <mergeCell ref="E11:E12"/>
    <mergeCell ref="A1:E1"/>
    <mergeCell ref="F1:J1"/>
    <mergeCell ref="A2:E2"/>
    <mergeCell ref="F2:J2"/>
    <mergeCell ref="A3:E3"/>
    <mergeCell ref="F3:J3"/>
    <mergeCell ref="A4:J4"/>
    <mergeCell ref="D7:D9"/>
    <mergeCell ref="E7:E8"/>
    <mergeCell ref="H7:H9"/>
    <mergeCell ref="I7:I9"/>
    <mergeCell ref="D13:D15"/>
    <mergeCell ref="E13:E14"/>
    <mergeCell ref="H13:H15"/>
    <mergeCell ref="I13:I15"/>
    <mergeCell ref="D16:D17"/>
    <mergeCell ref="E16:E17"/>
    <mergeCell ref="H16:H17"/>
    <mergeCell ref="I16:I17"/>
    <mergeCell ref="D18:D19"/>
    <mergeCell ref="E18:E19"/>
    <mergeCell ref="H18:H19"/>
    <mergeCell ref="I18:I19"/>
    <mergeCell ref="D20:D21"/>
    <mergeCell ref="E20:E21"/>
    <mergeCell ref="H20:H21"/>
    <mergeCell ref="I20:I21"/>
    <mergeCell ref="G30:J30"/>
    <mergeCell ref="D22:D23"/>
    <mergeCell ref="E22:E23"/>
    <mergeCell ref="H22:H23"/>
    <mergeCell ref="I22:I23"/>
    <mergeCell ref="G25:J25"/>
    <mergeCell ref="G26:J26"/>
  </mergeCells>
  <pageMargins left="0.28999999999999998" right="0.19" top="0.43" bottom="0.3" header="0.3" footer="0.18"/>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zoomScaleNormal="100" workbookViewId="0">
      <selection activeCell="B15" sqref="B15"/>
    </sheetView>
  </sheetViews>
  <sheetFormatPr defaultColWidth="11.42578125" defaultRowHeight="15" x14ac:dyDescent="0.25"/>
  <cols>
    <col min="1" max="1" width="5.42578125" style="38" customWidth="1"/>
    <col min="2" max="2" width="26.85546875" style="33" customWidth="1"/>
    <col min="3" max="3" width="11" style="33" customWidth="1"/>
    <col min="4" max="4" width="7.8554687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10.71093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407</v>
      </c>
      <c r="B3" s="136"/>
      <c r="C3" s="136"/>
      <c r="D3" s="136"/>
      <c r="E3" s="136"/>
      <c r="F3" s="137" t="s">
        <v>549</v>
      </c>
      <c r="G3" s="137"/>
      <c r="H3" s="137"/>
      <c r="I3" s="137"/>
      <c r="J3" s="137"/>
    </row>
    <row r="4" spans="1:10" ht="21" customHeight="1" x14ac:dyDescent="0.25">
      <c r="A4" s="132" t="s">
        <v>550</v>
      </c>
      <c r="B4" s="132"/>
      <c r="C4" s="132"/>
      <c r="D4" s="132"/>
      <c r="E4" s="132"/>
      <c r="F4" s="132"/>
      <c r="G4" s="132"/>
      <c r="H4" s="132"/>
      <c r="I4" s="132"/>
      <c r="J4" s="132"/>
    </row>
    <row r="5" spans="1:10" ht="10.5" customHeight="1" x14ac:dyDescent="0.25"/>
    <row r="6" spans="1:10" ht="78.75" x14ac:dyDescent="0.25">
      <c r="A6" s="31" t="s">
        <v>175</v>
      </c>
      <c r="B6" s="32" t="s">
        <v>205</v>
      </c>
      <c r="C6" s="32" t="s">
        <v>371</v>
      </c>
      <c r="D6" s="32" t="s">
        <v>390</v>
      </c>
      <c r="E6" s="31" t="s">
        <v>391</v>
      </c>
      <c r="F6" s="32" t="s">
        <v>392</v>
      </c>
      <c r="G6" s="31" t="s">
        <v>361</v>
      </c>
      <c r="H6" s="32" t="s">
        <v>360</v>
      </c>
      <c r="I6" s="32" t="s">
        <v>359</v>
      </c>
      <c r="J6" s="31" t="s">
        <v>176</v>
      </c>
    </row>
    <row r="7" spans="1:10" ht="31.5" x14ac:dyDescent="0.25">
      <c r="A7" s="84">
        <f>_xlfn.AGGREGATE(3,3,$C$7:C7)</f>
        <v>1</v>
      </c>
      <c r="B7" s="34" t="str">
        <f>Thuysan!O133</f>
        <v>Tôm sú thương phẩm</v>
      </c>
      <c r="C7" s="34" t="str">
        <f>Thuysan!P133</f>
        <v>83/0923/01</v>
      </c>
      <c r="D7" s="124" t="str">
        <f>Thuysan!Q133</f>
        <v>Ba Tri 83/01</v>
      </c>
      <c r="E7" s="124" t="str">
        <f>Thuysan!R133</f>
        <v>Phạm Văn Tâm - Ấp 7, Xã An Thủy</v>
      </c>
      <c r="F7" s="34">
        <f>Thuysan!S133</f>
        <v>1</v>
      </c>
      <c r="G7" s="34" t="str">
        <f>Thuysan!T133</f>
        <v>-</v>
      </c>
      <c r="H7" s="124" t="str">
        <f>Thuysan!U133</f>
        <v>18/09/2023</v>
      </c>
      <c r="I7" s="124" t="str">
        <f>Thuysan!V133</f>
        <v>Phạm Minh Thuận</v>
      </c>
      <c r="J7" s="34" t="str">
        <f>Thuysan!W133</f>
        <v>Ao 2</v>
      </c>
    </row>
    <row r="8" spans="1:10" ht="18.75" customHeight="1" x14ac:dyDescent="0.25">
      <c r="A8" s="84">
        <f>_xlfn.AGGREGATE(3,3,$C$7:C8)</f>
        <v>2</v>
      </c>
      <c r="B8" s="34" t="str">
        <f>Thuysan!O134</f>
        <v>Tôm chân trắng thương phẩm</v>
      </c>
      <c r="C8" s="34" t="str">
        <f>Thuysan!P134</f>
        <v>83/0923/02</v>
      </c>
      <c r="D8" s="125"/>
      <c r="E8" s="126"/>
      <c r="F8" s="34">
        <f>Thuysan!S134</f>
        <v>1</v>
      </c>
      <c r="G8" s="34" t="str">
        <f>Thuysan!T134</f>
        <v>Amoxicillin</v>
      </c>
      <c r="H8" s="125"/>
      <c r="I8" s="125"/>
      <c r="J8" s="34" t="str">
        <f>Thuysan!W134</f>
        <v>Ao 1</v>
      </c>
    </row>
    <row r="9" spans="1:10" ht="31.5" x14ac:dyDescent="0.25">
      <c r="A9" s="84">
        <f>_xlfn.AGGREGATE(3,3,$C$7:C9)</f>
        <v>3</v>
      </c>
      <c r="B9" s="34" t="str">
        <f>Thuysan!O135</f>
        <v>Cá tra thương phẩm</v>
      </c>
      <c r="C9" s="34" t="str">
        <f>Thuysan!P135</f>
        <v>83/0923/03</v>
      </c>
      <c r="D9" s="126"/>
      <c r="E9" s="34" t="str">
        <f>Thuysan!R135</f>
        <v>Công ty CP Gò Đàng - Ấp 4, Xã Tân Xuân</v>
      </c>
      <c r="F9" s="34">
        <f>Thuysan!S135</f>
        <v>1.5</v>
      </c>
      <c r="G9" s="34" t="str">
        <f>Thuysan!T135</f>
        <v>Trifluralin, Pb, Hg, Cd</v>
      </c>
      <c r="H9" s="126"/>
      <c r="I9" s="126"/>
      <c r="J9" s="34" t="str">
        <f>Thuysan!W135</f>
        <v>Ao 1</v>
      </c>
    </row>
    <row r="10" spans="1:10" ht="30.75" customHeight="1" x14ac:dyDescent="0.25">
      <c r="A10" s="84">
        <f>_xlfn.AGGREGATE(3,3,$C$7:C10)</f>
        <v>4</v>
      </c>
      <c r="B10" s="34" t="str">
        <f>Thuysan!O136</f>
        <v>Tôm chân trắng thương phẩm</v>
      </c>
      <c r="C10" s="34" t="str">
        <f>Thuysan!P136</f>
        <v>83/0923/04</v>
      </c>
      <c r="D10" s="124" t="str">
        <f>Thuysan!Q136</f>
        <v>Bình Đại 83/02</v>
      </c>
      <c r="E10" s="34" t="str">
        <f>Thuysan!R136</f>
        <v>Nguyễn Thị Trang - ấp 3, Xã Thạnh Trị</v>
      </c>
      <c r="F10" s="34">
        <f>Thuysan!S136</f>
        <v>1</v>
      </c>
      <c r="G10" s="34" t="str">
        <f>Thuysan!T136</f>
        <v>Nitrofurans</v>
      </c>
      <c r="H10" s="124" t="str">
        <f>Thuysan!U136</f>
        <v>18/09/2023</v>
      </c>
      <c r="I10" s="124" t="str">
        <f>Thuysan!V136</f>
        <v>Cao Quang Nguyên</v>
      </c>
      <c r="J10" s="34" t="str">
        <f>Thuysan!W136</f>
        <v>Ao 1</v>
      </c>
    </row>
    <row r="11" spans="1:10" ht="18" customHeight="1" x14ac:dyDescent="0.25">
      <c r="A11" s="84">
        <f>_xlfn.AGGREGATE(3,3,$C$7:C11)</f>
        <v>5</v>
      </c>
      <c r="B11" s="34" t="str">
        <f>Thuysan!O137</f>
        <v>Cá tra thương phẩm</v>
      </c>
      <c r="C11" s="34" t="str">
        <f>Thuysan!P137</f>
        <v>83/0923/05</v>
      </c>
      <c r="D11" s="125"/>
      <c r="E11" s="124" t="str">
        <f>Thuysan!R137</f>
        <v>Công ty CP Gò Đàng - Ấp Hưng Nhơn, Xã Châu Hưng</v>
      </c>
      <c r="F11" s="34">
        <f>Thuysan!S137</f>
        <v>1.5</v>
      </c>
      <c r="G11" s="34" t="str">
        <f>Thuysan!T137</f>
        <v>Nhóm Quinolones, Pb, Hg, Cd</v>
      </c>
      <c r="H11" s="125"/>
      <c r="I11" s="125"/>
      <c r="J11" s="34" t="str">
        <f>Thuysan!W137</f>
        <v>Ao E1</v>
      </c>
    </row>
    <row r="12" spans="1:10" ht="16.5" customHeight="1" x14ac:dyDescent="0.25">
      <c r="A12" s="84">
        <f>_xlfn.AGGREGATE(3,3,$C$7:C12)</f>
        <v>6</v>
      </c>
      <c r="B12" s="34" t="str">
        <f>Thuysan!O138</f>
        <v>Cá tra thương phẩm</v>
      </c>
      <c r="C12" s="34" t="str">
        <f>Thuysan!P138</f>
        <v>83/0923/06</v>
      </c>
      <c r="D12" s="126"/>
      <c r="E12" s="126"/>
      <c r="F12" s="34">
        <f>Thuysan!S138</f>
        <v>1.5</v>
      </c>
      <c r="G12" s="34" t="str">
        <f>Thuysan!T138</f>
        <v>Ormetoprim, Pb, Hg, Cd</v>
      </c>
      <c r="H12" s="126"/>
      <c r="I12" s="126"/>
      <c r="J12" s="34" t="str">
        <f>Thuysan!W138</f>
        <v>Ao E2</v>
      </c>
    </row>
    <row r="13" spans="1:10" ht="31.5" x14ac:dyDescent="0.25">
      <c r="A13" s="84">
        <f>_xlfn.AGGREGATE(3,3,$C$7:C13)</f>
        <v>7</v>
      </c>
      <c r="B13" s="34" t="str">
        <f>Thuysan!O139</f>
        <v>Tôm sú thương phẩm</v>
      </c>
      <c r="C13" s="34" t="str">
        <f>Thuysan!P139</f>
        <v>83/0923/07</v>
      </c>
      <c r="D13" s="124" t="str">
        <f>Thuysan!Q139</f>
        <v>Thạnh Phú 83/03</v>
      </c>
      <c r="E13" s="124" t="str">
        <f>Thuysan!R139</f>
        <v>Phạm Văn Công - Ấp 1, Xã Giao Thạnh</v>
      </c>
      <c r="F13" s="34">
        <f>Thuysan!S139</f>
        <v>1</v>
      </c>
      <c r="G13" s="34" t="str">
        <f>Thuysan!T139</f>
        <v>-</v>
      </c>
      <c r="H13" s="124" t="str">
        <f>Thuysan!U139</f>
        <v>19/09/2023</v>
      </c>
      <c r="I13" s="124" t="str">
        <f>Thuysan!V139</f>
        <v>Cao Quang Nguyên</v>
      </c>
      <c r="J13" s="34" t="str">
        <f>Thuysan!W139</f>
        <v>Ao 1</v>
      </c>
    </row>
    <row r="14" spans="1:10" ht="31.5" x14ac:dyDescent="0.25">
      <c r="A14" s="84">
        <f>_xlfn.AGGREGATE(3,3,$C$7:C14)</f>
        <v>8</v>
      </c>
      <c r="B14" s="34" t="str">
        <f>Thuysan!O140</f>
        <v>Tôm chân trắng thương phẩm</v>
      </c>
      <c r="C14" s="34" t="str">
        <f>Thuysan!P140</f>
        <v>83/0923/08</v>
      </c>
      <c r="D14" s="125"/>
      <c r="E14" s="126"/>
      <c r="F14" s="34">
        <f>Thuysan!S140</f>
        <v>1</v>
      </c>
      <c r="G14" s="34" t="str">
        <f>Thuysan!T140</f>
        <v>-</v>
      </c>
      <c r="H14" s="125"/>
      <c r="I14" s="125"/>
      <c r="J14" s="34" t="str">
        <f>Thuysan!W140</f>
        <v>Ao 3</v>
      </c>
    </row>
    <row r="15" spans="1:10" ht="31.5" x14ac:dyDescent="0.25">
      <c r="A15" s="84">
        <f>_xlfn.AGGREGATE(3,3,$C$7:C15)</f>
        <v>9</v>
      </c>
      <c r="B15" s="34" t="str">
        <f>Thuysan!O141</f>
        <v>Tôm sú quảng canh</v>
      </c>
      <c r="C15" s="34" t="str">
        <f>Thuysan!P141</f>
        <v>83/0923/09</v>
      </c>
      <c r="D15" s="126"/>
      <c r="E15" s="34" t="str">
        <f>Thuysan!R141</f>
        <v>Bùi Hiếu Hiền - Ấp Thạnh Thới B, Xã Thạnh Hải</v>
      </c>
      <c r="F15" s="34">
        <f>Thuysan!S141</f>
        <v>1</v>
      </c>
      <c r="G15" s="34" t="str">
        <f>Thuysan!T141</f>
        <v>Florfenicol</v>
      </c>
      <c r="H15" s="126"/>
      <c r="I15" s="126"/>
      <c r="J15" s="34" t="str">
        <f>Thuysan!W141</f>
        <v/>
      </c>
    </row>
    <row r="16" spans="1:10" ht="26.25" customHeight="1" x14ac:dyDescent="0.25">
      <c r="A16" s="84">
        <f>_xlfn.AGGREGATE(3,3,$C$7:C16)</f>
        <v>10</v>
      </c>
      <c r="B16" s="34" t="str">
        <f>Thuysan!O142</f>
        <v>Cá tra thương phẩm</v>
      </c>
      <c r="C16" s="34" t="str">
        <f>Thuysan!P142</f>
        <v>83/0923/10</v>
      </c>
      <c r="D16" s="124" t="str">
        <f>Thuysan!Q142</f>
        <v>Mỏ Cày 83/04</v>
      </c>
      <c r="E16" s="124" t="str">
        <f>Thuysan!R142</f>
        <v>Công ty CPTS Hải Hương - Ấp Thành Long, Xã Thành Thới A</v>
      </c>
      <c r="F16" s="34">
        <f>Thuysan!S142</f>
        <v>1.5</v>
      </c>
      <c r="G16" s="34" t="str">
        <f>Thuysan!T142</f>
        <v>Chlorpyrifos, Fipronil, Pb, Hg, Cd</v>
      </c>
      <c r="H16" s="124" t="str">
        <f>Thuysan!U142</f>
        <v>19/09/2023</v>
      </c>
      <c r="I16" s="124" t="str">
        <f>Thuysan!V142</f>
        <v>Phạm Minh Thuận</v>
      </c>
      <c r="J16" s="34" t="str">
        <f>Thuysan!W142</f>
        <v>Ao 6</v>
      </c>
    </row>
    <row r="17" spans="1:10" ht="48.75" customHeight="1" x14ac:dyDescent="0.25">
      <c r="A17" s="84">
        <f>_xlfn.AGGREGATE(3,3,$C$7:C17)</f>
        <v>11</v>
      </c>
      <c r="B17" s="34" t="str">
        <f>Thuysan!O143</f>
        <v>Cá tra thương phẩm</v>
      </c>
      <c r="C17" s="34" t="str">
        <f>Thuysan!P143</f>
        <v>83/0923/11</v>
      </c>
      <c r="D17" s="126"/>
      <c r="E17" s="126"/>
      <c r="F17" s="34">
        <f>Thuysan!S143</f>
        <v>1.5</v>
      </c>
      <c r="G17" s="34" t="str">
        <f>Thuysan!T143</f>
        <v>Malachite Green, Leuco Malachite Green, Crystal Violet, Leuco Crystal Violet, Pb, Hg, Cd</v>
      </c>
      <c r="H17" s="126"/>
      <c r="I17" s="126"/>
      <c r="J17" s="34" t="str">
        <f>Thuysan!W143</f>
        <v>Ao 10</v>
      </c>
    </row>
    <row r="18" spans="1:10" ht="37.5" customHeight="1" x14ac:dyDescent="0.25">
      <c r="A18" s="84">
        <f>_xlfn.AGGREGATE(3,3,$C$7:C18)</f>
        <v>12</v>
      </c>
      <c r="B18" s="34" t="str">
        <f>Thuysan!O144</f>
        <v>Cá tra thương phẩm</v>
      </c>
      <c r="C18" s="34" t="str">
        <f>Thuysan!P144</f>
        <v>83/0923/12</v>
      </c>
      <c r="D18" s="124" t="str">
        <f>Thuysan!Q144</f>
        <v>Châu Thành 83/05</v>
      </c>
      <c r="E18" s="124" t="str">
        <f>Thuysan!R144</f>
        <v>Công ty CP Gò Đàng - Ấp Phú Luông, Xã Tân Phú</v>
      </c>
      <c r="F18" s="34">
        <f>Thuysan!S144</f>
        <v>1.5</v>
      </c>
      <c r="G18" s="34" t="str">
        <f>Thuysan!T144</f>
        <v>Ivermectin, Praziquantel, Trichlorfon, Avermectin B1a, Pb, Hg, Cd</v>
      </c>
      <c r="H18" s="124" t="str">
        <f>Thuysan!U144</f>
        <v>18/09/2023</v>
      </c>
      <c r="I18" s="124" t="str">
        <f>Thuysan!V144</f>
        <v>Phạm Văn Lâm</v>
      </c>
      <c r="J18" s="34" t="str">
        <f>Thuysan!W144</f>
        <v>Ao B3</v>
      </c>
    </row>
    <row r="19" spans="1:10" ht="19.5" customHeight="1" x14ac:dyDescent="0.25">
      <c r="A19" s="84">
        <f>_xlfn.AGGREGATE(3,3,$C$7:C19)</f>
        <v>13</v>
      </c>
      <c r="B19" s="34" t="str">
        <f>Thuysan!O145</f>
        <v>Cá tra thương phẩm</v>
      </c>
      <c r="C19" s="34" t="str">
        <f>Thuysan!P145</f>
        <v>83/0923/13</v>
      </c>
      <c r="D19" s="126"/>
      <c r="E19" s="126"/>
      <c r="F19" s="34">
        <f>Thuysan!S145</f>
        <v>1.5</v>
      </c>
      <c r="G19" s="34" t="str">
        <f>Thuysan!T145</f>
        <v>Trifluralin, Pb, Hg, Cd</v>
      </c>
      <c r="H19" s="126"/>
      <c r="I19" s="126"/>
      <c r="J19" s="34" t="str">
        <f>Thuysan!W145</f>
        <v>Ao B4</v>
      </c>
    </row>
    <row r="20" spans="1:10" ht="23.25" customHeight="1" x14ac:dyDescent="0.25">
      <c r="A20" s="84">
        <f>_xlfn.AGGREGATE(3,3,$C$7:C20)</f>
        <v>14</v>
      </c>
      <c r="B20" s="34" t="str">
        <f>Thuysan!O146</f>
        <v>Cá tra thương phẩm</v>
      </c>
      <c r="C20" s="34" t="str">
        <f>Thuysan!P146</f>
        <v>83/0923/14</v>
      </c>
      <c r="D20" s="124" t="str">
        <f>Thuysan!Q146</f>
        <v>Giồng Trôm 83/06</v>
      </c>
      <c r="E20" s="124" t="str">
        <f>Thuysan!R146</f>
        <v>Công ty CP Gò Đàng - Ấp 1, Xã Sơn Phú</v>
      </c>
      <c r="F20" s="34">
        <f>Thuysan!S146</f>
        <v>1.5</v>
      </c>
      <c r="G20" s="34" t="str">
        <f>Thuysan!T146</f>
        <v>Fosfomycin, Pb, Hg, Cd</v>
      </c>
      <c r="H20" s="124" t="str">
        <f>Thuysan!U146</f>
        <v>20/09/2023</v>
      </c>
      <c r="I20" s="124" t="str">
        <f>Thuysan!V146</f>
        <v>Phạm Minh Thuận</v>
      </c>
      <c r="J20" s="34" t="str">
        <f>Thuysan!W146</f>
        <v>Ao 2</v>
      </c>
    </row>
    <row r="21" spans="1:10" ht="21.75" customHeight="1" x14ac:dyDescent="0.25">
      <c r="A21" s="84">
        <f>_xlfn.AGGREGATE(3,3,$C$7:C21)</f>
        <v>15</v>
      </c>
      <c r="B21" s="34" t="str">
        <f>Thuysan!O147</f>
        <v>Cá tra thương phẩm</v>
      </c>
      <c r="C21" s="34" t="str">
        <f>Thuysan!P147</f>
        <v>83/0923/15</v>
      </c>
      <c r="D21" s="126"/>
      <c r="E21" s="126"/>
      <c r="F21" s="34">
        <f>Thuysan!S147</f>
        <v>1.5</v>
      </c>
      <c r="G21" s="34" t="str">
        <f>Thuysan!T147</f>
        <v>Erythromycin, Pb, Hg, Cd</v>
      </c>
      <c r="H21" s="126"/>
      <c r="I21" s="126"/>
      <c r="J21" s="34" t="str">
        <f>Thuysan!W147</f>
        <v>Ao 7</v>
      </c>
    </row>
    <row r="22" spans="1:10" ht="31.5" x14ac:dyDescent="0.25">
      <c r="A22" s="84">
        <f>_xlfn.AGGREGATE(3,3,$C$7:C22)</f>
        <v>16</v>
      </c>
      <c r="B22" s="34" t="str">
        <f>Thuysan!O148</f>
        <v>Cá tra nhỏ</v>
      </c>
      <c r="C22" s="34" t="str">
        <f>Thuysan!P148</f>
        <v>83/0923/16</v>
      </c>
      <c r="D22" s="124" t="str">
        <f>Thuysan!Q148</f>
        <v>Chợ Lách 83/07</v>
      </c>
      <c r="E22" s="124" t="str">
        <f>Thuysan!R148</f>
        <v>Công ty TNHH CBTPXK Vạn Đức Tiền Giang - Khu nuôi Cồn Kiếng, Ấp Long Khánh, Xã Tân Thiềng</v>
      </c>
      <c r="F22" s="34">
        <f>Thuysan!S148</f>
        <v>1</v>
      </c>
      <c r="G22" s="34" t="str">
        <f>Thuysan!T148</f>
        <v>Nitrofurans, Pb, Hg, Cd</v>
      </c>
      <c r="H22" s="124" t="str">
        <f>Thuysan!U148</f>
        <v>19/09/2023</v>
      </c>
      <c r="I22" s="124" t="str">
        <f>Thuysan!V148</f>
        <v>Phạm Văn Lâm</v>
      </c>
      <c r="J22" s="34" t="str">
        <f>Thuysan!W148</f>
        <v>Ao 7</v>
      </c>
    </row>
    <row r="23" spans="1:10" ht="31.5" x14ac:dyDescent="0.25">
      <c r="A23" s="84">
        <f>_xlfn.AGGREGATE(3,3,$C$7:C23)</f>
        <v>17</v>
      </c>
      <c r="B23" s="34" t="str">
        <f>Thuysan!O149</f>
        <v>Cá tra nhỏ</v>
      </c>
      <c r="C23" s="34" t="str">
        <f>Thuysan!P149</f>
        <v>83/0923/17</v>
      </c>
      <c r="D23" s="126"/>
      <c r="E23" s="126"/>
      <c r="F23" s="34">
        <f>Thuysan!S149</f>
        <v>1</v>
      </c>
      <c r="G23" s="34" t="str">
        <f>Thuysan!T149</f>
        <v>Nhóm Nitroimidazoles, Pb, Hg, Cd</v>
      </c>
      <c r="H23" s="126"/>
      <c r="I23" s="126"/>
      <c r="J23" s="34" t="str">
        <f>Thuysan!W149</f>
        <v>Ao 10</v>
      </c>
    </row>
    <row r="24" spans="1:10" ht="18.75" x14ac:dyDescent="0.25">
      <c r="G24" s="39"/>
      <c r="H24" s="39"/>
      <c r="I24" s="39"/>
      <c r="J24" s="40"/>
    </row>
    <row r="25" spans="1:10" ht="20.25" customHeight="1" x14ac:dyDescent="0.25">
      <c r="G25" s="130" t="s">
        <v>549</v>
      </c>
      <c r="H25" s="130"/>
      <c r="I25" s="130"/>
      <c r="J25" s="130"/>
    </row>
    <row r="26" spans="1:10" ht="23.25" customHeight="1" x14ac:dyDescent="0.25">
      <c r="G26" s="131" t="s">
        <v>398</v>
      </c>
      <c r="H26" s="131"/>
      <c r="I26" s="131"/>
      <c r="J26" s="131"/>
    </row>
    <row r="27" spans="1:10" ht="39" customHeight="1" x14ac:dyDescent="0.25">
      <c r="G27" s="40"/>
      <c r="H27" s="40"/>
      <c r="I27" s="40"/>
      <c r="J27" s="40"/>
    </row>
    <row r="28" spans="1:10" ht="15.75" customHeight="1" x14ac:dyDescent="0.25">
      <c r="G28" s="39"/>
      <c r="H28" s="39"/>
      <c r="I28" s="39"/>
      <c r="J28" s="40"/>
    </row>
    <row r="29" spans="1:10" ht="26.25" customHeight="1" x14ac:dyDescent="0.25">
      <c r="G29" s="39"/>
      <c r="H29" s="39"/>
      <c r="I29" s="39"/>
      <c r="J29" s="40"/>
    </row>
    <row r="30" spans="1:10" ht="19.5" customHeight="1" x14ac:dyDescent="0.3">
      <c r="G30" s="129" t="s">
        <v>364</v>
      </c>
      <c r="H30" s="129"/>
      <c r="I30" s="129"/>
      <c r="J30" s="129"/>
    </row>
    <row r="31" spans="1:10" ht="23.25" customHeight="1" x14ac:dyDescent="0.25"/>
    <row r="33" ht="51" customHeight="1" x14ac:dyDescent="0.25"/>
    <row r="34" ht="7.5" customHeight="1" x14ac:dyDescent="0.25"/>
    <row r="39" ht="8.25" customHeight="1" x14ac:dyDescent="0.25"/>
    <row r="40" ht="18" customHeight="1" x14ac:dyDescent="0.25"/>
  </sheetData>
  <mergeCells count="38">
    <mergeCell ref="D22:D23"/>
    <mergeCell ref="E22:E23"/>
    <mergeCell ref="I20:I21"/>
    <mergeCell ref="I22:I23"/>
    <mergeCell ref="G30:J30"/>
    <mergeCell ref="G25:J25"/>
    <mergeCell ref="G26:J26"/>
    <mergeCell ref="D20:D21"/>
    <mergeCell ref="H20:H21"/>
    <mergeCell ref="H22:H23"/>
    <mergeCell ref="E20:E21"/>
    <mergeCell ref="A4:J4"/>
    <mergeCell ref="E11:E12"/>
    <mergeCell ref="D13:D15"/>
    <mergeCell ref="D16:D17"/>
    <mergeCell ref="D18:D19"/>
    <mergeCell ref="I13:I15"/>
    <mergeCell ref="I16:I17"/>
    <mergeCell ref="I18:I19"/>
    <mergeCell ref="D7:D9"/>
    <mergeCell ref="E7:E8"/>
    <mergeCell ref="H7:H9"/>
    <mergeCell ref="I7:I9"/>
    <mergeCell ref="D10:D12"/>
    <mergeCell ref="H10:H12"/>
    <mergeCell ref="I10:I12"/>
    <mergeCell ref="H16:H17"/>
    <mergeCell ref="A1:E1"/>
    <mergeCell ref="F1:J1"/>
    <mergeCell ref="A2:E2"/>
    <mergeCell ref="F2:J2"/>
    <mergeCell ref="A3:E3"/>
    <mergeCell ref="F3:J3"/>
    <mergeCell ref="H18:H19"/>
    <mergeCell ref="H13:H15"/>
    <mergeCell ref="E13:E14"/>
    <mergeCell ref="E16:E17"/>
    <mergeCell ref="E18:E19"/>
  </mergeCells>
  <pageMargins left="0.28999999999999998" right="0.19" top="0.43" bottom="0.3" header="0.3" footer="0.18"/>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I22" sqref="I22:I25"/>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528</v>
      </c>
      <c r="B3" s="136"/>
      <c r="C3" s="136"/>
      <c r="D3" s="136"/>
      <c r="E3" s="136"/>
      <c r="F3" s="137" t="s">
        <v>529</v>
      </c>
      <c r="G3" s="137"/>
      <c r="H3" s="137"/>
      <c r="I3" s="137"/>
      <c r="J3" s="137"/>
    </row>
    <row r="4" spans="1:10" ht="21" customHeight="1" x14ac:dyDescent="0.25">
      <c r="A4" s="132" t="s">
        <v>530</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19.5" customHeight="1" x14ac:dyDescent="0.25">
      <c r="A7" s="77">
        <v>1</v>
      </c>
      <c r="B7" s="34" t="str">
        <f>Thuysan!O91</f>
        <v>Tôm sú thương phẩm</v>
      </c>
      <c r="C7" s="34" t="str">
        <f>Thuysan!P91</f>
        <v>83/0723/01</v>
      </c>
      <c r="D7" s="124" t="str">
        <f>Thuysan!Q91</f>
        <v>Ba Tri 83/01</v>
      </c>
      <c r="E7" s="124" t="str">
        <f>Thuysan!R91</f>
        <v>Nguyễn Văn Đấu - Ấp 7, Xã An Thủy</v>
      </c>
      <c r="F7" s="34">
        <f>Thuysan!S91</f>
        <v>1</v>
      </c>
      <c r="G7" s="34" t="str">
        <f>Thuysan!T91</f>
        <v>Erythromycin</v>
      </c>
      <c r="H7" s="124" t="str">
        <f>Thuysan!U91</f>
        <v>11/07/2023</v>
      </c>
      <c r="I7" s="124" t="str">
        <f>Thuysan!V91</f>
        <v>Phạm Minh Thuận</v>
      </c>
      <c r="J7" s="34" t="str">
        <f>Thuysan!W91</f>
        <v>Ao 1</v>
      </c>
    </row>
    <row r="8" spans="1:10" ht="31.5" x14ac:dyDescent="0.25">
      <c r="A8" s="77">
        <f>_xlfn.AGGREGATE(3,3,$C$7:C8)</f>
        <v>2</v>
      </c>
      <c r="B8" s="34" t="str">
        <f>Thuysan!O92</f>
        <v>Tôm chân trắng thương phẩm</v>
      </c>
      <c r="C8" s="34" t="str">
        <f>Thuysan!P92</f>
        <v>83/0723/02</v>
      </c>
      <c r="D8" s="125"/>
      <c r="E8" s="126"/>
      <c r="F8" s="34">
        <f>Thuysan!S92</f>
        <v>1</v>
      </c>
      <c r="G8" s="34" t="str">
        <f>Thuysan!T92</f>
        <v>Chloramphenicol</v>
      </c>
      <c r="H8" s="125"/>
      <c r="I8" s="125"/>
      <c r="J8" s="34" t="str">
        <f>Thuysan!W92</f>
        <v>Ao 2</v>
      </c>
    </row>
    <row r="9" spans="1:10" ht="31.5" customHeight="1" x14ac:dyDescent="0.25">
      <c r="A9" s="77">
        <f>_xlfn.AGGREGATE(3,3,$C$7:C9)</f>
        <v>3</v>
      </c>
      <c r="B9" s="34" t="str">
        <f>Thuysan!O93</f>
        <v>Cá tra thương phẩm</v>
      </c>
      <c r="C9" s="34" t="str">
        <f>Thuysan!P93</f>
        <v>83/0723/03</v>
      </c>
      <c r="D9" s="126"/>
      <c r="E9" s="34" t="str">
        <f>Thuysan!R93</f>
        <v>Công ty CP Gò Đàng - Ấp 4, Xã Tân Xuân</v>
      </c>
      <c r="F9" s="34">
        <f>Thuysan!S93</f>
        <v>1.5</v>
      </c>
      <c r="G9" s="34" t="str">
        <f>Thuysan!T93</f>
        <v>Fosfomycin</v>
      </c>
      <c r="H9" s="126"/>
      <c r="I9" s="126"/>
      <c r="J9" s="34" t="str">
        <f>Thuysan!W93</f>
        <v>Ao A3</v>
      </c>
    </row>
    <row r="10" spans="1:10" ht="31.5" x14ac:dyDescent="0.25">
      <c r="A10" s="77">
        <f>_xlfn.AGGREGATE(3,3,$C$7:C10)</f>
        <v>4</v>
      </c>
      <c r="B10" s="34" t="str">
        <f>Thuysan!O94</f>
        <v>Tôm sú thương phẩm</v>
      </c>
      <c r="C10" s="34" t="str">
        <f>Thuysan!P94</f>
        <v>83/0723/04</v>
      </c>
      <c r="D10" s="124" t="str">
        <f>Thuysan!Q94</f>
        <v>Bình Đại 83/02</v>
      </c>
      <c r="E10" s="124" t="str">
        <f>Thuysan!R94</f>
        <v>Nguyễn Văn Mười - Ấp Bình Thạnh 3, Xã Thạnh Trị</v>
      </c>
      <c r="F10" s="34">
        <f>Thuysan!S94</f>
        <v>1</v>
      </c>
      <c r="G10" s="34" t="str">
        <f>Thuysan!T94</f>
        <v>-</v>
      </c>
      <c r="H10" s="124" t="str">
        <f>Thuysan!U94</f>
        <v>12/07/2023</v>
      </c>
      <c r="I10" s="124" t="str">
        <f>Thuysan!V94</f>
        <v>Cao Quang Nguyên</v>
      </c>
      <c r="J10" s="34" t="str">
        <f>Thuysan!W94</f>
        <v>Ao 1</v>
      </c>
    </row>
    <row r="11" spans="1:10" ht="31.5" x14ac:dyDescent="0.25">
      <c r="A11" s="77">
        <f>_xlfn.AGGREGATE(3,3,$C$7:C11)</f>
        <v>5</v>
      </c>
      <c r="B11" s="34" t="str">
        <f>Thuysan!O95</f>
        <v>Tôm chân trắng thương phẩm</v>
      </c>
      <c r="C11" s="34" t="str">
        <f>Thuysan!P95</f>
        <v>83/0723/05</v>
      </c>
      <c r="D11" s="125"/>
      <c r="E11" s="126"/>
      <c r="F11" s="34">
        <f>Thuysan!S95</f>
        <v>1</v>
      </c>
      <c r="G11" s="34" t="str">
        <f>Thuysan!T95</f>
        <v>Nhóm Sulfonamides</v>
      </c>
      <c r="H11" s="125"/>
      <c r="I11" s="125"/>
      <c r="J11" s="34" t="str">
        <f>Thuysan!W95</f>
        <v>Ao 2</v>
      </c>
    </row>
    <row r="12" spans="1:10" ht="24" customHeight="1" x14ac:dyDescent="0.25">
      <c r="A12" s="77">
        <f>_xlfn.AGGREGATE(3,3,$C$7:C12)</f>
        <v>6</v>
      </c>
      <c r="B12" s="34" t="str">
        <f>Thuysan!O96</f>
        <v>Cá tra thương phẩm</v>
      </c>
      <c r="C12" s="34" t="str">
        <f>Thuysan!P96</f>
        <v>83/0723/06</v>
      </c>
      <c r="D12" s="125"/>
      <c r="E12" s="124" t="str">
        <f>Thuysan!R96</f>
        <v>Công ty CP Gò Đàng - Ấp Vinh Xương, Xã Vang Quới Đông</v>
      </c>
      <c r="F12" s="34">
        <f>Thuysan!S96</f>
        <v>1.5</v>
      </c>
      <c r="G12" s="34" t="str">
        <f>Thuysan!T96</f>
        <v>Nhóm Tetracyclines</v>
      </c>
      <c r="H12" s="125"/>
      <c r="I12" s="125"/>
      <c r="J12" s="34" t="str">
        <f>Thuysan!W96</f>
        <v>Ao D1</v>
      </c>
    </row>
    <row r="13" spans="1:10" ht="22.5" customHeight="1" x14ac:dyDescent="0.25">
      <c r="A13" s="77">
        <f>_xlfn.AGGREGATE(3,3,$C$7:C13)</f>
        <v>7</v>
      </c>
      <c r="B13" s="34" t="str">
        <f>Thuysan!O97</f>
        <v>Cá tra thương phẩm</v>
      </c>
      <c r="C13" s="34" t="str">
        <f>Thuysan!P97</f>
        <v>83/0723/07</v>
      </c>
      <c r="D13" s="126"/>
      <c r="E13" s="126"/>
      <c r="F13" s="34">
        <f>Thuysan!S97</f>
        <v>1.5</v>
      </c>
      <c r="G13" s="34" t="str">
        <f>Thuysan!T97</f>
        <v>Trimethoprim</v>
      </c>
      <c r="H13" s="126"/>
      <c r="I13" s="126"/>
      <c r="J13" s="34" t="str">
        <f>Thuysan!W97</f>
        <v>Ao D4</v>
      </c>
    </row>
    <row r="14" spans="1:10" ht="31.5" x14ac:dyDescent="0.25">
      <c r="A14" s="77">
        <f>_xlfn.AGGREGATE(3,3,$C$7:C14)</f>
        <v>8</v>
      </c>
      <c r="B14" s="34" t="str">
        <f>Thuysan!O98</f>
        <v>Tôm sú thương phẩm</v>
      </c>
      <c r="C14" s="34" t="str">
        <f>Thuysan!P98</f>
        <v>83/0723/08</v>
      </c>
      <c r="D14" s="124" t="str">
        <f>Thuysan!Q98</f>
        <v>Thạnh Phú 83/03</v>
      </c>
      <c r="E14" s="34" t="str">
        <f>Thuysan!R98</f>
        <v>Đặng Thái Bình - Ấp An Định, Xã An Nhơn</v>
      </c>
      <c r="F14" s="34">
        <f>Thuysan!S98</f>
        <v>1</v>
      </c>
      <c r="G14" s="34" t="str">
        <f>Thuysan!T98</f>
        <v>Florfenicol</v>
      </c>
      <c r="H14" s="124" t="str">
        <f>Thuysan!U98</f>
        <v>13/07/2023</v>
      </c>
      <c r="I14" s="124" t="str">
        <f>Thuysan!V98</f>
        <v>Cao Quang Nguyên</v>
      </c>
      <c r="J14" s="34" t="str">
        <f>Thuysan!W98</f>
        <v>Ao 1</v>
      </c>
    </row>
    <row r="15" spans="1:10" ht="21" customHeight="1" x14ac:dyDescent="0.25">
      <c r="A15" s="77">
        <f>_xlfn.AGGREGATE(3,3,$C$7:C15)</f>
        <v>9</v>
      </c>
      <c r="B15" s="34" t="str">
        <f>Thuysan!O99</f>
        <v>Tôm sú quảng canh</v>
      </c>
      <c r="C15" s="34" t="str">
        <f>Thuysan!P99</f>
        <v>83/0723/09</v>
      </c>
      <c r="D15" s="125"/>
      <c r="E15" s="34" t="str">
        <f>Thuysan!R99</f>
        <v>Lê Văn Nói - , Xã An Thuận</v>
      </c>
      <c r="F15" s="34">
        <f>Thuysan!S99</f>
        <v>1</v>
      </c>
      <c r="G15" s="34" t="str">
        <f>Thuysan!T99</f>
        <v>Chloramphenicol</v>
      </c>
      <c r="H15" s="125"/>
      <c r="I15" s="125"/>
      <c r="J15" s="34" t="str">
        <f>Thuysan!W99</f>
        <v/>
      </c>
    </row>
    <row r="16" spans="1:10" ht="31.5" x14ac:dyDescent="0.25">
      <c r="A16" s="77">
        <f>_xlfn.AGGREGATE(3,3,$C$7:C16)</f>
        <v>10</v>
      </c>
      <c r="B16" s="34" t="str">
        <f>Thuysan!O100</f>
        <v>Tôm chân trắng thương phẩm</v>
      </c>
      <c r="C16" s="34" t="str">
        <f>Thuysan!P100</f>
        <v>83/0723/10</v>
      </c>
      <c r="D16" s="126"/>
      <c r="E16" s="34" t="str">
        <f>Thuysan!R100</f>
        <v>Đặng Thái Bình - Ấp An Định, Xã An Nhơn</v>
      </c>
      <c r="F16" s="34">
        <f>Thuysan!S100</f>
        <v>1</v>
      </c>
      <c r="G16" s="34" t="str">
        <f>Thuysan!T100</f>
        <v>Ormetoprim</v>
      </c>
      <c r="H16" s="126"/>
      <c r="I16" s="126"/>
      <c r="J16" s="34" t="str">
        <f>Thuysan!W100</f>
        <v>Ao 2</v>
      </c>
    </row>
    <row r="17" spans="1:10" ht="31.5" x14ac:dyDescent="0.25">
      <c r="A17" s="77">
        <f>_xlfn.AGGREGATE(3,3,$C$7:C17)</f>
        <v>11</v>
      </c>
      <c r="B17" s="34" t="str">
        <f>Thuysan!O101</f>
        <v>Cá tra thương phẩm</v>
      </c>
      <c r="C17" s="34" t="str">
        <f>Thuysan!P101</f>
        <v>83/0723/11</v>
      </c>
      <c r="D17" s="34" t="str">
        <f>Thuysan!Q101</f>
        <v>Mỏ Cày 83/04</v>
      </c>
      <c r="E17" s="34" t="str">
        <f>Thuysan!R101</f>
        <v>Công ty CPTS Hải Hương - Ấp Phú Hữu, Xã Cẩm Sơn</v>
      </c>
      <c r="F17" s="34">
        <f>Thuysan!S101</f>
        <v>1.5</v>
      </c>
      <c r="G17" s="34" t="str">
        <f>Thuysan!T101</f>
        <v>Nhóm Quinolones</v>
      </c>
      <c r="H17" s="34" t="str">
        <f>Thuysan!U101</f>
        <v>12/07/2023</v>
      </c>
      <c r="I17" s="34" t="str">
        <f>Thuysan!V101</f>
        <v>Phạm Minh Thuận</v>
      </c>
      <c r="J17" s="34" t="str">
        <f>Thuysan!W101</f>
        <v>Ao 1</v>
      </c>
    </row>
    <row r="18" spans="1:10" ht="27" customHeight="1" x14ac:dyDescent="0.25">
      <c r="A18" s="77">
        <f>_xlfn.AGGREGATE(3,3,$C$7:C18)</f>
        <v>12</v>
      </c>
      <c r="B18" s="34" t="str">
        <f>Thuysan!O102</f>
        <v>Cá tra thương phẩm</v>
      </c>
      <c r="C18" s="34" t="str">
        <f>Thuysan!P102</f>
        <v>83/0723/12</v>
      </c>
      <c r="D18" s="124" t="str">
        <f>Thuysan!Q102</f>
        <v>Châu Thành 83/05</v>
      </c>
      <c r="E18" s="124" t="str">
        <f>Thuysan!R102</f>
        <v>Công ty CP Gò Đàng - Ấp Tiên Thạnh, Xã Tiên Long</v>
      </c>
      <c r="F18" s="34">
        <f>Thuysan!S102</f>
        <v>1.5</v>
      </c>
      <c r="G18" s="34" t="str">
        <f>Thuysan!T102</f>
        <v>Trimethoprim</v>
      </c>
      <c r="H18" s="124" t="str">
        <f>Thuysan!U102</f>
        <v>12/07/2023</v>
      </c>
      <c r="I18" s="124" t="str">
        <f>Thuysan!V102</f>
        <v>Nguyễn Duy Khanh</v>
      </c>
      <c r="J18" s="34" t="str">
        <f>Thuysan!W102</f>
        <v>Ao C1</v>
      </c>
    </row>
    <row r="19" spans="1:10" ht="31.5" x14ac:dyDescent="0.25">
      <c r="A19" s="77">
        <f>_xlfn.AGGREGATE(3,3,$C$7:C19)</f>
        <v>13</v>
      </c>
      <c r="B19" s="34" t="str">
        <f>Thuysan!O103</f>
        <v>Cá tra thương phẩm</v>
      </c>
      <c r="C19" s="34" t="str">
        <f>Thuysan!P103</f>
        <v>83/0723/13</v>
      </c>
      <c r="D19" s="126"/>
      <c r="E19" s="126"/>
      <c r="F19" s="34">
        <f>Thuysan!S103</f>
        <v>1.5</v>
      </c>
      <c r="G19" s="34" t="str">
        <f>Thuysan!T103</f>
        <v>Ormetoprim</v>
      </c>
      <c r="H19" s="126"/>
      <c r="I19" s="126"/>
      <c r="J19" s="34" t="str">
        <f>Thuysan!W103</f>
        <v>Ao C4</v>
      </c>
    </row>
    <row r="20" spans="1:10" ht="26.25" customHeight="1" x14ac:dyDescent="0.25">
      <c r="A20" s="77">
        <f>_xlfn.AGGREGATE(3,3,$C$7:C20)</f>
        <v>14</v>
      </c>
      <c r="B20" s="34" t="str">
        <f>Thuysan!O104</f>
        <v>Cá tra thương phẩm</v>
      </c>
      <c r="C20" s="34" t="str">
        <f>Thuysan!P104</f>
        <v>83/0723/14</v>
      </c>
      <c r="D20" s="124" t="str">
        <f>Thuysan!Q104</f>
        <v>Giồng Trôm 83/06</v>
      </c>
      <c r="E20" s="124" t="str">
        <f>Thuysan!R104</f>
        <v>Công ty CP Gò Đàng - Ấp 1, Xã Sơn Phú</v>
      </c>
      <c r="F20" s="34">
        <f>Thuysan!S104</f>
        <v>1.5</v>
      </c>
      <c r="G20" s="34" t="str">
        <f>Thuysan!T104</f>
        <v>Nitrofurans</v>
      </c>
      <c r="H20" s="124" t="str">
        <f>Thuysan!U104</f>
        <v>13/07/2023</v>
      </c>
      <c r="I20" s="124" t="str">
        <f>Thuysan!V104</f>
        <v>Phạm Minh Thuận</v>
      </c>
      <c r="J20" s="34" t="str">
        <f>Thuysan!W104</f>
        <v>Ao 6</v>
      </c>
    </row>
    <row r="21" spans="1:10" ht="19.5" customHeight="1" x14ac:dyDescent="0.25">
      <c r="A21" s="77">
        <f>_xlfn.AGGREGATE(3,3,$C$7:C21)</f>
        <v>15</v>
      </c>
      <c r="B21" s="34" t="str">
        <f>Thuysan!O105</f>
        <v>Cá tra thương phẩm</v>
      </c>
      <c r="C21" s="34" t="str">
        <f>Thuysan!P105</f>
        <v>83/0723/15</v>
      </c>
      <c r="D21" s="126"/>
      <c r="E21" s="126"/>
      <c r="F21" s="34">
        <f>Thuysan!S105</f>
        <v>1.5</v>
      </c>
      <c r="G21" s="34" t="str">
        <f>Thuysan!T105</f>
        <v>-</v>
      </c>
      <c r="H21" s="126"/>
      <c r="I21" s="126"/>
      <c r="J21" s="34" t="str">
        <f>Thuysan!W105</f>
        <v>Ao 10</v>
      </c>
    </row>
    <row r="22" spans="1:10" ht="19.5" customHeight="1" x14ac:dyDescent="0.25">
      <c r="A22" s="77">
        <f>_xlfn.AGGREGATE(3,3,$C$7:C22)</f>
        <v>16</v>
      </c>
      <c r="B22" s="34" t="str">
        <f>Thuysan!O106</f>
        <v>Cá tra thương phẩm</v>
      </c>
      <c r="C22" s="34" t="str">
        <f>Thuysan!P106</f>
        <v>83/0723/16</v>
      </c>
      <c r="D22" s="124" t="str">
        <f>Thuysan!Q106</f>
        <v>Chợ Lách 83/07</v>
      </c>
      <c r="E22" s="124" t="str">
        <f>Thuysan!R106</f>
        <v>Công ty CP NTTS Hùng Vương - Miền Tây - Ấp An Hòa, Xã Long Thới</v>
      </c>
      <c r="F22" s="34">
        <f>Thuysan!S106</f>
        <v>1.5</v>
      </c>
      <c r="G22" s="34" t="str">
        <f>Thuysan!T106</f>
        <v>Nhóm Quinolones</v>
      </c>
      <c r="H22" s="124" t="str">
        <f>Thuysan!U106</f>
        <v>13/07/2023</v>
      </c>
      <c r="I22" s="124" t="str">
        <f>Thuysan!V106</f>
        <v>Nguyễn Duy Khanh</v>
      </c>
      <c r="J22" s="34" t="str">
        <f>Thuysan!W106</f>
        <v>Ao 3</v>
      </c>
    </row>
    <row r="23" spans="1:10" ht="31.5" customHeight="1" x14ac:dyDescent="0.25">
      <c r="A23" s="77">
        <f>_xlfn.AGGREGATE(3,3,$C$7:C23)</f>
        <v>17</v>
      </c>
      <c r="B23" s="34" t="str">
        <f>Thuysan!O107</f>
        <v>Cá tra thương phẩm</v>
      </c>
      <c r="C23" s="34" t="str">
        <f>Thuysan!P107</f>
        <v>83/0723/17</v>
      </c>
      <c r="D23" s="125"/>
      <c r="E23" s="125"/>
      <c r="F23" s="34">
        <f>Thuysan!S107</f>
        <v>1.5</v>
      </c>
      <c r="G23" s="34" t="str">
        <f>Thuysan!T107</f>
        <v>Erythromycin</v>
      </c>
      <c r="H23" s="125"/>
      <c r="I23" s="125"/>
      <c r="J23" s="34" t="str">
        <f>Thuysan!W107</f>
        <v>Ao 6</v>
      </c>
    </row>
    <row r="24" spans="1:10" ht="19.5" customHeight="1" x14ac:dyDescent="0.25">
      <c r="A24" s="77">
        <f>_xlfn.AGGREGATE(3,3,$C$7:C24)</f>
        <v>18</v>
      </c>
      <c r="B24" s="34" t="str">
        <f>Thuysan!O108</f>
        <v>Cá tra thương phẩm</v>
      </c>
      <c r="C24" s="34" t="str">
        <f>Thuysan!P108</f>
        <v>83/0723/18</v>
      </c>
      <c r="D24" s="125"/>
      <c r="E24" s="125"/>
      <c r="F24" s="34">
        <f>Thuysan!S108</f>
        <v>1.5</v>
      </c>
      <c r="G24" s="34" t="str">
        <f>Thuysan!T108</f>
        <v>Azadirachtin</v>
      </c>
      <c r="H24" s="125"/>
      <c r="I24" s="125"/>
      <c r="J24" s="34" t="str">
        <f>Thuysan!W108</f>
        <v>Ao 8</v>
      </c>
    </row>
    <row r="25" spans="1:10" ht="48.75" customHeight="1" x14ac:dyDescent="0.25">
      <c r="A25" s="77">
        <f>_xlfn.AGGREGATE(3,3,$C$7:C25)</f>
        <v>19</v>
      </c>
      <c r="B25" s="34" t="str">
        <f>Thuysan!O109</f>
        <v>Cá tra thương phẩm</v>
      </c>
      <c r="C25" s="34" t="str">
        <f>Thuysan!P109</f>
        <v>83/0723/19</v>
      </c>
      <c r="D25" s="126"/>
      <c r="E25" s="126"/>
      <c r="F25" s="34">
        <f>Thuysan!S109</f>
        <v>1.5</v>
      </c>
      <c r="G25" s="34" t="str">
        <f>Thuysan!T109</f>
        <v>-</v>
      </c>
      <c r="H25" s="126"/>
      <c r="I25" s="126"/>
      <c r="J25" s="34" t="str">
        <f>Thuysan!W109</f>
        <v>Ao 10</v>
      </c>
    </row>
    <row r="26" spans="1:10" ht="18.75" x14ac:dyDescent="0.25">
      <c r="G26" s="130" t="s">
        <v>531</v>
      </c>
      <c r="H26" s="130"/>
      <c r="I26" s="130"/>
      <c r="J26" s="130"/>
    </row>
    <row r="27" spans="1:10" ht="18.75" x14ac:dyDescent="0.25">
      <c r="G27" s="131" t="s">
        <v>398</v>
      </c>
      <c r="H27" s="131"/>
      <c r="I27" s="131"/>
      <c r="J27" s="131"/>
    </row>
    <row r="28" spans="1:10" ht="18.75" x14ac:dyDescent="0.25">
      <c r="G28" s="78"/>
      <c r="H28" s="78"/>
      <c r="I28" s="78"/>
      <c r="J28" s="78"/>
    </row>
    <row r="29" spans="1:10" ht="18.75" x14ac:dyDescent="0.25">
      <c r="G29" s="39"/>
      <c r="H29" s="39"/>
      <c r="I29" s="39"/>
      <c r="J29" s="78"/>
    </row>
    <row r="30" spans="1:10" ht="18.75" x14ac:dyDescent="0.25">
      <c r="G30" s="39"/>
      <c r="H30" s="39"/>
      <c r="I30" s="39"/>
      <c r="J30" s="78"/>
    </row>
    <row r="31" spans="1:10" ht="18.75" x14ac:dyDescent="0.3">
      <c r="G31" s="129" t="s">
        <v>364</v>
      </c>
      <c r="H31" s="129"/>
      <c r="I31" s="129"/>
      <c r="J31" s="129"/>
    </row>
    <row r="32" spans="1:10" s="38" customFormat="1" ht="8.25" customHeight="1" x14ac:dyDescent="0.25">
      <c r="B32" s="33"/>
      <c r="C32" s="33"/>
      <c r="D32" s="33"/>
      <c r="E32" s="33"/>
      <c r="F32" s="33"/>
      <c r="G32" s="33"/>
      <c r="H32" s="33"/>
      <c r="I32" s="33"/>
    </row>
    <row r="33" spans="2:9" s="38" customFormat="1" ht="18" customHeight="1" x14ac:dyDescent="0.25">
      <c r="B33" s="33"/>
      <c r="C33" s="33"/>
      <c r="D33" s="33"/>
      <c r="E33" s="33"/>
      <c r="F33" s="33"/>
      <c r="G33" s="33"/>
      <c r="H33" s="33"/>
      <c r="I33" s="33"/>
    </row>
  </sheetData>
  <mergeCells count="34">
    <mergeCell ref="A4:J4"/>
    <mergeCell ref="A1:E1"/>
    <mergeCell ref="F1:J1"/>
    <mergeCell ref="A2:E2"/>
    <mergeCell ref="F2:J2"/>
    <mergeCell ref="A3:E3"/>
    <mergeCell ref="F3:J3"/>
    <mergeCell ref="G31:J31"/>
    <mergeCell ref="D7:D9"/>
    <mergeCell ref="D10:D13"/>
    <mergeCell ref="D14:D16"/>
    <mergeCell ref="D18:D19"/>
    <mergeCell ref="D20:D21"/>
    <mergeCell ref="D22:D25"/>
    <mergeCell ref="E20:E21"/>
    <mergeCell ref="E22:E25"/>
    <mergeCell ref="E18:E19"/>
    <mergeCell ref="G26:J26"/>
    <mergeCell ref="G27:J27"/>
    <mergeCell ref="H22:H25"/>
    <mergeCell ref="H20:H21"/>
    <mergeCell ref="E12:E13"/>
    <mergeCell ref="I22:I25"/>
    <mergeCell ref="E10:E11"/>
    <mergeCell ref="E7:E8"/>
    <mergeCell ref="H7:H9"/>
    <mergeCell ref="H10:H13"/>
    <mergeCell ref="H14:H16"/>
    <mergeCell ref="I20:I21"/>
    <mergeCell ref="H18:H19"/>
    <mergeCell ref="I7:I9"/>
    <mergeCell ref="I10:I13"/>
    <mergeCell ref="I14:I16"/>
    <mergeCell ref="I18:I19"/>
  </mergeCells>
  <pageMargins left="0.28999999999999998" right="0.19" top="0.43" bottom="0.3" header="0.3" footer="0.18"/>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A13" zoomScaleNormal="100" workbookViewId="0">
      <selection activeCell="G27" sqref="G27:J27"/>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513</v>
      </c>
      <c r="B3" s="136"/>
      <c r="C3" s="136"/>
      <c r="D3" s="136"/>
      <c r="E3" s="136"/>
      <c r="F3" s="137" t="s">
        <v>514</v>
      </c>
      <c r="G3" s="137"/>
      <c r="H3" s="137"/>
      <c r="I3" s="137"/>
      <c r="J3" s="137"/>
    </row>
    <row r="4" spans="1:10" ht="21" customHeight="1" x14ac:dyDescent="0.25">
      <c r="A4" s="132" t="s">
        <v>515</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19.5" customHeight="1" x14ac:dyDescent="0.25">
      <c r="A7" s="70">
        <f>_xlfn.AGGREGATE(3,3,$C$7:C7)</f>
        <v>1</v>
      </c>
      <c r="B7" s="34" t="str">
        <f>Thuysan!O71</f>
        <v>Tôm sú thương phẩm</v>
      </c>
      <c r="C7" s="34" t="str">
        <f>Thuysan!P71</f>
        <v>83/0623/01</v>
      </c>
      <c r="D7" s="124" t="str">
        <f>Thuysan!Q71</f>
        <v>Ba Tri 83/01</v>
      </c>
      <c r="E7" s="124" t="str">
        <f>Thuysan!R71</f>
        <v>Nguyễn Văn Phong - Ấp 7, Xã An Thủy</v>
      </c>
      <c r="F7" s="34">
        <f>Thuysan!S71</f>
        <v>1</v>
      </c>
      <c r="G7" s="34" t="str">
        <f>Thuysan!T71</f>
        <v>Chloramphenicol</v>
      </c>
      <c r="H7" s="124" t="str">
        <f>Thuysan!U71</f>
        <v>20/06/2023</v>
      </c>
      <c r="I7" s="124" t="str">
        <f>Thuysan!V71</f>
        <v>Phạm Minh Thuận</v>
      </c>
      <c r="J7" s="34" t="str">
        <f>Thuysan!W71</f>
        <v>Ao 1</v>
      </c>
    </row>
    <row r="8" spans="1:10" ht="21" customHeight="1" x14ac:dyDescent="0.25">
      <c r="A8" s="70">
        <f>_xlfn.AGGREGATE(3,3,$C$7:C8)</f>
        <v>2</v>
      </c>
      <c r="B8" s="34" t="str">
        <f>Thuysan!O72</f>
        <v>Tôm chân trắng thương phẩm</v>
      </c>
      <c r="C8" s="34" t="str">
        <f>Thuysan!P72</f>
        <v>83/0623/02</v>
      </c>
      <c r="D8" s="126"/>
      <c r="E8" s="126"/>
      <c r="F8" s="34">
        <f>Thuysan!S72</f>
        <v>1</v>
      </c>
      <c r="G8" s="34" t="str">
        <f>Thuysan!T72</f>
        <v>Nhóm Quinolones</v>
      </c>
      <c r="H8" s="126"/>
      <c r="I8" s="126"/>
      <c r="J8" s="34" t="str">
        <f>Thuysan!W72</f>
        <v>Ao 2</v>
      </c>
    </row>
    <row r="9" spans="1:10" ht="31.5" customHeight="1" x14ac:dyDescent="0.25">
      <c r="A9" s="70">
        <f>_xlfn.AGGREGATE(3,3,$C$7:C9)</f>
        <v>3</v>
      </c>
      <c r="B9" s="34" t="str">
        <f>Thuysan!O73</f>
        <v>Tôm sú thương phẩm</v>
      </c>
      <c r="C9" s="34" t="str">
        <f>Thuysan!P73</f>
        <v>83/0623/03</v>
      </c>
      <c r="D9" s="124" t="str">
        <f>Thuysan!Q73</f>
        <v>Bình Đại 83/02</v>
      </c>
      <c r="E9" s="124" t="str">
        <f>Thuysan!R73</f>
        <v>Lê Minh Khách - Ấp Phước Hòa, Xã Thạnh Phước</v>
      </c>
      <c r="F9" s="34">
        <f>Thuysan!S73</f>
        <v>1</v>
      </c>
      <c r="G9" s="34" t="str">
        <f>Thuysan!T73</f>
        <v>Fosfomycin</v>
      </c>
      <c r="H9" s="124" t="str">
        <f>Thuysan!U73</f>
        <v>20/06/2023</v>
      </c>
      <c r="I9" s="124" t="str">
        <f>Thuysan!V73</f>
        <v>Cao Quang Nguyên</v>
      </c>
      <c r="J9" s="34" t="str">
        <f>Thuysan!W73</f>
        <v>Ao 1</v>
      </c>
    </row>
    <row r="10" spans="1:10" ht="38.25" customHeight="1" x14ac:dyDescent="0.25">
      <c r="A10" s="70">
        <f>_xlfn.AGGREGATE(3,3,$C$7:C10)</f>
        <v>4</v>
      </c>
      <c r="B10" s="34" t="str">
        <f>Thuysan!O74</f>
        <v>Tôm chân trắng thương phẩm</v>
      </c>
      <c r="C10" s="34" t="str">
        <f>Thuysan!P74</f>
        <v>83/0623/04</v>
      </c>
      <c r="D10" s="125"/>
      <c r="E10" s="126"/>
      <c r="F10" s="34">
        <f>Thuysan!S74</f>
        <v>1</v>
      </c>
      <c r="G10" s="34" t="str">
        <f>Thuysan!T74</f>
        <v>Nhóm Tetracyclines</v>
      </c>
      <c r="H10" s="125"/>
      <c r="I10" s="125"/>
      <c r="J10" s="34" t="str">
        <f>Thuysan!W74</f>
        <v>Ao 2</v>
      </c>
    </row>
    <row r="11" spans="1:10" ht="47.25" customHeight="1" x14ac:dyDescent="0.25">
      <c r="A11" s="70">
        <f>_xlfn.AGGREGATE(3,3,$C$7:C11)</f>
        <v>5</v>
      </c>
      <c r="B11" s="34" t="str">
        <f>Thuysan!O75</f>
        <v>Cá tra thương phẩm</v>
      </c>
      <c r="C11" s="34" t="str">
        <f>Thuysan!P75</f>
        <v>83/0623/05</v>
      </c>
      <c r="D11" s="125"/>
      <c r="E11" s="124" t="str">
        <f>Thuysan!R75</f>
        <v>Công ty CP Gò Đàng - Ấp 4, Xã Tam Hiệp</v>
      </c>
      <c r="F11" s="34">
        <f>Thuysan!S75</f>
        <v>1.5</v>
      </c>
      <c r="G11" s="34" t="str">
        <f>Thuysan!T75</f>
        <v>-</v>
      </c>
      <c r="H11" s="125"/>
      <c r="I11" s="125"/>
      <c r="J11" s="34" t="str">
        <f>Thuysan!W75</f>
        <v>Ao 3</v>
      </c>
    </row>
    <row r="12" spans="1:10" ht="31.5" customHeight="1" x14ac:dyDescent="0.25">
      <c r="A12" s="70">
        <f>_xlfn.AGGREGATE(3,3,$C$7:C12)</f>
        <v>6</v>
      </c>
      <c r="B12" s="34" t="str">
        <f>Thuysan!O76</f>
        <v>Cá tra thương phẩm</v>
      </c>
      <c r="C12" s="34" t="str">
        <f>Thuysan!P76</f>
        <v>83/0623/06</v>
      </c>
      <c r="D12" s="126"/>
      <c r="E12" s="126"/>
      <c r="F12" s="34">
        <f>Thuysan!S76</f>
        <v>1.5</v>
      </c>
      <c r="G12" s="34" t="str">
        <f>Thuysan!T76</f>
        <v>Florfenicol</v>
      </c>
      <c r="H12" s="126"/>
      <c r="I12" s="126"/>
      <c r="J12" s="34" t="str">
        <f>Thuysan!W76</f>
        <v>Ao 6</v>
      </c>
    </row>
    <row r="13" spans="1:10" ht="22.5" customHeight="1" x14ac:dyDescent="0.25">
      <c r="A13" s="70">
        <f>_xlfn.AGGREGATE(3,3,$C$7:C13)</f>
        <v>7</v>
      </c>
      <c r="B13" s="34" t="str">
        <f>Thuysan!O77</f>
        <v>Tôm sú thương phẩm</v>
      </c>
      <c r="C13" s="34" t="str">
        <f>Thuysan!P77</f>
        <v>83/0623/07</v>
      </c>
      <c r="D13" s="124" t="str">
        <f>Thuysan!Q77</f>
        <v>Thạnh Phú 83/03</v>
      </c>
      <c r="E13" s="124" t="str">
        <f>Thuysan!R77</f>
        <v>Cao Văn Tùng - Ấp An Hòa, Xã An Nhơn</v>
      </c>
      <c r="F13" s="34">
        <f>Thuysan!S77</f>
        <v>1</v>
      </c>
      <c r="G13" s="34" t="str">
        <f>Thuysan!T77</f>
        <v>Amoxicillin</v>
      </c>
      <c r="H13" s="124" t="str">
        <f>Thuysan!U77</f>
        <v>21/06/2023</v>
      </c>
      <c r="I13" s="124" t="str">
        <f>Thuysan!V77</f>
        <v>Cao Quang Nguyên</v>
      </c>
      <c r="J13" s="34" t="str">
        <f>Thuysan!W77</f>
        <v>Ao 1</v>
      </c>
    </row>
    <row r="14" spans="1:10" ht="31.5" x14ac:dyDescent="0.25">
      <c r="A14" s="70">
        <f>_xlfn.AGGREGATE(3,3,$C$7:C14)</f>
        <v>8</v>
      </c>
      <c r="B14" s="34" t="str">
        <f>Thuysan!O78</f>
        <v>Tôm sú thương phẩm</v>
      </c>
      <c r="C14" s="34" t="str">
        <f>Thuysan!P78</f>
        <v>83/0623/08</v>
      </c>
      <c r="D14" s="125"/>
      <c r="E14" s="126"/>
      <c r="F14" s="34">
        <f>Thuysan!S78</f>
        <v>1</v>
      </c>
      <c r="G14" s="34" t="str">
        <f>Thuysan!T78</f>
        <v>Trifluralin</v>
      </c>
      <c r="H14" s="125"/>
      <c r="I14" s="125"/>
      <c r="J14" s="34" t="str">
        <f>Thuysan!W78</f>
        <v>Ao 2</v>
      </c>
    </row>
    <row r="15" spans="1:10" ht="31.5" x14ac:dyDescent="0.25">
      <c r="A15" s="70">
        <f>_xlfn.AGGREGATE(3,3,$C$7:C15)</f>
        <v>9</v>
      </c>
      <c r="B15" s="34" t="str">
        <f>Thuysan!O79</f>
        <v>Tôm sú quảng canh</v>
      </c>
      <c r="C15" s="34" t="str">
        <f>Thuysan!P79</f>
        <v>83/0623/09</v>
      </c>
      <c r="D15" s="125"/>
      <c r="E15" s="34" t="str">
        <f>Thuysan!R79</f>
        <v>Lê Thị Kiều Oanh - Ấp Giao Hòa B, Xã Giao Thạnh</v>
      </c>
      <c r="F15" s="34">
        <f>Thuysan!S79</f>
        <v>1</v>
      </c>
      <c r="G15" s="34" t="str">
        <f>Thuysan!T79</f>
        <v>-</v>
      </c>
      <c r="H15" s="125"/>
      <c r="I15" s="125"/>
      <c r="J15" s="34" t="str">
        <f>Thuysan!W79</f>
        <v/>
      </c>
    </row>
    <row r="16" spans="1:10" ht="47.25" customHeight="1" x14ac:dyDescent="0.25">
      <c r="A16" s="70">
        <f>_xlfn.AGGREGATE(3,3,$C$7:C16)</f>
        <v>10</v>
      </c>
      <c r="B16" s="34" t="str">
        <f>Thuysan!O80</f>
        <v>Tôm chân trắng thương phẩm</v>
      </c>
      <c r="C16" s="34" t="str">
        <f>Thuysan!P80</f>
        <v>83/0623/10</v>
      </c>
      <c r="D16" s="126"/>
      <c r="E16" s="34" t="str">
        <f>Thuysan!R80</f>
        <v>Cao Văn Tùng - Ấp An Hòa, Xã An Nhơn</v>
      </c>
      <c r="F16" s="34">
        <f>Thuysan!S80</f>
        <v>1</v>
      </c>
      <c r="G16" s="34" t="str">
        <f>Thuysan!T80</f>
        <v>Nhóm Quinolones</v>
      </c>
      <c r="H16" s="126"/>
      <c r="I16" s="126"/>
      <c r="J16" s="34" t="str">
        <f>Thuysan!W80</f>
        <v>Ao 3</v>
      </c>
    </row>
    <row r="17" spans="1:10" ht="31.5" x14ac:dyDescent="0.25">
      <c r="A17" s="70">
        <f>_xlfn.AGGREGATE(3,3,$C$7:C17)</f>
        <v>11</v>
      </c>
      <c r="B17" s="34" t="str">
        <f>Thuysan!O81</f>
        <v>Cá tra thương phẩm</v>
      </c>
      <c r="C17" s="34" t="str">
        <f>Thuysan!P81</f>
        <v>83/0623/11</v>
      </c>
      <c r="D17" s="124" t="str">
        <f>Thuysan!Q81</f>
        <v>Mỏ Cày 83/04</v>
      </c>
      <c r="E17" s="124" t="str">
        <f>Thuysan!R81</f>
        <v>Công ty CP Gò Đàng - Ấp Tân Phong, Xã Thành Thới A</v>
      </c>
      <c r="F17" s="34">
        <f>Thuysan!S81</f>
        <v>1.5</v>
      </c>
      <c r="G17" s="34" t="str">
        <f>Thuysan!T81</f>
        <v>Nhóm Tetracyclines</v>
      </c>
      <c r="H17" s="124" t="str">
        <f>Thuysan!U81</f>
        <v>21/06/2023</v>
      </c>
      <c r="I17" s="124" t="str">
        <f>Thuysan!V81</f>
        <v>Phạm Minh Thuận</v>
      </c>
      <c r="J17" s="34" t="str">
        <f>Thuysan!W81</f>
        <v>Ao 13</v>
      </c>
    </row>
    <row r="18" spans="1:10" ht="31.5" x14ac:dyDescent="0.25">
      <c r="A18" s="70">
        <f>_xlfn.AGGREGATE(3,3,$C$7:C18)</f>
        <v>12</v>
      </c>
      <c r="B18" s="34" t="str">
        <f>Thuysan!O82</f>
        <v>Cá tra thương phẩm</v>
      </c>
      <c r="C18" s="34" t="str">
        <f>Thuysan!P82</f>
        <v>83/0623/12</v>
      </c>
      <c r="D18" s="126"/>
      <c r="E18" s="126"/>
      <c r="F18" s="34">
        <f>Thuysan!S82</f>
        <v>1.5</v>
      </c>
      <c r="G18" s="34" t="str">
        <f>Thuysan!T82</f>
        <v>Nhóm Sulfonamides</v>
      </c>
      <c r="H18" s="126"/>
      <c r="I18" s="126"/>
      <c r="J18" s="34" t="str">
        <f>Thuysan!W82</f>
        <v>Ao 6</v>
      </c>
    </row>
    <row r="19" spans="1:10" ht="19.5" customHeight="1" x14ac:dyDescent="0.25">
      <c r="A19" s="70">
        <f>_xlfn.AGGREGATE(3,3,$C$7:C19)</f>
        <v>13</v>
      </c>
      <c r="B19" s="34" t="str">
        <f>Thuysan!O83</f>
        <v>Cá tra thương phẩm</v>
      </c>
      <c r="C19" s="34" t="str">
        <f>Thuysan!P83</f>
        <v>83/0623/13</v>
      </c>
      <c r="D19" s="124" t="str">
        <f>Thuysan!Q83</f>
        <v>Châu Thành 83/05</v>
      </c>
      <c r="E19" s="124" t="str">
        <f>Thuysan!R83</f>
        <v>Công ty TNHH CBTPXK Vạn Đức Tiền Giang - Ấp Tiên Lợi, Xã Tiên Long</v>
      </c>
      <c r="F19" s="34">
        <f>Thuysan!S83</f>
        <v>1.5</v>
      </c>
      <c r="G19" s="34" t="str">
        <f>Thuysan!T83</f>
        <v>Nhóm Sulfonamides</v>
      </c>
      <c r="H19" s="124" t="str">
        <f>Thuysan!U83</f>
        <v>20/06/2023</v>
      </c>
      <c r="I19" s="124" t="str">
        <f>Thuysan!V83</f>
        <v>Phạm Văn Lâm</v>
      </c>
      <c r="J19" s="34" t="str">
        <f>Thuysan!W83</f>
        <v>Ao 2</v>
      </c>
    </row>
    <row r="20" spans="1:10" ht="31.5" x14ac:dyDescent="0.25">
      <c r="A20" s="70">
        <f>_xlfn.AGGREGATE(3,3,$C$7:C20)</f>
        <v>14</v>
      </c>
      <c r="B20" s="34" t="str">
        <f>Thuysan!O84</f>
        <v>Cá tra thương phẩm</v>
      </c>
      <c r="C20" s="34" t="str">
        <f>Thuysan!P84</f>
        <v>83/0623/14</v>
      </c>
      <c r="D20" s="126"/>
      <c r="E20" s="126"/>
      <c r="F20" s="34">
        <f>Thuysan!S84</f>
        <v>1.5</v>
      </c>
      <c r="G20" s="34" t="str">
        <f>Thuysan!T84</f>
        <v>Nhóm Quinolones</v>
      </c>
      <c r="H20" s="126"/>
      <c r="I20" s="126"/>
      <c r="J20" s="34" t="str">
        <f>Thuysan!W84</f>
        <v>Ao 5</v>
      </c>
    </row>
    <row r="21" spans="1:10" ht="19.5" customHeight="1" x14ac:dyDescent="0.25">
      <c r="A21" s="70">
        <f>_xlfn.AGGREGATE(3,3,$C$7:C21)</f>
        <v>15</v>
      </c>
      <c r="B21" s="34" t="str">
        <f>Thuysan!O85</f>
        <v>Cá tra thương phẩm</v>
      </c>
      <c r="C21" s="34" t="str">
        <f>Thuysan!P85</f>
        <v>83/0623/15</v>
      </c>
      <c r="D21" s="124" t="str">
        <f>Thuysan!Q85</f>
        <v>Giồng Trôm 83/06</v>
      </c>
      <c r="E21" s="124" t="str">
        <f>Thuysan!R85</f>
        <v>Công ty CP Gò Đàng - Ấp 1, Xã Hưng Phong</v>
      </c>
      <c r="F21" s="34">
        <f>Thuysan!S85</f>
        <v>1.5</v>
      </c>
      <c r="G21" s="34" t="str">
        <f>Thuysan!T85</f>
        <v>Trimethoprim</v>
      </c>
      <c r="H21" s="124" t="str">
        <f>Thuysan!U85</f>
        <v>22/06/2023</v>
      </c>
      <c r="I21" s="124" t="str">
        <f>Thuysan!V85</f>
        <v>Phạm Minh Thuận</v>
      </c>
      <c r="J21" s="34" t="str">
        <f>Thuysan!W85</f>
        <v>Ao B3</v>
      </c>
    </row>
    <row r="22" spans="1:10" ht="19.5" customHeight="1" x14ac:dyDescent="0.25">
      <c r="A22" s="70">
        <f>_xlfn.AGGREGATE(3,3,$C$7:C22)</f>
        <v>16</v>
      </c>
      <c r="B22" s="34" t="str">
        <f>Thuysan!O86</f>
        <v>Cá tra thương phẩm</v>
      </c>
      <c r="C22" s="34" t="str">
        <f>Thuysan!P86</f>
        <v>83/0623/16</v>
      </c>
      <c r="D22" s="126"/>
      <c r="E22" s="126"/>
      <c r="F22" s="34">
        <f>Thuysan!S86</f>
        <v>1.5</v>
      </c>
      <c r="G22" s="34" t="str">
        <f>Thuysan!T86</f>
        <v>Ormetoprim</v>
      </c>
      <c r="H22" s="126"/>
      <c r="I22" s="126"/>
      <c r="J22" s="34" t="str">
        <f>Thuysan!W86</f>
        <v>Ao B5</v>
      </c>
    </row>
    <row r="23" spans="1:10" ht="31.5" x14ac:dyDescent="0.25">
      <c r="A23" s="70">
        <f>_xlfn.AGGREGATE(3,3,$C$7:C23)</f>
        <v>17</v>
      </c>
      <c r="B23" s="34" t="str">
        <f>Thuysan!O87</f>
        <v>Cá tra thương phẩm</v>
      </c>
      <c r="C23" s="34" t="str">
        <f>Thuysan!P87</f>
        <v>83/0623/17</v>
      </c>
      <c r="D23" s="124" t="str">
        <f>Thuysan!Q87</f>
        <v>Chợ Lách 83/07</v>
      </c>
      <c r="E23" s="124" t="str">
        <f>Thuysan!R87</f>
        <v>Công ty CP Thủy sản Vinh Quang - Ấp Quân Bình, Xã Tân Thiềng</v>
      </c>
      <c r="F23" s="34">
        <f>Thuysan!S87</f>
        <v>1.5</v>
      </c>
      <c r="G23" s="34" t="str">
        <f>Thuysan!T87</f>
        <v>Nhóm Tetracyclines</v>
      </c>
      <c r="H23" s="124" t="str">
        <f>Thuysan!U87</f>
        <v>21/06/2023</v>
      </c>
      <c r="I23" s="124" t="str">
        <f>Thuysan!V87</f>
        <v>Phạm Văn Lâm</v>
      </c>
      <c r="J23" s="34" t="str">
        <f>Thuysan!W87</f>
        <v>Ao 2B</v>
      </c>
    </row>
    <row r="24" spans="1:10" ht="19.5" customHeight="1" x14ac:dyDescent="0.25">
      <c r="A24" s="70">
        <f>_xlfn.AGGREGATE(3,3,$C$7:C24)</f>
        <v>18</v>
      </c>
      <c r="B24" s="34" t="str">
        <f>Thuysan!O88</f>
        <v>Cá tra thương phẩm</v>
      </c>
      <c r="C24" s="34" t="str">
        <f>Thuysan!P88</f>
        <v>83/0623/18</v>
      </c>
      <c r="D24" s="125"/>
      <c r="E24" s="125"/>
      <c r="F24" s="34">
        <f>Thuysan!S88</f>
        <v>1.5</v>
      </c>
      <c r="G24" s="34" t="str">
        <f>Thuysan!T88</f>
        <v>Nhóm Sulfonamides</v>
      </c>
      <c r="H24" s="125"/>
      <c r="I24" s="125"/>
      <c r="J24" s="34" t="str">
        <f>Thuysan!W88</f>
        <v>Ao 2</v>
      </c>
    </row>
    <row r="25" spans="1:10" ht="19.5" customHeight="1" x14ac:dyDescent="0.25">
      <c r="A25" s="70">
        <f>_xlfn.AGGREGATE(3,3,$C$7:C25)</f>
        <v>19</v>
      </c>
      <c r="B25" s="34" t="str">
        <f>Thuysan!O89</f>
        <v>Cá tra thương phẩm</v>
      </c>
      <c r="C25" s="34" t="str">
        <f>Thuysan!P89</f>
        <v>83/0623/19</v>
      </c>
      <c r="D25" s="125"/>
      <c r="E25" s="126"/>
      <c r="F25" s="34">
        <f>Thuysan!S89</f>
        <v>1.5</v>
      </c>
      <c r="G25" s="34" t="str">
        <f>Thuysan!T89</f>
        <v>Ormetoprim</v>
      </c>
      <c r="H25" s="125"/>
      <c r="I25" s="125"/>
      <c r="J25" s="34" t="str">
        <f>Thuysan!W89</f>
        <v>Ao 5</v>
      </c>
    </row>
    <row r="26" spans="1:10" ht="47.25" customHeight="1" x14ac:dyDescent="0.25">
      <c r="A26" s="70">
        <f>_xlfn.AGGREGATE(3,3,$C$7:C26)</f>
        <v>20</v>
      </c>
      <c r="B26" s="34" t="str">
        <f>Thuysan!O90</f>
        <v>Cá tra thương phẩm</v>
      </c>
      <c r="C26" s="34" t="str">
        <f>Thuysan!P90</f>
        <v>83/0623/20</v>
      </c>
      <c r="D26" s="126"/>
      <c r="E26" s="34" t="str">
        <f>Thuysan!R90</f>
        <v>Công ty TNHH CBTPXK Vạn Đức Tiền Giang - Ấp Thiện Lương, Xã Tân Thiềng</v>
      </c>
      <c r="F26" s="34">
        <f>Thuysan!S90</f>
        <v>1.5</v>
      </c>
      <c r="G26" s="34" t="str">
        <f>Thuysan!T90</f>
        <v>Fosfomycin</v>
      </c>
      <c r="H26" s="126"/>
      <c r="I26" s="126"/>
      <c r="J26" s="34" t="str">
        <f>Thuysan!W90</f>
        <v>Ao 11</v>
      </c>
    </row>
    <row r="27" spans="1:10" ht="18.75" x14ac:dyDescent="0.25">
      <c r="G27" s="130" t="s">
        <v>523</v>
      </c>
      <c r="H27" s="130"/>
      <c r="I27" s="130"/>
      <c r="J27" s="130"/>
    </row>
    <row r="28" spans="1:10" ht="18.75" x14ac:dyDescent="0.25">
      <c r="G28" s="131" t="s">
        <v>398</v>
      </c>
      <c r="H28" s="131"/>
      <c r="I28" s="131"/>
      <c r="J28" s="131"/>
    </row>
    <row r="29" spans="1:10" ht="18.75" x14ac:dyDescent="0.25">
      <c r="G29" s="71"/>
      <c r="H29" s="71"/>
      <c r="I29" s="71"/>
      <c r="J29" s="71"/>
    </row>
    <row r="30" spans="1:10" ht="18.75" x14ac:dyDescent="0.25">
      <c r="G30" s="39"/>
      <c r="H30" s="39"/>
      <c r="I30" s="39"/>
      <c r="J30" s="71"/>
    </row>
    <row r="31" spans="1:10" ht="18.75" x14ac:dyDescent="0.25">
      <c r="G31" s="39"/>
      <c r="H31" s="39"/>
      <c r="I31" s="39"/>
      <c r="J31" s="71"/>
    </row>
    <row r="32" spans="1:10" ht="18.75" x14ac:dyDescent="0.3">
      <c r="G32" s="129" t="s">
        <v>364</v>
      </c>
      <c r="H32" s="129"/>
      <c r="I32" s="129"/>
      <c r="J32" s="129"/>
    </row>
    <row r="33" spans="2:9" ht="8.25" customHeight="1" x14ac:dyDescent="0.25"/>
    <row r="34" spans="2:9" s="38" customFormat="1" ht="18" customHeight="1" x14ac:dyDescent="0.25">
      <c r="B34" s="33"/>
      <c r="C34" s="33"/>
      <c r="D34" s="33"/>
      <c r="E34" s="33"/>
      <c r="F34" s="33"/>
      <c r="G34" s="33"/>
      <c r="H34" s="33"/>
      <c r="I34" s="33"/>
    </row>
  </sheetData>
  <mergeCells count="39">
    <mergeCell ref="E9:E10"/>
    <mergeCell ref="E7:E8"/>
    <mergeCell ref="E21:E22"/>
    <mergeCell ref="E19:E20"/>
    <mergeCell ref="E17:E18"/>
    <mergeCell ref="E13:E14"/>
    <mergeCell ref="E11:E12"/>
    <mergeCell ref="H13:H16"/>
    <mergeCell ref="H17:H18"/>
    <mergeCell ref="H19:H20"/>
    <mergeCell ref="H21:H22"/>
    <mergeCell ref="I7:I8"/>
    <mergeCell ref="I9:I12"/>
    <mergeCell ref="I13:I16"/>
    <mergeCell ref="I17:I18"/>
    <mergeCell ref="I19:I20"/>
    <mergeCell ref="G27:J27"/>
    <mergeCell ref="G28:J28"/>
    <mergeCell ref="G32:J32"/>
    <mergeCell ref="D7:D8"/>
    <mergeCell ref="D9:D12"/>
    <mergeCell ref="D13:D16"/>
    <mergeCell ref="D17:D18"/>
    <mergeCell ref="D19:D20"/>
    <mergeCell ref="D21:D22"/>
    <mergeCell ref="D23:D26"/>
    <mergeCell ref="H23:H26"/>
    <mergeCell ref="I23:I26"/>
    <mergeCell ref="E23:E25"/>
    <mergeCell ref="I21:I22"/>
    <mergeCell ref="H7:H8"/>
    <mergeCell ref="H9:H12"/>
    <mergeCell ref="A4:J4"/>
    <mergeCell ref="A1:E1"/>
    <mergeCell ref="F1:J1"/>
    <mergeCell ref="A2:E2"/>
    <mergeCell ref="F2:J2"/>
    <mergeCell ref="A3:E3"/>
    <mergeCell ref="F3:J3"/>
  </mergeCells>
  <pageMargins left="0.28999999999999998" right="0.19" top="0.43" bottom="0.3" header="0.3" footer="0.18"/>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opLeftCell="A7" zoomScaleNormal="100" workbookViewId="0">
      <selection activeCell="B7" sqref="B7"/>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498</v>
      </c>
      <c r="B3" s="136"/>
      <c r="C3" s="136"/>
      <c r="D3" s="136"/>
      <c r="E3" s="136"/>
      <c r="F3" s="137" t="s">
        <v>503</v>
      </c>
      <c r="G3" s="137"/>
      <c r="H3" s="137"/>
      <c r="I3" s="137"/>
      <c r="J3" s="137"/>
    </row>
    <row r="4" spans="1:10" ht="21" customHeight="1" x14ac:dyDescent="0.25">
      <c r="A4" s="132" t="s">
        <v>504</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19.5" customHeight="1" x14ac:dyDescent="0.25">
      <c r="A7" s="66">
        <f>_xlfn.AGGREGATE(3,3,$C$7:C7)</f>
        <v>1</v>
      </c>
      <c r="B7" s="34" t="str">
        <f>Thuysan!O52</f>
        <v>Tôm chân trắng thương phẩm</v>
      </c>
      <c r="C7" s="34" t="str">
        <f>Thuysan!P52</f>
        <v>83/0424/10</v>
      </c>
      <c r="D7" s="124" t="str">
        <f>Thuysan!Q52</f>
        <v>Thạnh Phú 83/03</v>
      </c>
      <c r="E7" s="124" t="str">
        <f>Thuysan!R52</f>
        <v>Phạm Văn Triều - Ấp 4, Xã Thạnh Phong</v>
      </c>
      <c r="F7" s="34">
        <f>Thuysan!S52</f>
        <v>1</v>
      </c>
      <c r="G7" s="34" t="str">
        <f>Thuysan!T52</f>
        <v>Pb, Hg, Cd</v>
      </c>
      <c r="H7" s="124" t="str">
        <f>Thuysan!U52</f>
        <v>10/04/2024</v>
      </c>
      <c r="I7" s="124" t="str">
        <f>Thuysan!V52</f>
        <v>Cao Quang Nguyên</v>
      </c>
      <c r="J7" s="34" t="str">
        <f>Thuysan!W52</f>
        <v>Ao 2</v>
      </c>
    </row>
    <row r="8" spans="1:10" ht="21" customHeight="1" x14ac:dyDescent="0.25">
      <c r="A8" s="66">
        <f>_xlfn.AGGREGATE(3,3,$C$7:C8)</f>
        <v>2</v>
      </c>
      <c r="B8" s="34" t="str">
        <f>Thuysan!O53</f>
        <v>Cá tra thương phẩm</v>
      </c>
      <c r="C8" s="34" t="str">
        <f>Thuysan!P53</f>
        <v>83/0424/11</v>
      </c>
      <c r="D8" s="125"/>
      <c r="E8" s="125"/>
      <c r="F8" s="34">
        <f>Thuysan!S53</f>
        <v>1.5</v>
      </c>
      <c r="G8" s="34" t="str">
        <f>Thuysan!T53</f>
        <v>Pb, Hg, Cd</v>
      </c>
      <c r="H8" s="125"/>
      <c r="I8" s="125"/>
      <c r="J8" s="34" t="str">
        <f>Thuysan!W53</f>
        <v>Ao 4</v>
      </c>
    </row>
    <row r="9" spans="1:10" ht="31.5" customHeight="1" x14ac:dyDescent="0.25">
      <c r="A9" s="66">
        <f>_xlfn.AGGREGATE(3,3,$C$7:C9)</f>
        <v>3</v>
      </c>
      <c r="B9" s="34" t="str">
        <f>Thuysan!O54</f>
        <v>Cá tra thương phẩm</v>
      </c>
      <c r="C9" s="34" t="str">
        <f>Thuysan!P54</f>
        <v>83/0424/12</v>
      </c>
      <c r="D9" s="126"/>
      <c r="E9" s="126"/>
      <c r="F9" s="34">
        <f>Thuysan!S54</f>
        <v>1.5</v>
      </c>
      <c r="G9" s="34" t="str">
        <f>Thuysan!T54</f>
        <v>Thuốc trừ sâu gốc Chlor hữu cơ; phospho hữu cơ; cúc tổng hợp…</v>
      </c>
      <c r="H9" s="126"/>
      <c r="I9" s="126"/>
      <c r="J9" s="34" t="str">
        <f>Thuysan!W54</f>
        <v>Ao 3</v>
      </c>
    </row>
    <row r="10" spans="1:10" ht="38.25" customHeight="1" x14ac:dyDescent="0.25">
      <c r="A10" s="66">
        <f>_xlfn.AGGREGATE(3,3,$C$7:C10)</f>
        <v>4</v>
      </c>
      <c r="B10" s="34" t="str">
        <f>Thuysan!O55</f>
        <v>Cá tra thương phẩm</v>
      </c>
      <c r="C10" s="34" t="str">
        <f>Thuysan!P55</f>
        <v>83/0424/13</v>
      </c>
      <c r="D10" s="124" t="str">
        <f>Thuysan!Q55</f>
        <v>Châu Thành 83/05</v>
      </c>
      <c r="E10" s="34" t="str">
        <f>Thuysan!R55</f>
        <v>Công ty CP XNK Thủy sản Bến Tre (DL 22) - Ấp Phú Tân, Xã Phú Túc</v>
      </c>
      <c r="F10" s="34">
        <f>Thuysan!S55</f>
        <v>1.5</v>
      </c>
      <c r="G10" s="34" t="str">
        <f>Thuysan!T55</f>
        <v>Trimethoprim</v>
      </c>
      <c r="H10" s="124" t="str">
        <f>Thuysan!U55</f>
        <v>09/04/2024</v>
      </c>
      <c r="I10" s="124" t="str">
        <f>Thuysan!V55</f>
        <v>Nguyễn Duy Khanh</v>
      </c>
      <c r="J10" s="34" t="str">
        <f>Thuysan!W55</f>
        <v>Ao A4</v>
      </c>
    </row>
    <row r="11" spans="1:10" ht="47.25" x14ac:dyDescent="0.25">
      <c r="A11" s="66">
        <f>_xlfn.AGGREGATE(3,3,$C$7:C11)</f>
        <v>5</v>
      </c>
      <c r="B11" s="34" t="str">
        <f>Thuysan!O56</f>
        <v>Cá tra thương phẩm</v>
      </c>
      <c r="C11" s="34" t="str">
        <f>Thuysan!P56</f>
        <v>83/0424/14</v>
      </c>
      <c r="D11" s="125"/>
      <c r="E11" s="34" t="str">
        <f>Thuysan!R56</f>
        <v>Công ty CP XNK Thủy sản Bến Tre (DL 22) - Ấp Phú Tân, Xã Phú Túc</v>
      </c>
      <c r="F11" s="34">
        <f>Thuysan!S56</f>
        <v>1.5</v>
      </c>
      <c r="G11" s="34" t="str">
        <f>Thuysan!T56</f>
        <v>Pb, Hg, Cd</v>
      </c>
      <c r="H11" s="125"/>
      <c r="I11" s="125"/>
      <c r="J11" s="34" t="str">
        <f>Thuysan!W56</f>
        <v>Ao B4</v>
      </c>
    </row>
    <row r="12" spans="1:10" ht="31.5" customHeight="1" x14ac:dyDescent="0.25">
      <c r="A12" s="66">
        <f>_xlfn.AGGREGATE(3,3,$C$7:C12)</f>
        <v>6</v>
      </c>
      <c r="B12" s="34" t="str">
        <f>Thuysan!O57</f>
        <v>Cá tra thương phẩm</v>
      </c>
      <c r="C12" s="34" t="str">
        <f>Thuysan!P57</f>
        <v>83/0424/15</v>
      </c>
      <c r="D12" s="125"/>
      <c r="E12" s="34" t="str">
        <f>Thuysan!R57</f>
        <v>Công ty CP XNK Thủy sản Bến Tre (DL 22) - Ấp Phú Tân, Xã Phú Túc</v>
      </c>
      <c r="F12" s="34">
        <f>Thuysan!S57</f>
        <v>1.5</v>
      </c>
      <c r="G12" s="34" t="str">
        <f>Thuysan!T57</f>
        <v>Thuốc trừ sâu gốc Chlor hữu cơ; phospho hữu cơ; cúc tổng hợp…</v>
      </c>
      <c r="H12" s="125"/>
      <c r="I12" s="125"/>
      <c r="J12" s="34" t="str">
        <f>Thuysan!W57</f>
        <v>Ao B6</v>
      </c>
    </row>
    <row r="13" spans="1:10" ht="22.5" customHeight="1" x14ac:dyDescent="0.25">
      <c r="A13" s="66">
        <f>_xlfn.AGGREGATE(3,3,$C$7:C13)</f>
        <v>7</v>
      </c>
      <c r="B13" s="34" t="str">
        <f>Thuysan!O58</f>
        <v>Cá tra thương phẩm</v>
      </c>
      <c r="C13" s="34" t="str">
        <f>Thuysan!P58</f>
        <v>83/0424/16</v>
      </c>
      <c r="D13" s="125"/>
      <c r="E13" s="124" t="str">
        <f>Thuysan!R58</f>
        <v xml:space="preserve">Không có mẫu - , </v>
      </c>
      <c r="F13" s="34">
        <f>Thuysan!S58</f>
        <v>1.5</v>
      </c>
      <c r="G13" s="34" t="str">
        <f>Thuysan!T58</f>
        <v>Nhóm Tetracyclines</v>
      </c>
      <c r="H13" s="125"/>
      <c r="I13" s="125"/>
      <c r="J13" s="34" t="str">
        <f>Thuysan!W58</f>
        <v/>
      </c>
    </row>
    <row r="14" spans="1:10" ht="51.75" customHeight="1" x14ac:dyDescent="0.25">
      <c r="A14" s="66">
        <f>_xlfn.AGGREGATE(3,3,$C$7:C14)</f>
        <v>8</v>
      </c>
      <c r="B14" s="34" t="str">
        <f>Thuysan!O59</f>
        <v>Cá tra thương phẩm</v>
      </c>
      <c r="C14" s="34" t="str">
        <f>Thuysan!P59</f>
        <v>83/0424/17</v>
      </c>
      <c r="D14" s="126"/>
      <c r="E14" s="126"/>
      <c r="F14" s="34">
        <f>Thuysan!S59</f>
        <v>1.5</v>
      </c>
      <c r="G14" s="34" t="str">
        <f>Thuysan!T59</f>
        <v>Florfenicol</v>
      </c>
      <c r="H14" s="126"/>
      <c r="I14" s="126"/>
      <c r="J14" s="34" t="str">
        <f>Thuysan!W59</f>
        <v/>
      </c>
    </row>
    <row r="15" spans="1:10" ht="19.5" customHeight="1" x14ac:dyDescent="0.25">
      <c r="A15" s="66">
        <f>_xlfn.AGGREGATE(3,3,$C$7:C15)</f>
        <v>9</v>
      </c>
      <c r="B15" s="34" t="str">
        <f>Thuysan!O60</f>
        <v>Cá tra thương phẩm</v>
      </c>
      <c r="C15" s="34" t="str">
        <f>Thuysan!P60</f>
        <v>83/0424/18</v>
      </c>
      <c r="D15" s="124" t="str">
        <f>Thuysan!Q60</f>
        <v>Giồng Trôm 83/06</v>
      </c>
      <c r="E15" s="124" t="str">
        <f>Thuysan!R60</f>
        <v xml:space="preserve">Không có mẫu - , </v>
      </c>
      <c r="F15" s="34">
        <f>Thuysan!S60</f>
        <v>1.5</v>
      </c>
      <c r="G15" s="34" t="str">
        <f>Thuysan!T60</f>
        <v>Pb, Hg, Cd</v>
      </c>
      <c r="H15" s="124">
        <f>Thuysan!U60</f>
        <v>0</v>
      </c>
      <c r="I15" s="124" t="str">
        <f>Thuysan!V60</f>
        <v>-</v>
      </c>
      <c r="J15" s="34" t="str">
        <f>Thuysan!W60</f>
        <v/>
      </c>
    </row>
    <row r="16" spans="1:10" ht="31.5" x14ac:dyDescent="0.25">
      <c r="A16" s="66">
        <f>_xlfn.AGGREGATE(3,3,$C$7:C16)</f>
        <v>10</v>
      </c>
      <c r="B16" s="34" t="str">
        <f>Thuysan!O61</f>
        <v>Cá tra thương phẩm</v>
      </c>
      <c r="C16" s="34" t="str">
        <f>Thuysan!P61</f>
        <v>83/0424/19</v>
      </c>
      <c r="D16" s="126"/>
      <c r="E16" s="126"/>
      <c r="F16" s="34">
        <f>Thuysan!S61</f>
        <v>1.5</v>
      </c>
      <c r="G16" s="34" t="str">
        <f>Thuysan!T61</f>
        <v>Nhóm Nitroimidazoles</v>
      </c>
      <c r="H16" s="126"/>
      <c r="I16" s="126"/>
      <c r="J16" s="34" t="str">
        <f>Thuysan!W61</f>
        <v>Ao 1</v>
      </c>
    </row>
    <row r="17" spans="1:10" ht="63" x14ac:dyDescent="0.25">
      <c r="A17" s="66">
        <f>_xlfn.AGGREGATE(3,3,$C$7:C17)</f>
        <v>11</v>
      </c>
      <c r="B17" s="34" t="str">
        <f>Thuysan!O62</f>
        <v>Cá tra thương phẩm</v>
      </c>
      <c r="C17" s="34" t="str">
        <f>Thuysan!P62</f>
        <v>83/0424/20</v>
      </c>
      <c r="D17" s="34" t="str">
        <f>Thuysan!Q62</f>
        <v>Chợ Lách 83/07</v>
      </c>
      <c r="E17" s="34" t="str">
        <f>Thuysan!R62</f>
        <v>Công ty TNHH CBTPXK Vạn Đức Tiền Giang - Vùng nuôi Hòa Nghĩa, ấp Bình An, Xã Hòa Nghĩa</v>
      </c>
      <c r="F17" s="34">
        <f>Thuysan!S62</f>
        <v>1.5</v>
      </c>
      <c r="G17" s="34" t="str">
        <f>Thuysan!T62</f>
        <v>Ormetoprim</v>
      </c>
      <c r="H17" s="34" t="str">
        <f>Thuysan!U62</f>
        <v>10/04/2024</v>
      </c>
      <c r="I17" s="34" t="str">
        <f>Thuysan!V62</f>
        <v>Nguyễn Duy Khanh</v>
      </c>
      <c r="J17" s="34" t="str">
        <f>Thuysan!W62</f>
        <v>Ao 5</v>
      </c>
    </row>
    <row r="18" spans="1:10" ht="31.5" x14ac:dyDescent="0.25">
      <c r="A18" s="66">
        <f>_xlfn.AGGREGATE(3,3,$C$7:C18)</f>
        <v>12</v>
      </c>
      <c r="B18" s="34" t="str">
        <f>Thuysan!O63</f>
        <v>Cá tra thương phẩm</v>
      </c>
      <c r="C18" s="34" t="str">
        <f>Thuysan!P63</f>
        <v>83/0424/21</v>
      </c>
      <c r="D18" s="124" t="str">
        <f>Thuysan!Q63</f>
        <v>Chợ Lách 83/07</v>
      </c>
      <c r="E18" s="124" t="str">
        <f>Thuysan!R63</f>
        <v>Công ty TNHH CBTPXK Vạn Đức Tiền Giang - Vùng nuôi Cồn Sơn, ấp Thanh Yên, Xã Tân Thiềng</v>
      </c>
      <c r="F18" s="34">
        <f>Thuysan!S63</f>
        <v>1.5</v>
      </c>
      <c r="G18" s="34" t="str">
        <f>Thuysan!T63</f>
        <v>Nhóm Tetracyclines</v>
      </c>
      <c r="H18" s="124" t="str">
        <f>Thuysan!U63</f>
        <v>10/04/2024</v>
      </c>
      <c r="I18" s="124" t="str">
        <f>Thuysan!V63</f>
        <v>Nguyễn Duy Khanh</v>
      </c>
      <c r="J18" s="34" t="str">
        <f>Thuysan!W63</f>
        <v>Ao 1</v>
      </c>
    </row>
    <row r="19" spans="1:10" ht="19.5" customHeight="1" x14ac:dyDescent="0.25">
      <c r="A19" s="66">
        <f>_xlfn.AGGREGATE(3,3,$C$7:C19)</f>
        <v>13</v>
      </c>
      <c r="B19" s="34" t="str">
        <f>Thuysan!O64</f>
        <v>Cá tra thương phẩm</v>
      </c>
      <c r="C19" s="34" t="str">
        <f>Thuysan!P64</f>
        <v>83/0424/22</v>
      </c>
      <c r="D19" s="126"/>
      <c r="E19" s="126"/>
      <c r="F19" s="34">
        <f>Thuysan!S64</f>
        <v>1.5</v>
      </c>
      <c r="G19" s="34" t="str">
        <f>Thuysan!T64</f>
        <v>Pb, Hg, Cd</v>
      </c>
      <c r="H19" s="126"/>
      <c r="I19" s="126"/>
      <c r="J19" s="34" t="str">
        <f>Thuysan!W64</f>
        <v>Ao 4</v>
      </c>
    </row>
    <row r="20" spans="1:10" ht="19.5" customHeight="1" x14ac:dyDescent="0.25">
      <c r="A20" s="66">
        <f>_xlfn.AGGREGATE(3,3,$C$7:C20)</f>
        <v>14</v>
      </c>
      <c r="B20" s="34" t="str">
        <f>Thuysan!O65</f>
        <v>Cá tra thương phẩm</v>
      </c>
      <c r="C20" s="34" t="str">
        <f>Thuysan!P65</f>
        <v>83/0424/23</v>
      </c>
      <c r="D20" s="124" t="str">
        <f>Thuysan!Q65</f>
        <v>Chợ Lách 83/07</v>
      </c>
      <c r="E20" s="124" t="str">
        <f>Thuysan!R65</f>
        <v>Công ty TNHH CBTPXK Vạn Đức Tiền Giang - Vùng nuôi Cồn Sơn, ấp Thanh Yên, Xã Tân Thiềng</v>
      </c>
      <c r="F20" s="34">
        <f>Thuysan!S65</f>
        <v>1.5</v>
      </c>
      <c r="G20" s="34" t="str">
        <f>Thuysan!T65</f>
        <v>Thuốc trừ sâu gốc Chlor hữu cơ; phospho hữu cơ; cúc tổng hợp…</v>
      </c>
      <c r="H20" s="124" t="str">
        <f>Thuysan!U65</f>
        <v>10/04/2024</v>
      </c>
      <c r="I20" s="124" t="str">
        <f>Thuysan!V65</f>
        <v>Nguyễn Duy Khanh</v>
      </c>
      <c r="J20" s="34" t="str">
        <f>Thuysan!W65</f>
        <v>Ao 7</v>
      </c>
    </row>
    <row r="21" spans="1:10" ht="19.5" customHeight="1" x14ac:dyDescent="0.25">
      <c r="A21" s="66">
        <f>_xlfn.AGGREGATE(3,3,$C$7:C21)</f>
        <v>15</v>
      </c>
      <c r="B21" s="34" t="str">
        <f>Thuysan!O66</f>
        <v>Cá tra thương phẩm</v>
      </c>
      <c r="C21" s="34" t="str">
        <f>Thuysan!P66</f>
        <v>83/0523/15</v>
      </c>
      <c r="D21" s="126"/>
      <c r="E21" s="126"/>
      <c r="F21" s="34">
        <f>Thuysan!S66</f>
        <v>1.5</v>
      </c>
      <c r="G21" s="34" t="str">
        <f>Thuysan!T66</f>
        <v>Nhóm Sulfonamides</v>
      </c>
      <c r="H21" s="126"/>
      <c r="I21" s="126"/>
      <c r="J21" s="34" t="str">
        <f>Thuysan!W66</f>
        <v>Ao D4</v>
      </c>
    </row>
    <row r="22" spans="1:10" ht="19.5" customHeight="1" x14ac:dyDescent="0.25">
      <c r="A22" s="66">
        <f>_xlfn.AGGREGATE(3,3,$C$7:C22)</f>
        <v>16</v>
      </c>
      <c r="B22" s="34" t="str">
        <f>Thuysan!O67</f>
        <v>Cá tra thương phẩm</v>
      </c>
      <c r="C22" s="34" t="str">
        <f>Thuysan!P67</f>
        <v>83/0523/16</v>
      </c>
      <c r="D22" s="124" t="str">
        <f>Thuysan!Q67</f>
        <v>Chợ Lách 83/07</v>
      </c>
      <c r="E22" s="124" t="str">
        <f>Thuysan!R67</f>
        <v>Công ty CP Vĩnh Hoàn - Ấp Phú Bình, Xã Vĩnh Bình</v>
      </c>
      <c r="F22" s="34">
        <f>Thuysan!S67</f>
        <v>1.5</v>
      </c>
      <c r="G22" s="34" t="str">
        <f>Thuysan!T67</f>
        <v>Nhóm Sulfonamides</v>
      </c>
      <c r="H22" s="124" t="str">
        <f>Thuysan!U67</f>
        <v>24/05/2023</v>
      </c>
      <c r="I22" s="124" t="str">
        <f>Thuysan!V67</f>
        <v>Phạm Văn Lâm</v>
      </c>
      <c r="J22" s="34" t="str">
        <f>Thuysan!W67</f>
        <v>Ao 9</v>
      </c>
    </row>
    <row r="23" spans="1:10" ht="19.5" customHeight="1" x14ac:dyDescent="0.25">
      <c r="A23" s="66">
        <f>_xlfn.AGGREGATE(3,3,$C$7:C23)</f>
        <v>17</v>
      </c>
      <c r="B23" s="34" t="str">
        <f>Thuysan!O68</f>
        <v>Cá tra thương phẩm</v>
      </c>
      <c r="C23" s="34" t="str">
        <f>Thuysan!P68</f>
        <v>83/0523/17</v>
      </c>
      <c r="D23" s="125"/>
      <c r="E23" s="125"/>
      <c r="F23" s="34">
        <f>Thuysan!S68</f>
        <v>1.5</v>
      </c>
      <c r="G23" s="34" t="str">
        <f>Thuysan!T68</f>
        <v>Nhóm Quinolones</v>
      </c>
      <c r="H23" s="125"/>
      <c r="I23" s="125"/>
      <c r="J23" s="34" t="str">
        <f>Thuysan!W68</f>
        <v>Ao 7</v>
      </c>
    </row>
    <row r="24" spans="1:10" ht="19.5" customHeight="1" x14ac:dyDescent="0.25">
      <c r="A24" s="66">
        <f>_xlfn.AGGREGATE(3,3,$C$7:C24)</f>
        <v>18</v>
      </c>
      <c r="B24" s="34" t="str">
        <f>Thuysan!O69</f>
        <v>Cá tra thương phẩm</v>
      </c>
      <c r="C24" s="34" t="str">
        <f>Thuysan!P69</f>
        <v>83/0523/18</v>
      </c>
      <c r="D24" s="125"/>
      <c r="E24" s="125"/>
      <c r="F24" s="34">
        <f>Thuysan!S69</f>
        <v>1.5</v>
      </c>
      <c r="G24" s="34" t="str">
        <f>Thuysan!T69</f>
        <v>Florfenicol</v>
      </c>
      <c r="H24" s="125"/>
      <c r="I24" s="125"/>
      <c r="J24" s="34" t="str">
        <f>Thuysan!W69</f>
        <v>Ao 8</v>
      </c>
    </row>
    <row r="25" spans="1:10" ht="31.5" x14ac:dyDescent="0.25">
      <c r="A25" s="66">
        <f>_xlfn.AGGREGATE(3,3,$C$7:C25)</f>
        <v>19</v>
      </c>
      <c r="B25" s="34" t="str">
        <f>Thuysan!O70</f>
        <v>Cá tra thương phẩm</v>
      </c>
      <c r="C25" s="34" t="str">
        <f>Thuysan!P70</f>
        <v>83/0523/19</v>
      </c>
      <c r="D25" s="126"/>
      <c r="E25" s="126"/>
      <c r="F25" s="34">
        <f>Thuysan!S70</f>
        <v>1.5</v>
      </c>
      <c r="G25" s="34" t="str">
        <f>Thuysan!T70</f>
        <v>Trimethoprim</v>
      </c>
      <c r="H25" s="126"/>
      <c r="I25" s="126"/>
      <c r="J25" s="34" t="str">
        <f>Thuysan!W70</f>
        <v>Ao 19</v>
      </c>
    </row>
    <row r="26" spans="1:10" ht="18.75" x14ac:dyDescent="0.25">
      <c r="G26" s="130" t="s">
        <v>505</v>
      </c>
      <c r="H26" s="130"/>
      <c r="I26" s="130"/>
      <c r="J26" s="130"/>
    </row>
    <row r="27" spans="1:10" ht="18.75" x14ac:dyDescent="0.25">
      <c r="G27" s="131" t="s">
        <v>398</v>
      </c>
      <c r="H27" s="131"/>
      <c r="I27" s="131"/>
      <c r="J27" s="131"/>
    </row>
    <row r="28" spans="1:10" ht="18.75" x14ac:dyDescent="0.25">
      <c r="G28" s="67"/>
      <c r="H28" s="67"/>
      <c r="I28" s="67"/>
      <c r="J28" s="67"/>
    </row>
    <row r="29" spans="1:10" ht="18.75" x14ac:dyDescent="0.25">
      <c r="G29" s="39"/>
      <c r="H29" s="39"/>
      <c r="I29" s="39"/>
      <c r="J29" s="67"/>
    </row>
    <row r="30" spans="1:10" ht="18.75" x14ac:dyDescent="0.25">
      <c r="G30" s="39"/>
      <c r="H30" s="39"/>
      <c r="I30" s="39"/>
      <c r="J30" s="67"/>
    </row>
    <row r="31" spans="1:10" ht="18.75" x14ac:dyDescent="0.3">
      <c r="G31" s="129" t="s">
        <v>364</v>
      </c>
      <c r="H31" s="129"/>
      <c r="I31" s="129"/>
      <c r="J31" s="129"/>
    </row>
    <row r="32" spans="1:10" ht="8.25" customHeight="1" x14ac:dyDescent="0.25"/>
    <row r="33" ht="18" customHeight="1" x14ac:dyDescent="0.25"/>
  </sheetData>
  <mergeCells count="34">
    <mergeCell ref="H7:H9"/>
    <mergeCell ref="H10:H14"/>
    <mergeCell ref="I10:I14"/>
    <mergeCell ref="H15:H16"/>
    <mergeCell ref="I15:I16"/>
    <mergeCell ref="H22:H25"/>
    <mergeCell ref="I22:I25"/>
    <mergeCell ref="G31:J31"/>
    <mergeCell ref="D7:D9"/>
    <mergeCell ref="E7:E9"/>
    <mergeCell ref="D10:D14"/>
    <mergeCell ref="D15:D16"/>
    <mergeCell ref="D22:D25"/>
    <mergeCell ref="E22:E25"/>
    <mergeCell ref="E15:E16"/>
    <mergeCell ref="E13:E14"/>
    <mergeCell ref="I7:I9"/>
    <mergeCell ref="G26:J26"/>
    <mergeCell ref="G27:J27"/>
    <mergeCell ref="D20:D21"/>
    <mergeCell ref="E20:E21"/>
    <mergeCell ref="H20:H21"/>
    <mergeCell ref="I20:I21"/>
    <mergeCell ref="D18:D19"/>
    <mergeCell ref="E18:E19"/>
    <mergeCell ref="H18:H19"/>
    <mergeCell ref="I18:I19"/>
    <mergeCell ref="A4:J4"/>
    <mergeCell ref="A1:E1"/>
    <mergeCell ref="F1:J1"/>
    <mergeCell ref="A2:E2"/>
    <mergeCell ref="F2:J2"/>
    <mergeCell ref="A3:E3"/>
    <mergeCell ref="F3:J3"/>
  </mergeCells>
  <pageMargins left="0.28999999999999998" right="0.19" top="0.43" bottom="0.3" header="0.3" footer="0.18"/>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abSelected="1" zoomScaleNormal="100" workbookViewId="0">
      <selection activeCell="K27" sqref="K27"/>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490</v>
      </c>
      <c r="B3" s="136"/>
      <c r="C3" s="136"/>
      <c r="D3" s="136"/>
      <c r="E3" s="136"/>
      <c r="F3" s="137" t="s">
        <v>678</v>
      </c>
      <c r="G3" s="137"/>
      <c r="H3" s="137"/>
      <c r="I3" s="137"/>
      <c r="J3" s="137"/>
    </row>
    <row r="4" spans="1:10" ht="21" customHeight="1" x14ac:dyDescent="0.25">
      <c r="A4" s="132" t="s">
        <v>672</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29.25" customHeight="1" x14ac:dyDescent="0.25">
      <c r="A7" s="62">
        <f>_xlfn.AGGREGATE(3,3,$C$7:C7)</f>
        <v>1</v>
      </c>
      <c r="B7" s="34" t="str">
        <f>Thuysan!O43</f>
        <v>Tôm sú thương phẩm</v>
      </c>
      <c r="C7" s="34" t="str">
        <f>Thuysan!P43</f>
        <v>83/0424/01</v>
      </c>
      <c r="D7" s="124" t="str">
        <f>Thuysan!Q43</f>
        <v>Ba Tri 83/01</v>
      </c>
      <c r="E7" s="34" t="str">
        <f>Thuysan!R43</f>
        <v>Nguyễn Văn Út - Ấp 7, Thị Trấn Tiệm Tôm</v>
      </c>
      <c r="F7" s="34">
        <f>Thuysan!S43</f>
        <v>1</v>
      </c>
      <c r="G7" s="34" t="str">
        <f>Thuysan!T43</f>
        <v>Nitrofurans</v>
      </c>
      <c r="H7" s="124" t="str">
        <f>Thuysan!U43</f>
        <v>09/04/2024</v>
      </c>
      <c r="I7" s="124" t="str">
        <f>Thuysan!V43</f>
        <v>Phạm Minh Thuận</v>
      </c>
      <c r="J7" s="34" t="str">
        <f>Thuysan!W43</f>
        <v>Ao 1</v>
      </c>
    </row>
    <row r="8" spans="1:10" ht="31.5" x14ac:dyDescent="0.25">
      <c r="A8" s="62">
        <f>_xlfn.AGGREGATE(3,3,$C$7:C8)</f>
        <v>2</v>
      </c>
      <c r="B8" s="34" t="str">
        <f>Thuysan!O44</f>
        <v>Tôm chân trắng nhỏ</v>
      </c>
      <c r="C8" s="34" t="str">
        <f>Thuysan!P44</f>
        <v>83/0424/02</v>
      </c>
      <c r="D8" s="125"/>
      <c r="E8" s="34" t="str">
        <f>Thuysan!R44</f>
        <v>Phạm Văn Tư - Ấp 8, Thị Trấn Tiệm Tôm</v>
      </c>
      <c r="F8" s="34">
        <f>Thuysan!S44</f>
        <v>0.5</v>
      </c>
      <c r="G8" s="34" t="str">
        <f>Thuysan!T44</f>
        <v>Nitrofurans</v>
      </c>
      <c r="H8" s="125"/>
      <c r="I8" s="125"/>
      <c r="J8" s="34" t="str">
        <f>Thuysan!W44</f>
        <v>Ao 2</v>
      </c>
    </row>
    <row r="9" spans="1:10" ht="29.25" customHeight="1" x14ac:dyDescent="0.25">
      <c r="A9" s="62">
        <f>_xlfn.AGGREGATE(3,3,$C$7:C9)</f>
        <v>3</v>
      </c>
      <c r="B9" s="34" t="str">
        <f>Thuysan!O45</f>
        <v>Cá chẽm thương phẩm</v>
      </c>
      <c r="C9" s="34" t="str">
        <f>Thuysan!P45</f>
        <v>83/0424/03</v>
      </c>
      <c r="D9" s="126"/>
      <c r="E9" s="34" t="str">
        <f>Thuysan!R45</f>
        <v>Công ty TNHH Thực Phẩm Vạn Đức  - Ấp 6, Xã Bảo Thạnh</v>
      </c>
      <c r="F9" s="34">
        <f>Thuysan!S45</f>
        <v>0</v>
      </c>
      <c r="G9" s="34" t="str">
        <f>Thuysan!T45</f>
        <v xml:space="preserve"> Crystal Violet, Leuco Crystal Violet</v>
      </c>
      <c r="H9" s="126"/>
      <c r="I9" s="126"/>
      <c r="J9" s="34" t="str">
        <f>Thuysan!W45</f>
        <v>Ao A10</v>
      </c>
    </row>
    <row r="10" spans="1:10" ht="31.5" x14ac:dyDescent="0.25">
      <c r="A10" s="62">
        <f>_xlfn.AGGREGATE(3,3,$C$7:C10)</f>
        <v>4</v>
      </c>
      <c r="B10" s="34" t="str">
        <f>Thuysan!O46</f>
        <v>Tôm sú thương phẩm</v>
      </c>
      <c r="C10" s="34" t="str">
        <f>Thuysan!P46</f>
        <v>83/0424/04</v>
      </c>
      <c r="D10" s="124" t="str">
        <f>Thuysan!Q46</f>
        <v>Bình Đại 83/02</v>
      </c>
      <c r="E10" s="124" t="str">
        <f>Thuysan!R46</f>
        <v>Nguyễn Văn Mười - Ấp Bình Thạnh 3, Xã Thạnh Trị</v>
      </c>
      <c r="F10" s="34">
        <f>Thuysan!S46</f>
        <v>1</v>
      </c>
      <c r="G10" s="34" t="str">
        <f>Thuysan!T46</f>
        <v>Malachite Green, Leuco Malachite Green</v>
      </c>
      <c r="H10" s="124" t="str">
        <f>Thuysan!U46</f>
        <v>09/04/2024</v>
      </c>
      <c r="I10" s="124" t="str">
        <f>Thuysan!V46</f>
        <v>Cao Quang Nguyên</v>
      </c>
      <c r="J10" s="34" t="str">
        <f>Thuysan!W46</f>
        <v>Ao 1</v>
      </c>
    </row>
    <row r="11" spans="1:10" ht="27.75" customHeight="1" x14ac:dyDescent="0.25">
      <c r="A11" s="62">
        <f>_xlfn.AGGREGATE(3,3,$C$7:C11)</f>
        <v>5</v>
      </c>
      <c r="B11" s="34" t="str">
        <f>Thuysan!O47</f>
        <v>Tôm chân trắng thương phẩm</v>
      </c>
      <c r="C11" s="34" t="str">
        <f>Thuysan!P47</f>
        <v>83/0424/05</v>
      </c>
      <c r="D11" s="125"/>
      <c r="E11" s="126"/>
      <c r="F11" s="34">
        <f>Thuysan!S47</f>
        <v>1</v>
      </c>
      <c r="G11" s="34" t="str">
        <f>Thuysan!T47</f>
        <v>Ormetoprim</v>
      </c>
      <c r="H11" s="125"/>
      <c r="I11" s="125"/>
      <c r="J11" s="34" t="str">
        <f>Thuysan!W47</f>
        <v>Ao 2</v>
      </c>
    </row>
    <row r="12" spans="1:10" ht="29.25" customHeight="1" x14ac:dyDescent="0.25">
      <c r="A12" s="62">
        <f>_xlfn.AGGREGATE(3,3,$C$7:C12)</f>
        <v>6</v>
      </c>
      <c r="B12" s="34" t="str">
        <f>Thuysan!O48</f>
        <v>Cá tra thương phẩm</v>
      </c>
      <c r="C12" s="34" t="str">
        <f>Thuysan!P48</f>
        <v>83/0424/06</v>
      </c>
      <c r="D12" s="125"/>
      <c r="E12" s="124" t="str">
        <f>Thuysan!R48</f>
        <v>Công ty CP Gò Đàng - Ấp Hưng Thạnh, Xã Châu Hưng</v>
      </c>
      <c r="F12" s="34">
        <f>Thuysan!S48</f>
        <v>1.5</v>
      </c>
      <c r="G12" s="34" t="str">
        <f>Thuysan!T48</f>
        <v>Malachite Green, Leuco Malachite Green</v>
      </c>
      <c r="H12" s="125"/>
      <c r="I12" s="125"/>
      <c r="J12" s="34" t="str">
        <f>Thuysan!W48</f>
        <v>Ao 1</v>
      </c>
    </row>
    <row r="13" spans="1:10" ht="18" customHeight="1" x14ac:dyDescent="0.25">
      <c r="A13" s="62">
        <f>_xlfn.AGGREGATE(3,3,$C$7:C13)</f>
        <v>7</v>
      </c>
      <c r="B13" s="34" t="str">
        <f>Thuysan!O49</f>
        <v>Cá tra thương phẩm</v>
      </c>
      <c r="C13" s="34" t="str">
        <f>Thuysan!P49</f>
        <v>83/0424/07</v>
      </c>
      <c r="D13" s="125"/>
      <c r="E13" s="126"/>
      <c r="F13" s="34">
        <f>Thuysan!S49</f>
        <v>1.5</v>
      </c>
      <c r="G13" s="34" t="str">
        <f>Thuysan!T49</f>
        <v>Pb, Hg, Cd</v>
      </c>
      <c r="H13" s="125"/>
      <c r="I13" s="125"/>
      <c r="J13" s="34" t="str">
        <f>Thuysan!W49</f>
        <v>Ao 3</v>
      </c>
    </row>
    <row r="14" spans="1:10" ht="46.5" customHeight="1" x14ac:dyDescent="0.25">
      <c r="A14" s="62">
        <f>_xlfn.AGGREGATE(3,3,$C$7:C14)</f>
        <v>8</v>
      </c>
      <c r="B14" s="34" t="str">
        <f>Thuysan!O50</f>
        <v>Cá tra thương phẩm</v>
      </c>
      <c r="C14" s="34" t="str">
        <f>Thuysan!P50</f>
        <v>83/0424/08</v>
      </c>
      <c r="D14" s="126"/>
      <c r="E14" s="34" t="str">
        <f>Thuysan!R50</f>
        <v>Công ty CP Thủy sản Vinh Quang - Ấp Hưng Nhơn, Xã Châu Hưng</v>
      </c>
      <c r="F14" s="34">
        <f>Thuysan!S50</f>
        <v>1.5</v>
      </c>
      <c r="G14" s="34" t="str">
        <f>Thuysan!T50</f>
        <v>Thuốc trừ sâu gốc Chlor hữu cơ; phospho hữu cơ; cúc tổng hợp…</v>
      </c>
      <c r="H14" s="126"/>
      <c r="I14" s="126"/>
      <c r="J14" s="34" t="str">
        <f>Thuysan!W50</f>
        <v>Ao 3</v>
      </c>
    </row>
    <row r="15" spans="1:10" ht="18" customHeight="1" x14ac:dyDescent="0.25">
      <c r="A15" s="62">
        <f>_xlfn.AGGREGATE(3,3,$C$7:C15)</f>
        <v>9</v>
      </c>
      <c r="B15" s="34" t="str">
        <f>Thuysan!O51</f>
        <v>Tôm sú thương phẩm</v>
      </c>
      <c r="C15" s="34" t="str">
        <f>Thuysan!P51</f>
        <v>83/0424/09</v>
      </c>
      <c r="D15" s="124" t="str">
        <f>Thuysan!Q51</f>
        <v>Thạnh Phú 83/03</v>
      </c>
      <c r="E15" s="124" t="str">
        <f>Thuysan!R51</f>
        <v>Phạm Văn Triều - Ấp 4, Xã Thạnh Phong</v>
      </c>
      <c r="F15" s="34">
        <f>Thuysan!S51</f>
        <v>1</v>
      </c>
      <c r="G15" s="34" t="str">
        <f>Thuysan!T51</f>
        <v>Ivermectin</v>
      </c>
      <c r="H15" s="124" t="str">
        <f>Thuysan!U51</f>
        <v>10/04/2024</v>
      </c>
      <c r="I15" s="124" t="str">
        <f>Thuysan!V51</f>
        <v>Cao Quang Nguyên</v>
      </c>
      <c r="J15" s="34" t="str">
        <f>Thuysan!W51</f>
        <v>Ao 1</v>
      </c>
    </row>
    <row r="16" spans="1:10" ht="31.5" x14ac:dyDescent="0.25">
      <c r="A16" s="62">
        <f>_xlfn.AGGREGATE(3,3,$C$7:C16)</f>
        <v>10</v>
      </c>
      <c r="B16" s="34" t="str">
        <f>Thuysan!O52</f>
        <v>Tôm chân trắng thương phẩm</v>
      </c>
      <c r="C16" s="34" t="str">
        <f>Thuysan!P52</f>
        <v>83/0424/10</v>
      </c>
      <c r="D16" s="126"/>
      <c r="E16" s="126"/>
      <c r="F16" s="34">
        <f>Thuysan!S52</f>
        <v>1</v>
      </c>
      <c r="G16" s="34" t="str">
        <f>Thuysan!T52</f>
        <v>Pb, Hg, Cd</v>
      </c>
      <c r="H16" s="126"/>
      <c r="I16" s="126"/>
      <c r="J16" s="34" t="str">
        <f>Thuysan!W52</f>
        <v>Ao 2</v>
      </c>
    </row>
    <row r="17" spans="1:10" ht="26.25" customHeight="1" x14ac:dyDescent="0.25">
      <c r="A17" s="62">
        <f>_xlfn.AGGREGATE(3,3,$C$7:C17)</f>
        <v>11</v>
      </c>
      <c r="B17" s="34" t="str">
        <f>Thuysan!O53</f>
        <v>Cá tra thương phẩm</v>
      </c>
      <c r="C17" s="34" t="str">
        <f>Thuysan!P53</f>
        <v>83/0424/11</v>
      </c>
      <c r="D17" s="124" t="str">
        <f>Thuysan!Q53</f>
        <v>Mỏ Cày 83/04</v>
      </c>
      <c r="E17" s="124" t="str">
        <f>Thuysan!R53</f>
        <v>Công ty CP Gò Đàng - Ấp Tân Phong, Xã Thành Thới A</v>
      </c>
      <c r="F17" s="34">
        <f>Thuysan!S53</f>
        <v>1.5</v>
      </c>
      <c r="G17" s="34" t="str">
        <f>Thuysan!T53</f>
        <v>Pb, Hg, Cd</v>
      </c>
      <c r="H17" s="124" t="str">
        <f>Thuysan!U53</f>
        <v>10/04/2024</v>
      </c>
      <c r="I17" s="124" t="str">
        <f>Thuysan!V53</f>
        <v>Phạm Minh Thuận</v>
      </c>
      <c r="J17" s="34" t="str">
        <f>Thuysan!W53</f>
        <v>Ao 4</v>
      </c>
    </row>
    <row r="18" spans="1:10" ht="47.25" x14ac:dyDescent="0.25">
      <c r="A18" s="62">
        <f>_xlfn.AGGREGATE(3,3,$C$7:C18)</f>
        <v>12</v>
      </c>
      <c r="B18" s="34" t="str">
        <f>Thuysan!O54</f>
        <v>Cá tra thương phẩm</v>
      </c>
      <c r="C18" s="34" t="str">
        <f>Thuysan!P54</f>
        <v>83/0424/12</v>
      </c>
      <c r="D18" s="126"/>
      <c r="E18" s="126"/>
      <c r="F18" s="34">
        <f>Thuysan!S54</f>
        <v>1.5</v>
      </c>
      <c r="G18" s="34" t="str">
        <f>Thuysan!T54</f>
        <v>Thuốc trừ sâu gốc Chlor hữu cơ; phospho hữu cơ; cúc tổng hợp…</v>
      </c>
      <c r="H18" s="126"/>
      <c r="I18" s="126"/>
      <c r="J18" s="34" t="str">
        <f>Thuysan!W54</f>
        <v>Ao 3</v>
      </c>
    </row>
    <row r="19" spans="1:10" ht="27" customHeight="1" x14ac:dyDescent="0.25">
      <c r="A19" s="62">
        <f>_xlfn.AGGREGATE(3,3,$C$7:C19)</f>
        <v>13</v>
      </c>
      <c r="B19" s="34" t="str">
        <f>Thuysan!O55</f>
        <v>Cá tra thương phẩm</v>
      </c>
      <c r="C19" s="34" t="str">
        <f>Thuysan!P55</f>
        <v>83/0424/13</v>
      </c>
      <c r="D19" s="124" t="str">
        <f>Thuysan!Q55</f>
        <v>Châu Thành 83/05</v>
      </c>
      <c r="E19" s="124" t="str">
        <f>Thuysan!R55</f>
        <v>Công ty CP XNK Thủy sản Bến Tre (DL 22) - Ấp Phú Tân, Xã Phú Túc</v>
      </c>
      <c r="F19" s="34">
        <f>Thuysan!S55</f>
        <v>1.5</v>
      </c>
      <c r="G19" s="34" t="str">
        <f>Thuysan!T55</f>
        <v>Trimethoprim</v>
      </c>
      <c r="H19" s="124" t="str">
        <f>Thuysan!U55</f>
        <v>09/04/2024</v>
      </c>
      <c r="I19" s="124" t="str">
        <f>Thuysan!V55</f>
        <v>Nguyễn Duy Khanh</v>
      </c>
      <c r="J19" s="34" t="str">
        <f>Thuysan!W55</f>
        <v>Ao A4</v>
      </c>
    </row>
    <row r="20" spans="1:10" ht="27.75" customHeight="1" x14ac:dyDescent="0.25">
      <c r="A20" s="62">
        <f>_xlfn.AGGREGATE(3,3,$C$7:C20)</f>
        <v>14</v>
      </c>
      <c r="B20" s="34" t="str">
        <f>Thuysan!O56</f>
        <v>Cá tra thương phẩm</v>
      </c>
      <c r="C20" s="34" t="str">
        <f>Thuysan!P56</f>
        <v>83/0424/14</v>
      </c>
      <c r="D20" s="125"/>
      <c r="E20" s="125"/>
      <c r="F20" s="34">
        <f>Thuysan!S56</f>
        <v>1.5</v>
      </c>
      <c r="G20" s="34" t="str">
        <f>Thuysan!T56</f>
        <v>Pb, Hg, Cd</v>
      </c>
      <c r="H20" s="125"/>
      <c r="I20" s="125"/>
      <c r="J20" s="34" t="str">
        <f>Thuysan!W56</f>
        <v>Ao B4</v>
      </c>
    </row>
    <row r="21" spans="1:10" ht="47.25" x14ac:dyDescent="0.25">
      <c r="A21" s="62">
        <f>_xlfn.AGGREGATE(3,3,$C$7:C21)</f>
        <v>15</v>
      </c>
      <c r="B21" s="34" t="str">
        <f>Thuysan!O57</f>
        <v>Cá tra thương phẩm</v>
      </c>
      <c r="C21" s="34" t="str">
        <f>Thuysan!P57</f>
        <v>83/0424/15</v>
      </c>
      <c r="D21" s="126"/>
      <c r="E21" s="126"/>
      <c r="F21" s="34">
        <f>Thuysan!S57</f>
        <v>1.5</v>
      </c>
      <c r="G21" s="34" t="str">
        <f>Thuysan!T57</f>
        <v>Thuốc trừ sâu gốc Chlor hữu cơ; phospho hữu cơ; cúc tổng hợp…</v>
      </c>
      <c r="H21" s="126"/>
      <c r="I21" s="126"/>
      <c r="J21" s="34" t="str">
        <f>Thuysan!W57</f>
        <v>Ao B6</v>
      </c>
    </row>
    <row r="22" spans="1:10" ht="19.5" customHeight="1" x14ac:dyDescent="0.25">
      <c r="A22" s="62">
        <f>_xlfn.AGGREGATE(3,3,$C$7:C22)</f>
        <v>16</v>
      </c>
      <c r="B22" s="34" t="str">
        <f>Thuysan!O58</f>
        <v>Cá tra thương phẩm</v>
      </c>
      <c r="C22" s="34" t="str">
        <f>Thuysan!P58</f>
        <v>83/0424/16</v>
      </c>
      <c r="D22" s="124" t="str">
        <f>Thuysan!Q58</f>
        <v>Giồng Trôm 83/06</v>
      </c>
      <c r="E22" s="34" t="str">
        <f>Thuysan!R58</f>
        <v xml:space="preserve">Không có mẫu - , </v>
      </c>
      <c r="F22" s="34">
        <f>Thuysan!S58</f>
        <v>1.5</v>
      </c>
      <c r="G22" s="34" t="str">
        <f>Thuysan!T58</f>
        <v>Nhóm Tetracyclines</v>
      </c>
      <c r="H22" s="34">
        <f>Thuysan!U58</f>
        <v>0</v>
      </c>
      <c r="I22" s="34" t="str">
        <f>Thuysan!V58</f>
        <v>-</v>
      </c>
      <c r="J22" s="124" t="s">
        <v>353</v>
      </c>
    </row>
    <row r="23" spans="1:10" ht="19.5" customHeight="1" x14ac:dyDescent="0.25">
      <c r="A23" s="62">
        <f>_xlfn.AGGREGATE(3,3,$C$7:C23)</f>
        <v>17</v>
      </c>
      <c r="B23" s="34" t="str">
        <f>Thuysan!O59</f>
        <v>Cá tra thương phẩm</v>
      </c>
      <c r="C23" s="34" t="str">
        <f>Thuysan!P59</f>
        <v>83/0424/17</v>
      </c>
      <c r="D23" s="125"/>
      <c r="E23" s="34" t="str">
        <f>Thuysan!R59</f>
        <v xml:space="preserve">Không có mẫu - , </v>
      </c>
      <c r="F23" s="34">
        <f>Thuysan!S59</f>
        <v>1.5</v>
      </c>
      <c r="G23" s="34" t="str">
        <f>Thuysan!T59</f>
        <v>Florfenicol</v>
      </c>
      <c r="H23" s="34">
        <f>Thuysan!U59</f>
        <v>0</v>
      </c>
      <c r="I23" s="34" t="str">
        <f>Thuysan!V59</f>
        <v>-</v>
      </c>
      <c r="J23" s="125"/>
    </row>
    <row r="24" spans="1:10" ht="19.5" customHeight="1" x14ac:dyDescent="0.25">
      <c r="A24" s="62">
        <f>_xlfn.AGGREGATE(3,3,$C$7:C24)</f>
        <v>18</v>
      </c>
      <c r="B24" s="34" t="str">
        <f>Thuysan!O60</f>
        <v>Cá tra thương phẩm</v>
      </c>
      <c r="C24" s="34" t="str">
        <f>Thuysan!P60</f>
        <v>83/0424/18</v>
      </c>
      <c r="D24" s="126"/>
      <c r="E24" s="34" t="str">
        <f>Thuysan!R60</f>
        <v xml:space="preserve">Không có mẫu - , </v>
      </c>
      <c r="F24" s="34">
        <f>Thuysan!S60</f>
        <v>1.5</v>
      </c>
      <c r="G24" s="34" t="str">
        <f>Thuysan!T60</f>
        <v>Pb, Hg, Cd</v>
      </c>
      <c r="H24" s="34">
        <f>Thuysan!U60</f>
        <v>0</v>
      </c>
      <c r="I24" s="34" t="str">
        <f>Thuysan!V60</f>
        <v>-</v>
      </c>
      <c r="J24" s="126"/>
    </row>
    <row r="25" spans="1:10" ht="27.75" customHeight="1" x14ac:dyDescent="0.25">
      <c r="A25" s="62">
        <f>_xlfn.AGGREGATE(3,3,$C$7:C25)</f>
        <v>19</v>
      </c>
      <c r="B25" s="34" t="str">
        <f>Thuysan!O61</f>
        <v>Cá tra thương phẩm</v>
      </c>
      <c r="C25" s="34" t="str">
        <f>Thuysan!P61</f>
        <v>83/0424/19</v>
      </c>
      <c r="D25" s="124" t="str">
        <f>Thuysan!Q61</f>
        <v>Chợ Lách 83/07</v>
      </c>
      <c r="E25" s="124" t="str">
        <f>Thuysan!R61</f>
        <v>Công ty TNHH CBTPXK Vạn Đức Tiền Giang - Vùng nuôi Hòa Nghĩa, ấp Bình An, Xã Hòa Nghĩa</v>
      </c>
      <c r="F25" s="34">
        <f>Thuysan!S61</f>
        <v>1.5</v>
      </c>
      <c r="G25" s="34" t="str">
        <f>Thuysan!T61</f>
        <v>Nhóm Nitroimidazoles</v>
      </c>
      <c r="H25" s="124" t="str">
        <f>Thuysan!U61</f>
        <v>10/04/2024</v>
      </c>
      <c r="I25" s="124" t="str">
        <f>Thuysan!V61</f>
        <v>Nguyễn Duy Khanh</v>
      </c>
      <c r="J25" s="34" t="str">
        <f>Thuysan!W61</f>
        <v>Ao 1</v>
      </c>
    </row>
    <row r="26" spans="1:10" ht="26.25" customHeight="1" x14ac:dyDescent="0.25">
      <c r="A26" s="62">
        <f>_xlfn.AGGREGATE(3,3,$C$7:C26)</f>
        <v>20</v>
      </c>
      <c r="B26" s="34" t="str">
        <f>Thuysan!O62</f>
        <v>Cá tra thương phẩm</v>
      </c>
      <c r="C26" s="34" t="str">
        <f>Thuysan!P62</f>
        <v>83/0424/20</v>
      </c>
      <c r="D26" s="125"/>
      <c r="E26" s="126"/>
      <c r="F26" s="34">
        <f>Thuysan!S62</f>
        <v>1.5</v>
      </c>
      <c r="G26" s="34" t="str">
        <f>Thuysan!T62</f>
        <v>Ormetoprim</v>
      </c>
      <c r="H26" s="125"/>
      <c r="I26" s="125"/>
      <c r="J26" s="34" t="str">
        <f>Thuysan!W62</f>
        <v>Ao 5</v>
      </c>
    </row>
    <row r="27" spans="1:10" ht="24.75" customHeight="1" x14ac:dyDescent="0.25">
      <c r="A27" s="117">
        <f>_xlfn.AGGREGATE(3,3,$C$7:C27)</f>
        <v>21</v>
      </c>
      <c r="B27" s="34" t="str">
        <f>Thuysan!O63</f>
        <v>Cá tra thương phẩm</v>
      </c>
      <c r="C27" s="34" t="str">
        <f>Thuysan!P63</f>
        <v>83/0424/21</v>
      </c>
      <c r="D27" s="125"/>
      <c r="E27" s="124" t="str">
        <f>Thuysan!R63</f>
        <v>Công ty TNHH CBTPXK Vạn Đức Tiền Giang - Vùng nuôi Cồn Sơn, ấp Thanh Yên, Xã Tân Thiềng</v>
      </c>
      <c r="F27" s="34">
        <f>Thuysan!S63</f>
        <v>1.5</v>
      </c>
      <c r="G27" s="34" t="str">
        <f>Thuysan!T63</f>
        <v>Nhóm Tetracyclines</v>
      </c>
      <c r="H27" s="125"/>
      <c r="I27" s="125"/>
      <c r="J27" s="34" t="str">
        <f>Thuysan!W63</f>
        <v>Ao 1</v>
      </c>
    </row>
    <row r="28" spans="1:10" ht="25.5" customHeight="1" x14ac:dyDescent="0.25">
      <c r="A28" s="117">
        <f>_xlfn.AGGREGATE(3,3,$C$7:C28)</f>
        <v>22</v>
      </c>
      <c r="B28" s="34" t="str">
        <f>Thuysan!O64</f>
        <v>Cá tra thương phẩm</v>
      </c>
      <c r="C28" s="34" t="str">
        <f>Thuysan!P64</f>
        <v>83/0424/22</v>
      </c>
      <c r="D28" s="125"/>
      <c r="E28" s="125"/>
      <c r="F28" s="34">
        <f>Thuysan!S64</f>
        <v>1.5</v>
      </c>
      <c r="G28" s="34" t="str">
        <f>Thuysan!T64</f>
        <v>Pb, Hg, Cd</v>
      </c>
      <c r="H28" s="125"/>
      <c r="I28" s="125"/>
      <c r="J28" s="34" t="str">
        <f>Thuysan!W64</f>
        <v>Ao 4</v>
      </c>
    </row>
    <row r="29" spans="1:10" ht="47.25" x14ac:dyDescent="0.25">
      <c r="A29" s="62">
        <f>_xlfn.AGGREGATE(3,3,$C$7:C29)</f>
        <v>23</v>
      </c>
      <c r="B29" s="34" t="str">
        <f>Thuysan!O65</f>
        <v>Cá tra thương phẩm</v>
      </c>
      <c r="C29" s="34" t="str">
        <f>Thuysan!P65</f>
        <v>83/0424/23</v>
      </c>
      <c r="D29" s="126"/>
      <c r="E29" s="126"/>
      <c r="F29" s="34">
        <f>Thuysan!S65</f>
        <v>1.5</v>
      </c>
      <c r="G29" s="34" t="str">
        <f>Thuysan!T65</f>
        <v>Thuốc trừ sâu gốc Chlor hữu cơ; phospho hữu cơ; cúc tổng hợp…</v>
      </c>
      <c r="H29" s="126"/>
      <c r="I29" s="126"/>
      <c r="J29" s="34" t="str">
        <f>Thuysan!W65</f>
        <v>Ao 7</v>
      </c>
    </row>
    <row r="30" spans="1:10" ht="18.75" x14ac:dyDescent="0.25">
      <c r="G30" s="130" t="s">
        <v>677</v>
      </c>
      <c r="H30" s="130"/>
      <c r="I30" s="130"/>
      <c r="J30" s="130"/>
    </row>
    <row r="31" spans="1:10" ht="18.75" x14ac:dyDescent="0.25">
      <c r="G31" s="131" t="s">
        <v>398</v>
      </c>
      <c r="H31" s="131"/>
      <c r="I31" s="131"/>
      <c r="J31" s="131"/>
    </row>
    <row r="32" spans="1:10" ht="18.75" x14ac:dyDescent="0.25">
      <c r="G32" s="63"/>
      <c r="H32" s="63"/>
      <c r="I32" s="63"/>
      <c r="J32" s="63"/>
    </row>
    <row r="33" spans="7:10" ht="18.75" x14ac:dyDescent="0.25">
      <c r="G33" s="39"/>
      <c r="H33" s="39"/>
      <c r="I33" s="39"/>
      <c r="J33" s="63"/>
    </row>
    <row r="34" spans="7:10" ht="8.25" customHeight="1" x14ac:dyDescent="0.25">
      <c r="G34" s="39"/>
      <c r="H34" s="39"/>
      <c r="I34" s="39"/>
      <c r="J34" s="63"/>
    </row>
    <row r="35" spans="7:10" ht="18" customHeight="1" x14ac:dyDescent="0.3">
      <c r="G35" s="129" t="s">
        <v>364</v>
      </c>
      <c r="H35" s="129"/>
      <c r="I35" s="129"/>
      <c r="J35" s="129"/>
    </row>
  </sheetData>
  <mergeCells count="37">
    <mergeCell ref="J22:J24"/>
    <mergeCell ref="G35:J35"/>
    <mergeCell ref="G30:J30"/>
    <mergeCell ref="G31:J31"/>
    <mergeCell ref="A4:J4"/>
    <mergeCell ref="A1:E1"/>
    <mergeCell ref="F1:J1"/>
    <mergeCell ref="A2:E2"/>
    <mergeCell ref="F2:J2"/>
    <mergeCell ref="A3:E3"/>
    <mergeCell ref="F3:J3"/>
    <mergeCell ref="D7:D9"/>
    <mergeCell ref="H7:H9"/>
    <mergeCell ref="I7:I9"/>
    <mergeCell ref="D10:D14"/>
    <mergeCell ref="D15:D16"/>
    <mergeCell ref="E15:E16"/>
    <mergeCell ref="E10:E11"/>
    <mergeCell ref="E12:E13"/>
    <mergeCell ref="H10:H14"/>
    <mergeCell ref="I10:I14"/>
    <mergeCell ref="H15:H16"/>
    <mergeCell ref="I15:I16"/>
    <mergeCell ref="E17:E18"/>
    <mergeCell ref="D17:D18"/>
    <mergeCell ref="H17:H18"/>
    <mergeCell ref="I17:I18"/>
    <mergeCell ref="D19:D21"/>
    <mergeCell ref="E19:E21"/>
    <mergeCell ref="H19:H21"/>
    <mergeCell ref="I19:I21"/>
    <mergeCell ref="D22:D24"/>
    <mergeCell ref="D25:D29"/>
    <mergeCell ref="E27:E29"/>
    <mergeCell ref="E25:E26"/>
    <mergeCell ref="I25:I29"/>
    <mergeCell ref="H25:H29"/>
  </mergeCells>
  <pageMargins left="0.28999999999999998" right="0.19" top="0.43" bottom="0.3" header="0.3" footer="0.18"/>
  <pageSetup paperSize="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zoomScaleNormal="100" workbookViewId="0">
      <selection activeCell="F3" sqref="F3:J3"/>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489</v>
      </c>
      <c r="B3" s="136"/>
      <c r="C3" s="136"/>
      <c r="D3" s="136"/>
      <c r="E3" s="136"/>
      <c r="F3" s="137" t="s">
        <v>664</v>
      </c>
      <c r="G3" s="137"/>
      <c r="H3" s="137"/>
      <c r="I3" s="137"/>
      <c r="J3" s="137"/>
    </row>
    <row r="4" spans="1:10" ht="21" customHeight="1" x14ac:dyDescent="0.25">
      <c r="A4" s="132" t="s">
        <v>663</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29.25" customHeight="1" x14ac:dyDescent="0.25">
      <c r="A7" s="57">
        <f>_xlfn.AGGREGATE(3,3,$C$7:C7)</f>
        <v>1</v>
      </c>
      <c r="B7" s="34" t="str">
        <f>Thuysan!O21</f>
        <v>Tôm chân trắng nhỏ</v>
      </c>
      <c r="C7" s="34" t="str">
        <f>Thuysan!P21</f>
        <v>83/0324/01</v>
      </c>
      <c r="D7" s="124" t="str">
        <f>Thuysan!Q21</f>
        <v>Ba Tri 83/01</v>
      </c>
      <c r="E7" s="34" t="str">
        <f>Thuysan!R21</f>
        <v>Nguyễn Văn Bi - Ấp 7, Thị Trấn Tiệm Tôm</v>
      </c>
      <c r="F7" s="34">
        <f>Thuysan!S21</f>
        <v>0.5</v>
      </c>
      <c r="G7" s="34" t="str">
        <f>Thuysan!T21</f>
        <v>Chloramphenicol</v>
      </c>
      <c r="H7" s="124" t="str">
        <f>Thuysan!U21</f>
        <v>18/03/2024</v>
      </c>
      <c r="I7" s="124" t="str">
        <f>Thuysan!V21</f>
        <v>Phạm Minh Thuận</v>
      </c>
      <c r="J7" s="34" t="str">
        <f>Thuysan!W21</f>
        <v>Ao 1</v>
      </c>
    </row>
    <row r="8" spans="1:10" ht="31.5" customHeight="1" x14ac:dyDescent="0.25">
      <c r="A8" s="57">
        <f>_xlfn.AGGREGATE(3,3,$C$7:C8)</f>
        <v>2</v>
      </c>
      <c r="B8" s="34" t="str">
        <f>Thuysan!O22</f>
        <v>Cá tra thương phẩm</v>
      </c>
      <c r="C8" s="34" t="str">
        <f>Thuysan!P22</f>
        <v>83/0324/02</v>
      </c>
      <c r="D8" s="126"/>
      <c r="E8" s="34" t="str">
        <f>Thuysan!R22</f>
        <v>Công ty CP Gò Đàng - Ấp 4, Xã Tân Xuân</v>
      </c>
      <c r="F8" s="34">
        <f>Thuysan!S22</f>
        <v>1.5</v>
      </c>
      <c r="G8" s="34" t="str">
        <f>Thuysan!T22</f>
        <v>Trifluralin</v>
      </c>
      <c r="H8" s="126"/>
      <c r="I8" s="126"/>
      <c r="J8" s="34" t="str">
        <f>Thuysan!W22</f>
        <v>Ao 4</v>
      </c>
    </row>
    <row r="9" spans="1:10" ht="31.5" x14ac:dyDescent="0.25">
      <c r="A9" s="57">
        <f>_xlfn.AGGREGATE(3,3,$C$7:C9)</f>
        <v>3</v>
      </c>
      <c r="B9" s="34" t="str">
        <f>Thuysan!O23</f>
        <v>Tôm sú thương phẩm</v>
      </c>
      <c r="C9" s="34" t="str">
        <f>Thuysan!P23</f>
        <v>83/0324/03</v>
      </c>
      <c r="D9" s="124" t="str">
        <f>Thuysan!Q23</f>
        <v>Bình Đại 83/02</v>
      </c>
      <c r="E9" s="124" t="str">
        <f>Thuysan!R23</f>
        <v>Trần Thanh Hải  - Ấp 1 , Xã Thạnh Phước</v>
      </c>
      <c r="F9" s="34">
        <f>Thuysan!S23</f>
        <v>1</v>
      </c>
      <c r="G9" s="34" t="str">
        <f>Thuysan!T23</f>
        <v>Nhóm Tetracyclines</v>
      </c>
      <c r="H9" s="124" t="str">
        <f>Thuysan!U23</f>
        <v>18/03/2024</v>
      </c>
      <c r="I9" s="124" t="str">
        <f>Thuysan!V23</f>
        <v>Cao Quang Nguyên</v>
      </c>
      <c r="J9" s="34" t="str">
        <f>Thuysan!W23</f>
        <v>Ao 1</v>
      </c>
    </row>
    <row r="10" spans="1:10" ht="31.5" x14ac:dyDescent="0.25">
      <c r="A10" s="57">
        <f>_xlfn.AGGREGATE(3,3,$C$7:C10)</f>
        <v>4</v>
      </c>
      <c r="B10" s="34" t="str">
        <f>Thuysan!O24</f>
        <v>Tôm chân trắng thương phẩm</v>
      </c>
      <c r="C10" s="34" t="str">
        <f>Thuysan!P24</f>
        <v>83/0324/04</v>
      </c>
      <c r="D10" s="125"/>
      <c r="E10" s="126"/>
      <c r="F10" s="34">
        <f>Thuysan!S24</f>
        <v>1</v>
      </c>
      <c r="G10" s="34" t="str">
        <f>Thuysan!T24</f>
        <v>Chloramphenicol</v>
      </c>
      <c r="H10" s="125"/>
      <c r="I10" s="125"/>
      <c r="J10" s="34" t="str">
        <f>Thuysan!W24</f>
        <v>Ao 2</v>
      </c>
    </row>
    <row r="11" spans="1:10" ht="23.25" customHeight="1" x14ac:dyDescent="0.25">
      <c r="A11" s="57">
        <f>_xlfn.AGGREGATE(3,3,$C$7:C11)</f>
        <v>5</v>
      </c>
      <c r="B11" s="34" t="str">
        <f>Thuysan!O25</f>
        <v>Cá tra thương phẩm</v>
      </c>
      <c r="C11" s="34" t="str">
        <f>Thuysan!P25</f>
        <v>83/0324/05</v>
      </c>
      <c r="D11" s="125"/>
      <c r="E11" s="124" t="str">
        <f>Thuysan!R25</f>
        <v>Công ty CP Gò Đàng - Khu A Lộc Thuận, ấp Lộc Sơn, Xã Lộc Thuận</v>
      </c>
      <c r="F11" s="34">
        <f>Thuysan!S25</f>
        <v>1.5</v>
      </c>
      <c r="G11" s="34" t="str">
        <f>Thuysan!T25</f>
        <v>Fosfomycin</v>
      </c>
      <c r="H11" s="125"/>
      <c r="I11" s="125"/>
      <c r="J11" s="34" t="str">
        <f>Thuysan!W25</f>
        <v>Ao 1</v>
      </c>
    </row>
    <row r="12" spans="1:10" ht="21.75" customHeight="1" x14ac:dyDescent="0.25">
      <c r="A12" s="57">
        <f>_xlfn.AGGREGATE(3,3,$C$7:C12)</f>
        <v>6</v>
      </c>
      <c r="B12" s="34" t="str">
        <f>Thuysan!O26</f>
        <v>Cá tra thương phẩm</v>
      </c>
      <c r="C12" s="34" t="str">
        <f>Thuysan!P26</f>
        <v>83/0324/06</v>
      </c>
      <c r="D12" s="125"/>
      <c r="E12" s="126"/>
      <c r="F12" s="34">
        <f>Thuysan!S26</f>
        <v>1.5</v>
      </c>
      <c r="G12" s="34" t="str">
        <f>Thuysan!T26</f>
        <v>Azadirachtin</v>
      </c>
      <c r="H12" s="125"/>
      <c r="I12" s="125"/>
      <c r="J12" s="34" t="str">
        <f>Thuysan!W26</f>
        <v>Ao 3</v>
      </c>
    </row>
    <row r="13" spans="1:10" ht="21.75" customHeight="1" x14ac:dyDescent="0.25">
      <c r="A13" s="57">
        <f>_xlfn.AGGREGATE(3,3,$C$7:C13)</f>
        <v>7</v>
      </c>
      <c r="B13" s="34" t="str">
        <f>Thuysan!O27</f>
        <v>Cá chẽm nhỏ</v>
      </c>
      <c r="C13" s="34" t="str">
        <f>Thuysan!P27</f>
        <v>83/0324/07</v>
      </c>
      <c r="D13" s="125"/>
      <c r="E13" s="124" t="str">
        <f>Thuysan!R27</f>
        <v>Công ty TNHH Thực Phẩm Vạn Đức  - Ấp 7, Xã Thạnh Phước</v>
      </c>
      <c r="F13" s="34">
        <f>Thuysan!S27</f>
        <v>0</v>
      </c>
      <c r="G13" s="34" t="str">
        <f>Thuysan!T27</f>
        <v>Chloramphenicol</v>
      </c>
      <c r="H13" s="125"/>
      <c r="I13" s="125"/>
      <c r="J13" s="34" t="str">
        <f>Thuysan!W27</f>
        <v>Ao B10</v>
      </c>
    </row>
    <row r="14" spans="1:10" ht="18.75" customHeight="1" x14ac:dyDescent="0.25">
      <c r="A14" s="57">
        <f>_xlfn.AGGREGATE(3,3,$C$7:C14)</f>
        <v>8</v>
      </c>
      <c r="B14" s="34" t="str">
        <f>Thuysan!O28</f>
        <v>Cá chẽm thương phẩm</v>
      </c>
      <c r="C14" s="34" t="str">
        <f>Thuysan!P28</f>
        <v>83/0324/08</v>
      </c>
      <c r="D14" s="126"/>
      <c r="E14" s="126"/>
      <c r="F14" s="34">
        <f>Thuysan!S28</f>
        <v>0</v>
      </c>
      <c r="G14" s="34" t="str">
        <f>Thuysan!T28</f>
        <v>Nitrofurans</v>
      </c>
      <c r="H14" s="126"/>
      <c r="I14" s="126"/>
      <c r="J14" s="34" t="str">
        <f>Thuysan!W28</f>
        <v>Ao A20</v>
      </c>
    </row>
    <row r="15" spans="1:10" ht="47.25" x14ac:dyDescent="0.25">
      <c r="A15" s="57">
        <f>_xlfn.AGGREGATE(3,3,$C$7:C15)</f>
        <v>9</v>
      </c>
      <c r="B15" s="34" t="str">
        <f>Thuysan!O29</f>
        <v>Tôm chân trắng thương phẩm</v>
      </c>
      <c r="C15" s="34" t="str">
        <f>Thuysan!P29</f>
        <v>83/0324/09</v>
      </c>
      <c r="D15" s="34" t="str">
        <f>Thuysan!Q29</f>
        <v>Thạnh Phú 83/03</v>
      </c>
      <c r="E15" s="34" t="str">
        <f>Thuysan!R29</f>
        <v>Phạm Văn Cưng  - , Xã An Thuận</v>
      </c>
      <c r="F15" s="34">
        <f>Thuysan!S29</f>
        <v>1</v>
      </c>
      <c r="G15" s="34" t="str">
        <f>Thuysan!T29</f>
        <v>Nitrofurans</v>
      </c>
      <c r="H15" s="34" t="str">
        <f>Thuysan!U29</f>
        <v>19/03/2024</v>
      </c>
      <c r="I15" s="34" t="str">
        <f>Thuysan!V29</f>
        <v>Cao Quang Nguyên</v>
      </c>
      <c r="J15" s="34" t="str">
        <f>Thuysan!W29</f>
        <v>Ao 1</v>
      </c>
    </row>
    <row r="16" spans="1:10" ht="21" customHeight="1" x14ac:dyDescent="0.25">
      <c r="A16" s="57">
        <f>_xlfn.AGGREGATE(3,3,$C$7:C16)</f>
        <v>10</v>
      </c>
      <c r="B16" s="34" t="str">
        <f>Thuysan!O30</f>
        <v>Cá tra nhỏ</v>
      </c>
      <c r="C16" s="34" t="str">
        <f>Thuysan!P30</f>
        <v>83/0324/10</v>
      </c>
      <c r="D16" s="124" t="str">
        <f>Thuysan!Q30</f>
        <v>Mỏ Cày 83/04</v>
      </c>
      <c r="E16" s="124" t="str">
        <f>Thuysan!R30</f>
        <v>Công ty CP Gò Đàng - Ấp Thành Long, Xã Thành Thới A</v>
      </c>
      <c r="F16" s="34">
        <f>Thuysan!S30</f>
        <v>1</v>
      </c>
      <c r="G16" s="34" t="str">
        <f>Thuysan!T30</f>
        <v>Chloramphenicol</v>
      </c>
      <c r="H16" s="124" t="str">
        <f>Thuysan!U30</f>
        <v>19/03/2024</v>
      </c>
      <c r="I16" s="124" t="str">
        <f>Thuysan!V30</f>
        <v>Phạm Minh Thuận</v>
      </c>
      <c r="J16" s="34" t="str">
        <f>Thuysan!W30</f>
        <v>Ao 1</v>
      </c>
    </row>
    <row r="17" spans="1:10" ht="23.25" customHeight="1" x14ac:dyDescent="0.25">
      <c r="A17" s="57">
        <f>_xlfn.AGGREGATE(3,3,$C$7:C17)</f>
        <v>11</v>
      </c>
      <c r="B17" s="34" t="str">
        <f>Thuysan!O31</f>
        <v>Cá tra nhỏ</v>
      </c>
      <c r="C17" s="34" t="str">
        <f>Thuysan!P31</f>
        <v>83/0324/11</v>
      </c>
      <c r="D17" s="126"/>
      <c r="E17" s="126"/>
      <c r="F17" s="34">
        <f>Thuysan!S31</f>
        <v>1</v>
      </c>
      <c r="G17" s="34" t="str">
        <f>Thuysan!T31</f>
        <v>Nitrofurans</v>
      </c>
      <c r="H17" s="126"/>
      <c r="I17" s="126"/>
      <c r="J17" s="34" t="str">
        <f>Thuysan!W31</f>
        <v>Ao 3</v>
      </c>
    </row>
    <row r="18" spans="1:10" ht="22.5" customHeight="1" x14ac:dyDescent="0.25">
      <c r="A18" s="57">
        <f>_xlfn.AGGREGATE(3,3,$C$7:C18)</f>
        <v>12</v>
      </c>
      <c r="B18" s="34" t="str">
        <f>Thuysan!O32</f>
        <v>Cá tra thương phẩm</v>
      </c>
      <c r="C18" s="34" t="str">
        <f>Thuysan!P32</f>
        <v>83/0324/12</v>
      </c>
      <c r="D18" s="124" t="str">
        <f>Thuysan!Q32</f>
        <v>Châu Thành 83/05</v>
      </c>
      <c r="E18" s="124" t="str">
        <f>Thuysan!R32</f>
        <v xml:space="preserve"> Trại nuôi cá tra Thành Hưng - Ấp Phú Tân, Xã Phú Túc</v>
      </c>
      <c r="F18" s="34">
        <f>Thuysan!S32</f>
        <v>1.5</v>
      </c>
      <c r="G18" s="34" t="str">
        <f>Thuysan!T32</f>
        <v>Chloramphenicol</v>
      </c>
      <c r="H18" s="124" t="str">
        <f>Thuysan!U32</f>
        <v>18/03/2024</v>
      </c>
      <c r="I18" s="124" t="str">
        <f>Thuysan!V32</f>
        <v>Nguyễn Duy Khanh</v>
      </c>
      <c r="J18" s="34" t="str">
        <f>Thuysan!W32</f>
        <v>Ao 1</v>
      </c>
    </row>
    <row r="19" spans="1:10" ht="24" customHeight="1" x14ac:dyDescent="0.25">
      <c r="A19" s="57">
        <f>_xlfn.AGGREGATE(3,3,$C$7:C19)</f>
        <v>13</v>
      </c>
      <c r="B19" s="34" t="str">
        <f>Thuysan!O33</f>
        <v>Cá tra thương phẩm</v>
      </c>
      <c r="C19" s="34" t="str">
        <f>Thuysan!P33</f>
        <v>83/0324/13</v>
      </c>
      <c r="D19" s="125"/>
      <c r="E19" s="125"/>
      <c r="F19" s="34">
        <f>Thuysan!S33</f>
        <v>1.5</v>
      </c>
      <c r="G19" s="34" t="str">
        <f>Thuysan!T33</f>
        <v>Nitrofurans</v>
      </c>
      <c r="H19" s="125"/>
      <c r="I19" s="125"/>
      <c r="J19" s="34" t="str">
        <f>Thuysan!W33</f>
        <v>Ao 6</v>
      </c>
    </row>
    <row r="20" spans="1:10" ht="25.5" customHeight="1" x14ac:dyDescent="0.25">
      <c r="A20" s="57">
        <f>_xlfn.AGGREGATE(3,3,$C$7:C20)</f>
        <v>14</v>
      </c>
      <c r="B20" s="34" t="str">
        <f>Thuysan!O34</f>
        <v>Cá tra thương phẩm</v>
      </c>
      <c r="C20" s="34" t="str">
        <f>Thuysan!P34</f>
        <v>83/0324/14</v>
      </c>
      <c r="D20" s="126"/>
      <c r="E20" s="126"/>
      <c r="F20" s="34">
        <f>Thuysan!S34</f>
        <v>1.5</v>
      </c>
      <c r="G20" s="34" t="str">
        <f>Thuysan!T34</f>
        <v>Ormetoprim</v>
      </c>
      <c r="H20" s="126"/>
      <c r="I20" s="126"/>
      <c r="J20" s="34" t="str">
        <f>Thuysan!W34</f>
        <v>Ao 8</v>
      </c>
    </row>
    <row r="21" spans="1:10" ht="19.5" customHeight="1" x14ac:dyDescent="0.25">
      <c r="A21" s="57">
        <f>_xlfn.AGGREGATE(3,3,$C$7:C21)</f>
        <v>15</v>
      </c>
      <c r="B21" s="34" t="str">
        <f>Thuysan!O35</f>
        <v>Cá tra thương phẩm</v>
      </c>
      <c r="C21" s="34" t="str">
        <f>Thuysan!P35</f>
        <v>83/0324/15</v>
      </c>
      <c r="D21" s="124" t="str">
        <f>Thuysan!Q35</f>
        <v>Giồng Trôm 83/06</v>
      </c>
      <c r="E21" s="124" t="str">
        <f>Thuysan!R35</f>
        <v>Công ty CP Gò Đàng - Ấp 1, Xã Hưng Phong</v>
      </c>
      <c r="F21" s="34">
        <f>Thuysan!S35</f>
        <v>1.5</v>
      </c>
      <c r="G21" s="34" t="str">
        <f>Thuysan!T35</f>
        <v>Nhóm Nitroimidazoles</v>
      </c>
      <c r="H21" s="124" t="str">
        <f>Thuysan!U35</f>
        <v>20/03/2024</v>
      </c>
      <c r="I21" s="124" t="str">
        <f>Thuysan!V35</f>
        <v>Phạm Minh Thuận</v>
      </c>
      <c r="J21" s="34" t="str">
        <f>Thuysan!W35</f>
        <v>Ao 5</v>
      </c>
    </row>
    <row r="22" spans="1:10" ht="19.5" customHeight="1" x14ac:dyDescent="0.25">
      <c r="A22" s="113">
        <f>_xlfn.AGGREGATE(3,3,$C$7:C22)</f>
        <v>16</v>
      </c>
      <c r="B22" s="34" t="str">
        <f>Thuysan!O36</f>
        <v>Cá tra thương phẩm</v>
      </c>
      <c r="C22" s="34" t="str">
        <f>Thuysan!P36</f>
        <v>83/0324/16</v>
      </c>
      <c r="D22" s="125"/>
      <c r="E22" s="125"/>
      <c r="F22" s="34">
        <f>Thuysan!S36</f>
        <v>1.5</v>
      </c>
      <c r="G22" s="34" t="str">
        <f>Thuysan!T36</f>
        <v>Pb, Hg, Cd</v>
      </c>
      <c r="H22" s="125"/>
      <c r="I22" s="125"/>
      <c r="J22" s="34" t="str">
        <f>Thuysan!W36</f>
        <v>Ao 3</v>
      </c>
    </row>
    <row r="23" spans="1:10" ht="47.25" x14ac:dyDescent="0.25">
      <c r="A23" s="113">
        <f>_xlfn.AGGREGATE(3,3,$C$7:C23)</f>
        <v>17</v>
      </c>
      <c r="B23" s="34" t="str">
        <f>Thuysan!O37</f>
        <v>Cá tra thương phẩm</v>
      </c>
      <c r="C23" s="34" t="str">
        <f>Thuysan!P37</f>
        <v>83/0324/17</v>
      </c>
      <c r="D23" s="126"/>
      <c r="E23" s="126"/>
      <c r="F23" s="34">
        <f>Thuysan!S37</f>
        <v>1.5</v>
      </c>
      <c r="G23" s="34" t="str">
        <f>Thuysan!T37</f>
        <v>Thuốc trừ sâu gốc Chlor hữu cơ; phospho hữu cơ; cúc tổng hợp…</v>
      </c>
      <c r="H23" s="126"/>
      <c r="I23" s="126"/>
      <c r="J23" s="34" t="str">
        <f>Thuysan!W37</f>
        <v>Ao 2</v>
      </c>
    </row>
    <row r="24" spans="1:10" ht="31.5" x14ac:dyDescent="0.25">
      <c r="A24" s="113">
        <f>_xlfn.AGGREGATE(3,3,$C$7:C24)</f>
        <v>18</v>
      </c>
      <c r="B24" s="34" t="str">
        <f>Thuysan!O38</f>
        <v>Cá tra thương phẩm</v>
      </c>
      <c r="C24" s="34" t="str">
        <f>Thuysan!P38</f>
        <v>83/0324/18</v>
      </c>
      <c r="D24" s="124" t="str">
        <f>Thuysan!Q38</f>
        <v>Chợ Lách 83/07</v>
      </c>
      <c r="E24" s="124" t="str">
        <f>Thuysan!R38</f>
        <v>Công ty CP Thủy sản Vinh Quang - Ấp Quân Bình, Xã Tân Thiềng</v>
      </c>
      <c r="F24" s="34">
        <f>Thuysan!S38</f>
        <v>1.5</v>
      </c>
      <c r="G24" s="34" t="str">
        <f>Thuysan!T38</f>
        <v>Malachite Green, Leuco Malachite Green</v>
      </c>
      <c r="H24" s="124" t="str">
        <f>Thuysan!U38</f>
        <v>19/03/2024</v>
      </c>
      <c r="I24" s="124" t="str">
        <f>Thuysan!V38</f>
        <v>Nguyễn Duy Khanh</v>
      </c>
      <c r="J24" s="34" t="str">
        <f>Thuysan!W38</f>
        <v>Ao 1B</v>
      </c>
    </row>
    <row r="25" spans="1:10" ht="19.5" customHeight="1" x14ac:dyDescent="0.25">
      <c r="A25" s="113">
        <f>_xlfn.AGGREGATE(3,3,$C$7:C25)</f>
        <v>19</v>
      </c>
      <c r="B25" s="34" t="str">
        <f>Thuysan!O39</f>
        <v>Cá tra thương phẩm</v>
      </c>
      <c r="C25" s="34" t="str">
        <f>Thuysan!P39</f>
        <v>83/0324/19</v>
      </c>
      <c r="D25" s="125"/>
      <c r="E25" s="125"/>
      <c r="F25" s="34">
        <f>Thuysan!S39</f>
        <v>1.5</v>
      </c>
      <c r="G25" s="34" t="str">
        <f>Thuysan!T39</f>
        <v>Ivermectin</v>
      </c>
      <c r="H25" s="125"/>
      <c r="I25" s="125"/>
      <c r="J25" s="34" t="str">
        <f>Thuysan!W39</f>
        <v>Ao 3B</v>
      </c>
    </row>
    <row r="26" spans="1:10" ht="31.5" x14ac:dyDescent="0.25">
      <c r="A26" s="113">
        <f>_xlfn.AGGREGATE(3,3,$C$7:C26)</f>
        <v>20</v>
      </c>
      <c r="B26" s="34" t="str">
        <f>Thuysan!O40</f>
        <v>Cá tra thương phẩm</v>
      </c>
      <c r="C26" s="34" t="str">
        <f>Thuysan!P40</f>
        <v>83/0324/20</v>
      </c>
      <c r="D26" s="125"/>
      <c r="E26" s="125"/>
      <c r="F26" s="34">
        <f>Thuysan!S40</f>
        <v>1.5</v>
      </c>
      <c r="G26" s="34" t="str">
        <f>Thuysan!T40</f>
        <v>Avermectin B1a (Abarmectin B1a)</v>
      </c>
      <c r="H26" s="125"/>
      <c r="I26" s="125"/>
      <c r="J26" s="34" t="str">
        <f>Thuysan!W40</f>
        <v>Ao 1</v>
      </c>
    </row>
    <row r="27" spans="1:10" ht="19.5" customHeight="1" x14ac:dyDescent="0.25">
      <c r="A27" s="113">
        <f>_xlfn.AGGREGATE(3,3,$C$7:C27)</f>
        <v>21</v>
      </c>
      <c r="B27" s="34" t="str">
        <f>Thuysan!O41</f>
        <v>Cá tra thương phẩm</v>
      </c>
      <c r="C27" s="34" t="str">
        <f>Thuysan!P41</f>
        <v>83/0324/21</v>
      </c>
      <c r="D27" s="125"/>
      <c r="E27" s="125"/>
      <c r="F27" s="34">
        <f>Thuysan!S41</f>
        <v>1.5</v>
      </c>
      <c r="G27" s="34" t="str">
        <f>Thuysan!T41</f>
        <v>Praziquantel</v>
      </c>
      <c r="H27" s="125"/>
      <c r="I27" s="125"/>
      <c r="J27" s="34" t="str">
        <f>Thuysan!W41</f>
        <v>Ao 3</v>
      </c>
    </row>
    <row r="28" spans="1:10" ht="21.75" customHeight="1" x14ac:dyDescent="0.25">
      <c r="A28" s="113">
        <f>_xlfn.AGGREGATE(3,3,$C$7:C28)</f>
        <v>22</v>
      </c>
      <c r="B28" s="34" t="str">
        <f>Thuysan!O42</f>
        <v>Cá tra thương phẩm</v>
      </c>
      <c r="C28" s="34" t="str">
        <f>Thuysan!P42</f>
        <v>83/0324/22</v>
      </c>
      <c r="D28" s="126"/>
      <c r="E28" s="126"/>
      <c r="F28" s="34">
        <f>Thuysan!S42</f>
        <v>1.5</v>
      </c>
      <c r="G28" s="34" t="str">
        <f>Thuysan!T42</f>
        <v xml:space="preserve"> Trichlorfon (Dipterex)</v>
      </c>
      <c r="H28" s="126"/>
      <c r="I28" s="126"/>
      <c r="J28" s="34" t="str">
        <f>Thuysan!W42</f>
        <v>Ao 4</v>
      </c>
    </row>
    <row r="29" spans="1:10" ht="18.75" x14ac:dyDescent="0.25">
      <c r="G29" s="130" t="s">
        <v>662</v>
      </c>
      <c r="H29" s="130"/>
      <c r="I29" s="130"/>
      <c r="J29" s="130"/>
    </row>
    <row r="30" spans="1:10" ht="18.75" x14ac:dyDescent="0.25">
      <c r="G30" s="131" t="s">
        <v>398</v>
      </c>
      <c r="H30" s="131"/>
      <c r="I30" s="131"/>
      <c r="J30" s="131"/>
    </row>
    <row r="31" spans="1:10" ht="18.75" x14ac:dyDescent="0.25">
      <c r="G31" s="58"/>
      <c r="H31" s="58"/>
      <c r="I31" s="58"/>
      <c r="J31" s="58"/>
    </row>
    <row r="32" spans="1:10" ht="18.75" x14ac:dyDescent="0.25">
      <c r="G32" s="39"/>
      <c r="H32" s="39"/>
      <c r="I32" s="39"/>
      <c r="J32" s="58"/>
    </row>
    <row r="33" spans="7:10" ht="8.25" customHeight="1" x14ac:dyDescent="0.25">
      <c r="G33" s="39"/>
      <c r="H33" s="39"/>
      <c r="I33" s="39"/>
      <c r="J33" s="58"/>
    </row>
    <row r="34" spans="7:10" ht="18" customHeight="1" x14ac:dyDescent="0.3">
      <c r="G34" s="129" t="s">
        <v>364</v>
      </c>
      <c r="H34" s="129"/>
      <c r="I34" s="129"/>
      <c r="J34" s="129"/>
    </row>
  </sheetData>
  <mergeCells count="35">
    <mergeCell ref="E18:E20"/>
    <mergeCell ref="E16:E17"/>
    <mergeCell ref="H7:H8"/>
    <mergeCell ref="I24:I28"/>
    <mergeCell ref="H24:H28"/>
    <mergeCell ref="H21:H23"/>
    <mergeCell ref="H18:H20"/>
    <mergeCell ref="H16:H17"/>
    <mergeCell ref="I7:I8"/>
    <mergeCell ref="I9:I14"/>
    <mergeCell ref="I16:I17"/>
    <mergeCell ref="I18:I20"/>
    <mergeCell ref="I21:I23"/>
    <mergeCell ref="A1:E1"/>
    <mergeCell ref="F1:J1"/>
    <mergeCell ref="A2:E2"/>
    <mergeCell ref="F2:J2"/>
    <mergeCell ref="A3:E3"/>
    <mergeCell ref="F3:J3"/>
    <mergeCell ref="G29:J29"/>
    <mergeCell ref="G30:J30"/>
    <mergeCell ref="G34:J34"/>
    <mergeCell ref="H9:H14"/>
    <mergeCell ref="A4:J4"/>
    <mergeCell ref="E9:E10"/>
    <mergeCell ref="D7:D8"/>
    <mergeCell ref="D9:D14"/>
    <mergeCell ref="E11:E12"/>
    <mergeCell ref="E13:E14"/>
    <mergeCell ref="D16:D17"/>
    <mergeCell ref="D18:D20"/>
    <mergeCell ref="D21:D23"/>
    <mergeCell ref="D24:D28"/>
    <mergeCell ref="E24:E28"/>
    <mergeCell ref="E21:E23"/>
  </mergeCells>
  <pageMargins left="0.28999999999999998" right="0.19" top="0.43" bottom="0.3" header="0.3" footer="0.18"/>
  <pageSetup paperSize="9"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opLeftCell="A13" zoomScaleNormal="100" workbookViewId="0">
      <selection activeCell="G25" sqref="G25:J25"/>
    </sheetView>
  </sheetViews>
  <sheetFormatPr defaultColWidth="11.42578125" defaultRowHeight="15" x14ac:dyDescent="0.25"/>
  <cols>
    <col min="1" max="1" width="5.42578125" style="38" customWidth="1"/>
    <col min="2" max="2" width="20.5703125" style="33" customWidth="1"/>
    <col min="3" max="3" width="11" style="33" customWidth="1"/>
    <col min="4" max="4" width="12.14062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8.855468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488</v>
      </c>
      <c r="B3" s="136"/>
      <c r="C3" s="136"/>
      <c r="D3" s="136"/>
      <c r="E3" s="136"/>
      <c r="F3" s="137" t="s">
        <v>642</v>
      </c>
      <c r="G3" s="137"/>
      <c r="H3" s="137"/>
      <c r="I3" s="137"/>
      <c r="J3" s="137"/>
    </row>
    <row r="4" spans="1:10" ht="21" customHeight="1" x14ac:dyDescent="0.25">
      <c r="A4" s="132" t="s">
        <v>643</v>
      </c>
      <c r="B4" s="132"/>
      <c r="C4" s="132"/>
      <c r="D4" s="132"/>
      <c r="E4" s="132"/>
      <c r="F4" s="132"/>
      <c r="G4" s="132"/>
      <c r="H4" s="132"/>
      <c r="I4" s="132"/>
      <c r="J4" s="132"/>
    </row>
    <row r="5" spans="1:10" ht="10.5" customHeight="1" x14ac:dyDescent="0.25"/>
    <row r="6" spans="1:10" ht="71.25" customHeight="1" x14ac:dyDescent="0.25">
      <c r="A6" s="31" t="s">
        <v>175</v>
      </c>
      <c r="B6" s="32" t="s">
        <v>205</v>
      </c>
      <c r="C6" s="32" t="s">
        <v>371</v>
      </c>
      <c r="D6" s="32" t="s">
        <v>390</v>
      </c>
      <c r="E6" s="31" t="s">
        <v>391</v>
      </c>
      <c r="F6" s="32" t="s">
        <v>392</v>
      </c>
      <c r="G6" s="31" t="s">
        <v>361</v>
      </c>
      <c r="H6" s="32" t="s">
        <v>360</v>
      </c>
      <c r="I6" s="32" t="s">
        <v>359</v>
      </c>
      <c r="J6" s="31" t="s">
        <v>176</v>
      </c>
    </row>
    <row r="7" spans="1:10" ht="29.25" customHeight="1" x14ac:dyDescent="0.25">
      <c r="A7" s="106">
        <f>_xlfn.AGGREGATE(3,3,$C$7:C7)</f>
        <v>1</v>
      </c>
      <c r="B7" s="34" t="str">
        <f>Thuysan!O4</f>
        <v>Cá tra thương phẩm</v>
      </c>
      <c r="C7" s="34" t="str">
        <f>Thuysan!P4</f>
        <v>83/0224/01</v>
      </c>
      <c r="D7" s="124" t="str">
        <f>Thuysan!Q4</f>
        <v>Ba Tri 83/01</v>
      </c>
      <c r="E7" s="34" t="str">
        <f>Thuysan!R4</f>
        <v>Công ty CP Gò Đàng - Ấp 4, Xã Tân Xuân</v>
      </c>
      <c r="F7" s="34">
        <f>Thuysan!S4</f>
        <v>1.5</v>
      </c>
      <c r="G7" s="34" t="str">
        <f>Thuysan!T4</f>
        <v xml:space="preserve"> Crystal Violet, Leuco Crystal Violet</v>
      </c>
      <c r="H7" s="124" t="str">
        <f>Thuysan!U4</f>
        <v>27/02/2024</v>
      </c>
      <c r="I7" s="124" t="str">
        <f>Thuysan!V4</f>
        <v>Phạm Minh Thuận</v>
      </c>
      <c r="J7" s="34" t="str">
        <f>Thuysan!W4</f>
        <v>Ao A2</v>
      </c>
    </row>
    <row r="8" spans="1:10" ht="27" customHeight="1" x14ac:dyDescent="0.25">
      <c r="A8" s="106">
        <f>_xlfn.AGGREGATE(3,3,$C$7:C8)</f>
        <v>2</v>
      </c>
      <c r="B8" s="34" t="str">
        <f>Thuysan!O5</f>
        <v>Cá chẽm nhỏ</v>
      </c>
      <c r="C8" s="34" t="str">
        <f>Thuysan!P5</f>
        <v>83/0224/02</v>
      </c>
      <c r="D8" s="125"/>
      <c r="E8" s="34" t="str">
        <f>Thuysan!R5</f>
        <v>Công ty TNHH Thực Phẩm Vạn Đức  - Ấp 6, Xã Bảo Thạnh</v>
      </c>
      <c r="F8" s="34">
        <f>Thuysan!S5</f>
        <v>1</v>
      </c>
      <c r="G8" s="34" t="str">
        <f>Thuysan!T5</f>
        <v>Methyltestosterone</v>
      </c>
      <c r="H8" s="125"/>
      <c r="I8" s="125"/>
      <c r="J8" s="34" t="str">
        <f>Thuysan!W5</f>
        <v>Ao B10</v>
      </c>
    </row>
    <row r="9" spans="1:10" ht="30" customHeight="1" x14ac:dyDescent="0.25">
      <c r="A9" s="106">
        <f>_xlfn.AGGREGATE(3,3,$C$7:C9)</f>
        <v>3</v>
      </c>
      <c r="B9" s="34" t="str">
        <f>Thuysan!O6</f>
        <v>Cá chẽm thương phẩm</v>
      </c>
      <c r="C9" s="34" t="str">
        <f>Thuysan!P6</f>
        <v>83/0224/03</v>
      </c>
      <c r="D9" s="126"/>
      <c r="E9" s="34" t="str">
        <f>Thuysan!R6</f>
        <v>Công ty TNHH Thực Phẩm Vạn Đức  - Ấp 6, Xã Bảo Thạnh</v>
      </c>
      <c r="F9" s="34">
        <f>Thuysan!S6</f>
        <v>1.5</v>
      </c>
      <c r="G9" s="34" t="str">
        <f>Thuysan!T6</f>
        <v>Pb, Hg, Cd</v>
      </c>
      <c r="H9" s="126"/>
      <c r="I9" s="126"/>
      <c r="J9" s="34" t="str">
        <f>Thuysan!W6</f>
        <v>Ao 6</v>
      </c>
    </row>
    <row r="10" spans="1:10" ht="31.5" x14ac:dyDescent="0.25">
      <c r="A10" s="106">
        <f>_xlfn.AGGREGATE(3,3,$C$7:C10)</f>
        <v>4</v>
      </c>
      <c r="B10" s="34" t="str">
        <f>Thuysan!O7</f>
        <v>Tôm chân trắng nhỏ</v>
      </c>
      <c r="C10" s="34" t="str">
        <f>Thuysan!P7</f>
        <v>83/0224/04</v>
      </c>
      <c r="D10" s="124" t="str">
        <f>Thuysan!Q7</f>
        <v>Bình Đại 83/02</v>
      </c>
      <c r="E10" s="34" t="str">
        <f>Thuysan!R7</f>
        <v>Cao Văn Dước - Ấp 3, Xã Phú Vang</v>
      </c>
      <c r="F10" s="34">
        <f>Thuysan!S7</f>
        <v>0.5</v>
      </c>
      <c r="G10" s="34" t="str">
        <f>Thuysan!T7</f>
        <v>Nhóm Nitroimidazoles</v>
      </c>
      <c r="H10" s="124" t="str">
        <f>Thuysan!U7</f>
        <v>27/02/2024</v>
      </c>
      <c r="I10" s="124" t="str">
        <f>Thuysan!V7</f>
        <v>Cao Quang Nguyên</v>
      </c>
      <c r="J10" s="34" t="str">
        <f>Thuysan!W7</f>
        <v>Ao 1</v>
      </c>
    </row>
    <row r="11" spans="1:10" ht="47.25" x14ac:dyDescent="0.25">
      <c r="A11" s="106">
        <f>_xlfn.AGGREGATE(3,3,$C$7:C11)</f>
        <v>5</v>
      </c>
      <c r="B11" s="34" t="str">
        <f>Thuysan!O8</f>
        <v>Cá tra nhỏ</v>
      </c>
      <c r="C11" s="34" t="str">
        <f>Thuysan!P8</f>
        <v>83/0224/05</v>
      </c>
      <c r="D11" s="126"/>
      <c r="E11" s="34" t="str">
        <f>Thuysan!R8</f>
        <v>Công ty CP Thủy sản Vinh Quang - Ấp Hưng Thạnh, Xã Châu Hưng</v>
      </c>
      <c r="F11" s="34">
        <f>Thuysan!S8</f>
        <v>1</v>
      </c>
      <c r="G11" s="34" t="str">
        <f>Thuysan!T8</f>
        <v>Methyltestosterone</v>
      </c>
      <c r="H11" s="126"/>
      <c r="I11" s="126"/>
      <c r="J11" s="34" t="str">
        <f>Thuysan!W8</f>
        <v>Ao 1</v>
      </c>
    </row>
    <row r="12" spans="1:10" ht="47.25" x14ac:dyDescent="0.25">
      <c r="A12" s="106">
        <f>_xlfn.AGGREGATE(3,3,$C$7:C12)</f>
        <v>6</v>
      </c>
      <c r="B12" s="34" t="str">
        <f>Thuysan!O9</f>
        <v>Tôm chân trắng nhỏ</v>
      </c>
      <c r="C12" s="34" t="str">
        <f>Thuysan!P9</f>
        <v>83/0224/06</v>
      </c>
      <c r="D12" s="34" t="str">
        <f>Thuysan!Q9</f>
        <v>Thạnh Phú 83/03</v>
      </c>
      <c r="E12" s="34" t="str">
        <f>Thuysan!R9</f>
        <v>Cao Văn Tùng - Ấp An Hòa, Xã An Nhơn</v>
      </c>
      <c r="F12" s="34">
        <f>Thuysan!S9</f>
        <v>0.5</v>
      </c>
      <c r="G12" s="34" t="str">
        <f>Thuysan!T9</f>
        <v>Chloramphenicol</v>
      </c>
      <c r="H12" s="34" t="str">
        <f>Thuysan!U9</f>
        <v>28/02/2024</v>
      </c>
      <c r="I12" s="34" t="str">
        <f>Thuysan!V9</f>
        <v>Cao Quang Nguyên</v>
      </c>
      <c r="J12" s="34" t="str">
        <f>Thuysan!W9</f>
        <v>Ao 1</v>
      </c>
    </row>
    <row r="13" spans="1:10" ht="45" customHeight="1" x14ac:dyDescent="0.25">
      <c r="A13" s="106">
        <f>_xlfn.AGGREGATE(3,3,$C$7:C13)</f>
        <v>7</v>
      </c>
      <c r="B13" s="34" t="str">
        <f>Thuysan!O10</f>
        <v>Cá tra nhỏ</v>
      </c>
      <c r="C13" s="34" t="str">
        <f>Thuysan!P10</f>
        <v>83/0224/07</v>
      </c>
      <c r="D13" s="124" t="str">
        <f>Thuysan!Q10</f>
        <v>Châu Thành 83/05</v>
      </c>
      <c r="E13" s="124" t="str">
        <f>Thuysan!R10</f>
        <v>Công ty CP Gò Đàng - Ấp Phú Luông, Xã Tân Phú</v>
      </c>
      <c r="F13" s="34">
        <f>Thuysan!S10</f>
        <v>1</v>
      </c>
      <c r="G13" s="34" t="str">
        <f>Thuysan!T10</f>
        <v>Methyltestosterone</v>
      </c>
      <c r="H13" s="124" t="str">
        <f>Thuysan!U10</f>
        <v>27/02/2024</v>
      </c>
      <c r="I13" s="124" t="str">
        <f>Thuysan!V10</f>
        <v>Nguyễn Duy Khanh</v>
      </c>
      <c r="J13" s="34" t="str">
        <f>Thuysan!W10</f>
        <v>Ao 3</v>
      </c>
    </row>
    <row r="14" spans="1:10" ht="16.5" customHeight="1" x14ac:dyDescent="0.25">
      <c r="A14" s="106">
        <f>_xlfn.AGGREGATE(3,3,$C$7:C14)</f>
        <v>8</v>
      </c>
      <c r="B14" s="34" t="str">
        <f>Thuysan!O11</f>
        <v>Cá tra nhỏ</v>
      </c>
      <c r="C14" s="34" t="str">
        <f>Thuysan!P11</f>
        <v>83/0224/08</v>
      </c>
      <c r="D14" s="125"/>
      <c r="E14" s="125"/>
      <c r="F14" s="34">
        <f>Thuysan!S11</f>
        <v>1</v>
      </c>
      <c r="G14" s="34" t="str">
        <f>Thuysan!T11</f>
        <v>Nhóm Nitroimidazoles</v>
      </c>
      <c r="H14" s="125"/>
      <c r="I14" s="125"/>
      <c r="J14" s="34" t="str">
        <f>Thuysan!W11</f>
        <v>Ao 4</v>
      </c>
    </row>
    <row r="15" spans="1:10" ht="18.75" customHeight="1" x14ac:dyDescent="0.25">
      <c r="A15" s="106">
        <f>_xlfn.AGGREGATE(3,3,$C$7:C15)</f>
        <v>9</v>
      </c>
      <c r="B15" s="34" t="str">
        <f>Thuysan!O12</f>
        <v>Cá tra nhỏ</v>
      </c>
      <c r="C15" s="34" t="str">
        <f>Thuysan!P12</f>
        <v>83/0224/09</v>
      </c>
      <c r="D15" s="126"/>
      <c r="E15" s="126"/>
      <c r="F15" s="34">
        <f>Thuysan!S12</f>
        <v>1</v>
      </c>
      <c r="G15" s="34" t="str">
        <f>Thuysan!T12</f>
        <v>Pb, Hg, Cd</v>
      </c>
      <c r="H15" s="126"/>
      <c r="I15" s="126"/>
      <c r="J15" s="34" t="str">
        <f>Thuysan!W12</f>
        <v>Ao 5</v>
      </c>
    </row>
    <row r="16" spans="1:10" ht="21" customHeight="1" x14ac:dyDescent="0.25">
      <c r="A16" s="106">
        <f>_xlfn.AGGREGATE(3,3,$C$7:C16)</f>
        <v>10</v>
      </c>
      <c r="B16" s="34" t="str">
        <f>Thuysan!O13</f>
        <v>Cá tra nhỏ</v>
      </c>
      <c r="C16" s="34" t="str">
        <f>Thuysan!P13</f>
        <v>83/0224/10</v>
      </c>
      <c r="D16" s="124" t="str">
        <f>Thuysan!Q13</f>
        <v>Giồng Trôm 83/06</v>
      </c>
      <c r="E16" s="124" t="str">
        <f>Thuysan!R13</f>
        <v>Công ty CP Gò Đàng - Ấp 1, Xã Sơn Phú</v>
      </c>
      <c r="F16" s="34">
        <f>Thuysan!S13</f>
        <v>1</v>
      </c>
      <c r="G16" s="34" t="str">
        <f>Thuysan!T13</f>
        <v>Methyltestosterone</v>
      </c>
      <c r="H16" s="124" t="str">
        <f>Thuysan!U13</f>
        <v>28/02/2024</v>
      </c>
      <c r="I16" s="124" t="str">
        <f>Thuysan!V13</f>
        <v>Phạm Minh Thuận</v>
      </c>
      <c r="J16" s="34" t="str">
        <f>Thuysan!W13</f>
        <v>Ao 2</v>
      </c>
    </row>
    <row r="17" spans="1:10" ht="21" customHeight="1" x14ac:dyDescent="0.25">
      <c r="A17" s="106">
        <f>_xlfn.AGGREGATE(3,3,$C$7:C17)</f>
        <v>11</v>
      </c>
      <c r="B17" s="34" t="str">
        <f>Thuysan!O14</f>
        <v>Cá tra thương phẩm</v>
      </c>
      <c r="C17" s="34" t="str">
        <f>Thuysan!P14</f>
        <v>83/0224/11</v>
      </c>
      <c r="D17" s="125"/>
      <c r="E17" s="125"/>
      <c r="F17" s="34">
        <f>Thuysan!S14</f>
        <v>1.5</v>
      </c>
      <c r="G17" s="34" t="str">
        <f>Thuysan!T14</f>
        <v>Chloramphenicol</v>
      </c>
      <c r="H17" s="125"/>
      <c r="I17" s="125"/>
      <c r="J17" s="34" t="str">
        <f>Thuysan!W14</f>
        <v>Ao 3</v>
      </c>
    </row>
    <row r="18" spans="1:10" ht="21" customHeight="1" x14ac:dyDescent="0.25">
      <c r="A18" s="106">
        <f>_xlfn.AGGREGATE(3,3,$C$7:C18)</f>
        <v>12</v>
      </c>
      <c r="B18" s="34" t="str">
        <f>Thuysan!O15</f>
        <v>Cá tra thương phẩm</v>
      </c>
      <c r="C18" s="34" t="str">
        <f>Thuysan!P15</f>
        <v>83/0224/12</v>
      </c>
      <c r="D18" s="125"/>
      <c r="E18" s="125"/>
      <c r="F18" s="34">
        <f>Thuysan!S15</f>
        <v>1.5</v>
      </c>
      <c r="G18" s="34" t="str">
        <f>Thuysan!T15</f>
        <v>Nitrofurans</v>
      </c>
      <c r="H18" s="125"/>
      <c r="I18" s="125"/>
      <c r="J18" s="34" t="str">
        <f>Thuysan!W15</f>
        <v>Ao 5</v>
      </c>
    </row>
    <row r="19" spans="1:10" ht="21" customHeight="1" x14ac:dyDescent="0.25">
      <c r="A19" s="106">
        <f>_xlfn.AGGREGATE(3,3,$C$7:C19)</f>
        <v>13</v>
      </c>
      <c r="B19" s="34" t="str">
        <f>Thuysan!O16</f>
        <v>Cá tra thương phẩm</v>
      </c>
      <c r="C19" s="34" t="str">
        <f>Thuysan!P16</f>
        <v>83/0224/13</v>
      </c>
      <c r="D19" s="126"/>
      <c r="E19" s="126"/>
      <c r="F19" s="34">
        <f>Thuysan!S16</f>
        <v>1.5</v>
      </c>
      <c r="G19" s="34" t="str">
        <f>Thuysan!T16</f>
        <v>Nhóm Nitroimidazoles</v>
      </c>
      <c r="H19" s="126"/>
      <c r="I19" s="126"/>
      <c r="J19" s="34" t="str">
        <f>Thuysan!W16</f>
        <v>Ao 6</v>
      </c>
    </row>
    <row r="20" spans="1:10" ht="21" customHeight="1" x14ac:dyDescent="0.25">
      <c r="A20" s="106">
        <f>_xlfn.AGGREGATE(3,3,$C$7:C20)</f>
        <v>14</v>
      </c>
      <c r="B20" s="34" t="str">
        <f>Thuysan!O17</f>
        <v>Cá tra nhỏ</v>
      </c>
      <c r="C20" s="34" t="str">
        <f>Thuysan!P17</f>
        <v>83/0224/14</v>
      </c>
      <c r="D20" s="124" t="str">
        <f>Thuysan!Q17</f>
        <v>Chợ Lách 83/07</v>
      </c>
      <c r="E20" s="124" t="str">
        <f>Thuysan!R17</f>
        <v>Công ty TNHH CBTPXK Vạn Đức Tiền Giang - Ấp Phú Bình, Xã Vĩnh Bình</v>
      </c>
      <c r="F20" s="34">
        <f>Thuysan!S17</f>
        <v>1</v>
      </c>
      <c r="G20" s="34" t="str">
        <f>Thuysan!T17</f>
        <v>Methyltestosterone</v>
      </c>
      <c r="H20" s="124" t="str">
        <f>Thuysan!U17</f>
        <v>28/02/2024</v>
      </c>
      <c r="I20" s="124" t="str">
        <f>Thuysan!V17</f>
        <v>Nguyễn Duy Khanh</v>
      </c>
      <c r="J20" s="34" t="str">
        <f>Thuysan!W17</f>
        <v>Ao 23</v>
      </c>
    </row>
    <row r="21" spans="1:10" ht="21" customHeight="1" x14ac:dyDescent="0.25">
      <c r="A21" s="106">
        <f>_xlfn.AGGREGATE(3,3,$C$7:C21)</f>
        <v>15</v>
      </c>
      <c r="B21" s="34" t="str">
        <f>Thuysan!O18</f>
        <v>Cá tra thương phẩm</v>
      </c>
      <c r="C21" s="34" t="str">
        <f>Thuysan!P18</f>
        <v>83/0224/15</v>
      </c>
      <c r="D21" s="125"/>
      <c r="E21" s="125"/>
      <c r="F21" s="34">
        <f>Thuysan!S18</f>
        <v>1.5</v>
      </c>
      <c r="G21" s="34" t="str">
        <f>Thuysan!T18</f>
        <v>Nhóm Nitroimidazoles</v>
      </c>
      <c r="H21" s="125"/>
      <c r="I21" s="125"/>
      <c r="J21" s="34" t="str">
        <f>Thuysan!W18</f>
        <v>Ao 8</v>
      </c>
    </row>
    <row r="22" spans="1:10" ht="21" customHeight="1" x14ac:dyDescent="0.25">
      <c r="A22" s="106">
        <f>_xlfn.AGGREGATE(3,3,$C$7:C22)</f>
        <v>16</v>
      </c>
      <c r="B22" s="34" t="str">
        <f>Thuysan!O19</f>
        <v>Cá tra thương phẩm</v>
      </c>
      <c r="C22" s="34" t="str">
        <f>Thuysan!P19</f>
        <v>83/0224/16</v>
      </c>
      <c r="D22" s="125"/>
      <c r="E22" s="125"/>
      <c r="F22" s="34">
        <f>Thuysan!S19</f>
        <v>1.5</v>
      </c>
      <c r="G22" s="34" t="str">
        <f>Thuysan!T19</f>
        <v>Albendazole</v>
      </c>
      <c r="H22" s="125"/>
      <c r="I22" s="125"/>
      <c r="J22" s="34" t="str">
        <f>Thuysan!W19</f>
        <v>Ao 11</v>
      </c>
    </row>
    <row r="23" spans="1:10" ht="19.5" customHeight="1" x14ac:dyDescent="0.25">
      <c r="A23" s="106">
        <f>_xlfn.AGGREGATE(3,3,$C$7:C23)</f>
        <v>17</v>
      </c>
      <c r="B23" s="34" t="str">
        <f>Thuysan!O20</f>
        <v>Cá tra thương phẩm</v>
      </c>
      <c r="C23" s="34" t="str">
        <f>Thuysan!P20</f>
        <v>83/0224/17</v>
      </c>
      <c r="D23" s="126"/>
      <c r="E23" s="126"/>
      <c r="F23" s="34">
        <f>Thuysan!S20</f>
        <v>1.5</v>
      </c>
      <c r="G23" s="34" t="str">
        <f>Thuysan!T20</f>
        <v>Perfluoroalkyl</v>
      </c>
      <c r="H23" s="126"/>
      <c r="I23" s="126"/>
      <c r="J23" s="34" t="str">
        <f>Thuysan!W20</f>
        <v>Ao 3</v>
      </c>
    </row>
    <row r="24" spans="1:10" ht="7.5" customHeight="1" x14ac:dyDescent="0.25">
      <c r="G24" s="39"/>
      <c r="H24" s="39"/>
      <c r="I24" s="39"/>
      <c r="J24" s="54"/>
    </row>
    <row r="25" spans="1:10" ht="18.75" x14ac:dyDescent="0.25">
      <c r="G25" s="130" t="s">
        <v>644</v>
      </c>
      <c r="H25" s="130"/>
      <c r="I25" s="130"/>
      <c r="J25" s="130"/>
    </row>
    <row r="26" spans="1:10" ht="18.75" x14ac:dyDescent="0.25">
      <c r="G26" s="131" t="s">
        <v>398</v>
      </c>
      <c r="H26" s="131"/>
      <c r="I26" s="131"/>
      <c r="J26" s="131"/>
    </row>
    <row r="27" spans="1:10" ht="18.75" x14ac:dyDescent="0.25">
      <c r="G27" s="54"/>
      <c r="H27" s="54"/>
      <c r="I27" s="54"/>
      <c r="J27" s="54"/>
    </row>
    <row r="28" spans="1:10" ht="18.75" x14ac:dyDescent="0.25">
      <c r="G28" s="39"/>
      <c r="H28" s="39"/>
      <c r="I28" s="39"/>
      <c r="J28" s="54"/>
    </row>
    <row r="29" spans="1:10" ht="22.5" customHeight="1" x14ac:dyDescent="0.25">
      <c r="G29" s="39"/>
      <c r="H29" s="39"/>
      <c r="I29" s="39"/>
      <c r="J29" s="54"/>
    </row>
    <row r="30" spans="1:10" ht="18" customHeight="1" x14ac:dyDescent="0.3">
      <c r="G30" s="129" t="s">
        <v>364</v>
      </c>
      <c r="H30" s="129"/>
      <c r="I30" s="129"/>
      <c r="J30" s="129"/>
    </row>
  </sheetData>
  <mergeCells count="28">
    <mergeCell ref="A4:J4"/>
    <mergeCell ref="A1:E1"/>
    <mergeCell ref="F1:J1"/>
    <mergeCell ref="A2:E2"/>
    <mergeCell ref="F2:J2"/>
    <mergeCell ref="A3:E3"/>
    <mergeCell ref="F3:J3"/>
    <mergeCell ref="G30:J30"/>
    <mergeCell ref="G25:J25"/>
    <mergeCell ref="G26:J26"/>
    <mergeCell ref="I20:I23"/>
    <mergeCell ref="I16:I19"/>
    <mergeCell ref="D7:D9"/>
    <mergeCell ref="D10:D11"/>
    <mergeCell ref="D13:D15"/>
    <mergeCell ref="D16:D19"/>
    <mergeCell ref="D20:D23"/>
    <mergeCell ref="I7:I9"/>
    <mergeCell ref="E20:E23"/>
    <mergeCell ref="H7:H9"/>
    <mergeCell ref="H10:H11"/>
    <mergeCell ref="H13:H15"/>
    <mergeCell ref="H16:H19"/>
    <mergeCell ref="H20:H23"/>
    <mergeCell ref="I13:I15"/>
    <mergeCell ref="I10:I11"/>
    <mergeCell ref="E13:E15"/>
    <mergeCell ref="E16:E19"/>
  </mergeCells>
  <pageMargins left="0.28999999999999998" right="0.19" top="0.43" bottom="0.3" header="0.3" footer="0.18"/>
  <pageSetup paperSize="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Normal="100" workbookViewId="0">
      <selection activeCell="J25" sqref="J25"/>
    </sheetView>
  </sheetViews>
  <sheetFormatPr defaultColWidth="11.42578125" defaultRowHeight="15" x14ac:dyDescent="0.25"/>
  <cols>
    <col min="1" max="1" width="5.42578125" style="38" customWidth="1"/>
    <col min="2" max="2" width="26.85546875" style="33" customWidth="1"/>
    <col min="3" max="3" width="11" style="33" customWidth="1"/>
    <col min="4" max="4" width="7.85546875" style="33" customWidth="1"/>
    <col min="5" max="5" width="30.42578125" style="33" customWidth="1"/>
    <col min="6" max="6" width="6.28515625" style="33" customWidth="1"/>
    <col min="7" max="7" width="25.42578125" style="33" customWidth="1"/>
    <col min="8" max="8" width="6.85546875" style="33" customWidth="1"/>
    <col min="9" max="9" width="10.85546875" style="33" customWidth="1"/>
    <col min="10" max="10" width="10.7109375" style="38" customWidth="1"/>
    <col min="11" max="16384" width="11.42578125" style="33"/>
  </cols>
  <sheetData>
    <row r="1" spans="1:10" ht="18.75" x14ac:dyDescent="0.25">
      <c r="A1" s="133" t="s">
        <v>393</v>
      </c>
      <c r="B1" s="133"/>
      <c r="C1" s="133"/>
      <c r="D1" s="133"/>
      <c r="E1" s="133"/>
      <c r="F1" s="134" t="s">
        <v>396</v>
      </c>
      <c r="G1" s="134"/>
      <c r="H1" s="134"/>
      <c r="I1" s="134"/>
      <c r="J1" s="134"/>
    </row>
    <row r="2" spans="1:10" ht="31.5" customHeight="1" x14ac:dyDescent="0.25">
      <c r="A2" s="132" t="s">
        <v>395</v>
      </c>
      <c r="B2" s="132"/>
      <c r="C2" s="132"/>
      <c r="D2" s="132"/>
      <c r="E2" s="132"/>
      <c r="F2" s="135" t="s">
        <v>397</v>
      </c>
      <c r="G2" s="135"/>
      <c r="H2" s="135"/>
      <c r="I2" s="135"/>
      <c r="J2" s="135"/>
    </row>
    <row r="3" spans="1:10" ht="21.75" customHeight="1" x14ac:dyDescent="0.25">
      <c r="A3" s="136" t="s">
        <v>394</v>
      </c>
      <c r="B3" s="136"/>
      <c r="C3" s="136"/>
      <c r="D3" s="136"/>
      <c r="E3" s="136"/>
      <c r="F3" s="137" t="s">
        <v>539</v>
      </c>
      <c r="G3" s="137"/>
      <c r="H3" s="137"/>
      <c r="I3" s="137"/>
      <c r="J3" s="137"/>
    </row>
    <row r="4" spans="1:10" ht="21" customHeight="1" x14ac:dyDescent="0.25">
      <c r="A4" s="132" t="s">
        <v>542</v>
      </c>
      <c r="B4" s="132"/>
      <c r="C4" s="132"/>
      <c r="D4" s="132"/>
      <c r="E4" s="132"/>
      <c r="F4" s="132"/>
      <c r="G4" s="132"/>
      <c r="H4" s="132"/>
      <c r="I4" s="132"/>
      <c r="J4" s="132"/>
    </row>
    <row r="5" spans="1:10" ht="10.5" customHeight="1" x14ac:dyDescent="0.25"/>
    <row r="6" spans="1:10" ht="78.75" x14ac:dyDescent="0.25">
      <c r="A6" s="31" t="s">
        <v>175</v>
      </c>
      <c r="B6" s="32" t="s">
        <v>205</v>
      </c>
      <c r="C6" s="32" t="s">
        <v>371</v>
      </c>
      <c r="D6" s="32" t="s">
        <v>390</v>
      </c>
      <c r="E6" s="31" t="s">
        <v>391</v>
      </c>
      <c r="F6" s="32" t="s">
        <v>392</v>
      </c>
      <c r="G6" s="31" t="s">
        <v>361</v>
      </c>
      <c r="H6" s="32" t="s">
        <v>360</v>
      </c>
      <c r="I6" s="32" t="s">
        <v>359</v>
      </c>
      <c r="J6" s="31" t="s">
        <v>176</v>
      </c>
    </row>
    <row r="7" spans="1:10" ht="27" customHeight="1" x14ac:dyDescent="0.25">
      <c r="A7" s="37">
        <f>_xlfn.AGGREGATE(3,3,$C$7:C7)</f>
        <v>1</v>
      </c>
      <c r="B7" s="34" t="str">
        <f>Thuysan!O110</f>
        <v>Tôm sú thương phẩm</v>
      </c>
      <c r="C7" s="34" t="str">
        <f>Thuysan!P110</f>
        <v>83/0823/01</v>
      </c>
      <c r="D7" s="124" t="str">
        <f>Thuysan!Q110</f>
        <v>Ba Tri 83/01</v>
      </c>
      <c r="E7" s="124" t="str">
        <f>Thuysan!R110</f>
        <v>Huỳnh Văn Lâm - Ấp 7, Xã An Thủy</v>
      </c>
      <c r="F7" s="34">
        <f>Thuysan!S110</f>
        <v>1</v>
      </c>
      <c r="G7" s="34" t="str">
        <f>Thuysan!T110</f>
        <v>Azadirachtin</v>
      </c>
      <c r="H7" s="124" t="str">
        <f>Thuysan!U110</f>
        <v>21/08/2023</v>
      </c>
      <c r="I7" s="124" t="str">
        <f>Thuysan!V110</f>
        <v>Phạm Minh Thuận</v>
      </c>
      <c r="J7" s="34" t="str">
        <f>Thuysan!W110</f>
        <v>Ao 1</v>
      </c>
    </row>
    <row r="8" spans="1:10" ht="18.75" customHeight="1" x14ac:dyDescent="0.25">
      <c r="A8" s="37">
        <f>_xlfn.AGGREGATE(3,3,$C$7:C8)</f>
        <v>2</v>
      </c>
      <c r="B8" s="34" t="str">
        <f>Thuysan!O111</f>
        <v>Tôm chân trắng thương phẩm</v>
      </c>
      <c r="C8" s="34" t="str">
        <f>Thuysan!P111</f>
        <v>83/0823/02</v>
      </c>
      <c r="D8" s="126"/>
      <c r="E8" s="126"/>
      <c r="F8" s="34">
        <f>Thuysan!S111</f>
        <v>1</v>
      </c>
      <c r="G8" s="34" t="str">
        <f>Thuysan!T111</f>
        <v>Azadirachtin</v>
      </c>
      <c r="H8" s="126"/>
      <c r="I8" s="126"/>
      <c r="J8" s="34" t="str">
        <f>Thuysan!W111</f>
        <v>Ao 2</v>
      </c>
    </row>
    <row r="9" spans="1:10" ht="14.25" customHeight="1" x14ac:dyDescent="0.25">
      <c r="A9" s="37">
        <f>_xlfn.AGGREGATE(3,3,$C$7:C9)</f>
        <v>3</v>
      </c>
      <c r="B9" s="34" t="str">
        <f>Thuysan!O112</f>
        <v>Tôm sú thương phẩm</v>
      </c>
      <c r="C9" s="34" t="str">
        <f>Thuysan!P112</f>
        <v>83/0823/03</v>
      </c>
      <c r="D9" s="124" t="str">
        <f>Thuysan!Q112</f>
        <v>Bình Đại 83/02</v>
      </c>
      <c r="E9" s="124" t="str">
        <f>Thuysan!R112</f>
        <v>Lê Bá Tú - Ấp 3, Xã Thạnh Trị</v>
      </c>
      <c r="F9" s="34">
        <f>Thuysan!S112</f>
        <v>1</v>
      </c>
      <c r="G9" s="34" t="str">
        <f>Thuysan!T112</f>
        <v>Nhóm Quinolones</v>
      </c>
      <c r="H9" s="124" t="str">
        <f>Thuysan!U112</f>
        <v>21/08/2023</v>
      </c>
      <c r="I9" s="124" t="str">
        <f>Thuysan!V112</f>
        <v>Cao Quang Nguyên</v>
      </c>
      <c r="J9" s="34" t="str">
        <f>Thuysan!W112</f>
        <v>Ao 1</v>
      </c>
    </row>
    <row r="10" spans="1:10" ht="21" customHeight="1" x14ac:dyDescent="0.25">
      <c r="A10" s="37">
        <f>_xlfn.AGGREGATE(3,3,$C$7:C10)</f>
        <v>4</v>
      </c>
      <c r="B10" s="34" t="str">
        <f>Thuysan!O113</f>
        <v>Tôm chân trắng thương phẩm</v>
      </c>
      <c r="C10" s="34" t="str">
        <f>Thuysan!P113</f>
        <v>83/0823/04</v>
      </c>
      <c r="D10" s="125"/>
      <c r="E10" s="126"/>
      <c r="F10" s="34">
        <f>Thuysan!S113</f>
        <v>1</v>
      </c>
      <c r="G10" s="34" t="str">
        <f>Thuysan!T113</f>
        <v>Nhóm Quinolones</v>
      </c>
      <c r="H10" s="125"/>
      <c r="I10" s="125"/>
      <c r="J10" s="34" t="str">
        <f>Thuysan!W113</f>
        <v>Ao 2</v>
      </c>
    </row>
    <row r="11" spans="1:10" ht="22.5" customHeight="1" x14ac:dyDescent="0.25">
      <c r="A11" s="37">
        <f>_xlfn.AGGREGATE(3,3,$C$7:C11)</f>
        <v>5</v>
      </c>
      <c r="B11" s="34" t="str">
        <f>Thuysan!O114</f>
        <v>Cá tra nhỏ</v>
      </c>
      <c r="C11" s="34" t="str">
        <f>Thuysan!P114</f>
        <v>83/0823/05</v>
      </c>
      <c r="D11" s="125"/>
      <c r="E11" s="124" t="str">
        <f>Thuysan!R114</f>
        <v>Công ty CP Gò Đàng - Ấp Việc Giữa, Xã Thới Lai</v>
      </c>
      <c r="F11" s="34">
        <f>Thuysan!S114</f>
        <v>1</v>
      </c>
      <c r="G11" s="34" t="str">
        <f>Thuysan!T114</f>
        <v>-</v>
      </c>
      <c r="H11" s="125"/>
      <c r="I11" s="125"/>
      <c r="J11" s="34" t="str">
        <f>Thuysan!W114</f>
        <v>Ao 5</v>
      </c>
    </row>
    <row r="12" spans="1:10" ht="15.75" customHeight="1" x14ac:dyDescent="0.25">
      <c r="A12" s="37">
        <f>_xlfn.AGGREGATE(3,3,$C$7:C12)</f>
        <v>6</v>
      </c>
      <c r="B12" s="34" t="str">
        <f>Thuysan!O115</f>
        <v>Cá tra nhỏ</v>
      </c>
      <c r="C12" s="34" t="str">
        <f>Thuysan!P115</f>
        <v>83/0823/06</v>
      </c>
      <c r="D12" s="125"/>
      <c r="E12" s="126"/>
      <c r="F12" s="34">
        <f>Thuysan!S115</f>
        <v>1</v>
      </c>
      <c r="G12" s="34" t="str">
        <f>Thuysan!T115</f>
        <v>Nitrofurans</v>
      </c>
      <c r="H12" s="125"/>
      <c r="I12" s="125"/>
      <c r="J12" s="34" t="str">
        <f>Thuysan!W115</f>
        <v>Ao 4</v>
      </c>
    </row>
    <row r="13" spans="1:10" ht="39.75" customHeight="1" x14ac:dyDescent="0.25">
      <c r="A13" s="37">
        <f>_xlfn.AGGREGATE(3,3,$C$7:C13)</f>
        <v>7</v>
      </c>
      <c r="B13" s="34" t="str">
        <f>Thuysan!O116</f>
        <v>Nước ương tôm giống</v>
      </c>
      <c r="C13" s="34" t="str">
        <f>Thuysan!P116</f>
        <v>83/0823/07</v>
      </c>
      <c r="D13" s="125"/>
      <c r="E13" s="34" t="str">
        <f>Thuysan!R116</f>
        <v>Công ty TNHH TS Toàn Cầu - Ấp Bình Thới, Xã Thới Thuận</v>
      </c>
      <c r="F13" s="34">
        <f>Thuysan!S116</f>
        <v>1</v>
      </c>
      <c r="G13" s="34" t="str">
        <f>Thuysan!T116</f>
        <v>Chloramphenicol, Furazolidone</v>
      </c>
      <c r="H13" s="125"/>
      <c r="I13" s="125"/>
      <c r="J13" s="34" t="str">
        <f>Thuysan!W116</f>
        <v>Bể 14</v>
      </c>
    </row>
    <row r="14" spans="1:10" ht="47.25" x14ac:dyDescent="0.25">
      <c r="A14" s="37">
        <f>_xlfn.AGGREGATE(3,3,$C$7:C14)</f>
        <v>8</v>
      </c>
      <c r="B14" s="34" t="str">
        <f>Thuysan!O117</f>
        <v>Nước ương tôm giống</v>
      </c>
      <c r="C14" s="34" t="str">
        <f>Thuysan!P117</f>
        <v>83/0823/08</v>
      </c>
      <c r="D14" s="125"/>
      <c r="E14" s="34" t="str">
        <f>Thuysan!R117</f>
        <v>Công ty CP chăn nuôi C.P. Việt Nam-Chi nhánh 3 tại Bến Tre   - Ấp Bình Thới, Xã Thới Thuận</v>
      </c>
      <c r="F14" s="34">
        <f>Thuysan!S117</f>
        <v>1</v>
      </c>
      <c r="G14" s="34" t="str">
        <f>Thuysan!T117</f>
        <v>Chloramphenicol, Furazolidone</v>
      </c>
      <c r="H14" s="125"/>
      <c r="I14" s="125"/>
      <c r="J14" s="34" t="str">
        <f>Thuysan!W117</f>
        <v>Bể 1</v>
      </c>
    </row>
    <row r="15" spans="1:10" ht="36" customHeight="1" x14ac:dyDescent="0.25">
      <c r="A15" s="37">
        <f>_xlfn.AGGREGATE(3,3,$C$7:C15)</f>
        <v>9</v>
      </c>
      <c r="B15" s="34" t="str">
        <f>Thuysan!O118</f>
        <v>Nước ương tôm giống</v>
      </c>
      <c r="C15" s="34" t="str">
        <f>Thuysan!P118</f>
        <v>83/0823/09</v>
      </c>
      <c r="D15" s="125"/>
      <c r="E15" s="34" t="str">
        <f>Thuysan!R118</f>
        <v>Cơ sở SX tôm giống Bảy Tươi - Ấp 7, Xã Thạnh Phước</v>
      </c>
      <c r="F15" s="34">
        <f>Thuysan!S118</f>
        <v>1</v>
      </c>
      <c r="G15" s="34" t="str">
        <f>Thuysan!T118</f>
        <v>Chloramphenicol, Furazolidone</v>
      </c>
      <c r="H15" s="125"/>
      <c r="I15" s="125"/>
      <c r="J15" s="34" t="s">
        <v>353</v>
      </c>
    </row>
    <row r="16" spans="1:10" ht="42.75" customHeight="1" x14ac:dyDescent="0.25">
      <c r="A16" s="37">
        <f>_xlfn.AGGREGATE(3,3,$C$7:C16)</f>
        <v>10</v>
      </c>
      <c r="B16" s="34" t="str">
        <f>Thuysan!O119</f>
        <v>Nước ương tôm giống</v>
      </c>
      <c r="C16" s="34" t="str">
        <f>Thuysan!P119</f>
        <v>83/0823/10</v>
      </c>
      <c r="D16" s="126"/>
      <c r="E16" s="34" t="str">
        <f>Thuysan!R119</f>
        <v>Trung tâm SX Tôm giống Huy Thuận - Ấp Thừa Tiên, Xã Thừa Đức</v>
      </c>
      <c r="F16" s="34">
        <f>Thuysan!S119</f>
        <v>1</v>
      </c>
      <c r="G16" s="34" t="str">
        <f>Thuysan!T119</f>
        <v>Chloramphenicol, Furazolidone</v>
      </c>
      <c r="H16" s="126"/>
      <c r="I16" s="126"/>
      <c r="J16" s="34" t="str">
        <f>Thuysan!W119</f>
        <v>Bể 6</v>
      </c>
    </row>
    <row r="17" spans="1:10" ht="27" customHeight="1" x14ac:dyDescent="0.25">
      <c r="A17" s="37">
        <f>_xlfn.AGGREGATE(3,3,$C$7:C17)</f>
        <v>11</v>
      </c>
      <c r="B17" s="34" t="str">
        <f>Thuysan!O120</f>
        <v>Tôm sú thương phẩm</v>
      </c>
      <c r="C17" s="34" t="str">
        <f>Thuysan!P120</f>
        <v>83/0823/11</v>
      </c>
      <c r="D17" s="124" t="str">
        <f>Thuysan!Q120</f>
        <v>Thạnh Phú 83/03</v>
      </c>
      <c r="E17" s="124" t="str">
        <f>Thuysan!R120</f>
        <v>Trần Văn Tần  - Ấp Thạnh Thới B, Xã Thạnh Hải</v>
      </c>
      <c r="F17" s="34">
        <f>Thuysan!S120</f>
        <v>1</v>
      </c>
      <c r="G17" s="34" t="str">
        <f>Thuysan!T120</f>
        <v>Trimethoprim</v>
      </c>
      <c r="H17" s="124" t="str">
        <f>Thuysan!U120</f>
        <v>22/08/2023</v>
      </c>
      <c r="I17" s="124" t="str">
        <f>Thuysan!V120</f>
        <v>Cao Quang Nguyên</v>
      </c>
      <c r="J17" s="34" t="str">
        <f>Thuysan!W120</f>
        <v>Ao 1</v>
      </c>
    </row>
    <row r="18" spans="1:10" ht="26.25" customHeight="1" x14ac:dyDescent="0.25">
      <c r="A18" s="37">
        <f>_xlfn.AGGREGATE(3,3,$C$7:C18)</f>
        <v>12</v>
      </c>
      <c r="B18" s="34" t="str">
        <f>Thuysan!O121</f>
        <v>Tôm chân trắng thương phẩm</v>
      </c>
      <c r="C18" s="34" t="str">
        <f>Thuysan!P121</f>
        <v>83/0823/12</v>
      </c>
      <c r="D18" s="125"/>
      <c r="E18" s="126"/>
      <c r="F18" s="34">
        <f>Thuysan!S121</f>
        <v>1</v>
      </c>
      <c r="G18" s="34" t="str">
        <f>Thuysan!T121</f>
        <v>Erythromycin</v>
      </c>
      <c r="H18" s="125"/>
      <c r="I18" s="125"/>
      <c r="J18" s="34" t="str">
        <f>Thuysan!W121</f>
        <v>Ao 2</v>
      </c>
    </row>
    <row r="19" spans="1:10" ht="31.5" x14ac:dyDescent="0.25">
      <c r="A19" s="37">
        <f>_xlfn.AGGREGATE(3,3,$C$7:C19)</f>
        <v>13</v>
      </c>
      <c r="B19" s="34" t="str">
        <f>Thuysan!O122</f>
        <v>Tôm sú quảng canh</v>
      </c>
      <c r="C19" s="34" t="str">
        <f>Thuysan!P122</f>
        <v>83/0823/13</v>
      </c>
      <c r="D19" s="126"/>
      <c r="E19" s="34" t="str">
        <f>Thuysan!R122</f>
        <v>Phạm Văn Triều - Ấp 4, Xã Thạnh Phong</v>
      </c>
      <c r="F19" s="34">
        <f>Thuysan!S122</f>
        <v>1</v>
      </c>
      <c r="G19" s="34" t="str">
        <f>Thuysan!T122</f>
        <v>Nhóm Quinolones</v>
      </c>
      <c r="H19" s="126"/>
      <c r="I19" s="126"/>
      <c r="J19" s="34" t="str">
        <f>Thuysan!W122</f>
        <v/>
      </c>
    </row>
    <row r="20" spans="1:10" ht="31.5" x14ac:dyDescent="0.25">
      <c r="A20" s="37">
        <f>_xlfn.AGGREGATE(3,3,$C$7:C20)</f>
        <v>14</v>
      </c>
      <c r="B20" s="34" t="str">
        <f>Thuysan!O123</f>
        <v>Cá tra thương phẩm</v>
      </c>
      <c r="C20" s="34" t="str">
        <f>Thuysan!P123</f>
        <v>83/0823/14</v>
      </c>
      <c r="D20" s="124" t="str">
        <f>Thuysan!Q123</f>
        <v>Mỏ Cày 83/04</v>
      </c>
      <c r="E20" s="124" t="str">
        <f>Thuysan!R123</f>
        <v>Công ty CP Gò Đàng - Ấp Tân Phong, Xã Thành Thới A</v>
      </c>
      <c r="F20" s="34">
        <f>Thuysan!S123</f>
        <v>1.5</v>
      </c>
      <c r="G20" s="34" t="str">
        <f>Thuysan!T123</f>
        <v>-</v>
      </c>
      <c r="H20" s="124" t="str">
        <f>Thuysan!U123</f>
        <v>22/08/2023</v>
      </c>
      <c r="I20" s="124" t="str">
        <f>Thuysan!V123</f>
        <v>Phạm Minh Thuận</v>
      </c>
      <c r="J20" s="34" t="str">
        <f>Thuysan!W123</f>
        <v>Ao 11</v>
      </c>
    </row>
    <row r="21" spans="1:10" ht="24.75" customHeight="1" x14ac:dyDescent="0.25">
      <c r="A21" s="37">
        <f>_xlfn.AGGREGATE(3,3,$C$7:C21)</f>
        <v>15</v>
      </c>
      <c r="B21" s="34" t="str">
        <f>Thuysan!O124</f>
        <v>Cá tra thương phẩm</v>
      </c>
      <c r="C21" s="34" t="str">
        <f>Thuysan!P124</f>
        <v>83/0823/15</v>
      </c>
      <c r="D21" s="126"/>
      <c r="E21" s="126"/>
      <c r="F21" s="34">
        <f>Thuysan!S124</f>
        <v>1.5</v>
      </c>
      <c r="G21" s="34" t="str">
        <f>Thuysan!T124</f>
        <v>Trifluralin</v>
      </c>
      <c r="H21" s="126"/>
      <c r="I21" s="126"/>
      <c r="J21" s="34" t="str">
        <f>Thuysan!W124</f>
        <v>Ao 10</v>
      </c>
    </row>
    <row r="22" spans="1:10" ht="22.5" customHeight="1" x14ac:dyDescent="0.25">
      <c r="A22" s="37">
        <f>_xlfn.AGGREGATE(3,3,$C$7:C22)</f>
        <v>16</v>
      </c>
      <c r="B22" s="34" t="str">
        <f>Thuysan!O125</f>
        <v>Cá tra nhỏ</v>
      </c>
      <c r="C22" s="34" t="str">
        <f>Thuysan!P125</f>
        <v>83/0823/16</v>
      </c>
      <c r="D22" s="124" t="str">
        <f>Thuysan!Q125</f>
        <v>Châu Thành 83/05</v>
      </c>
      <c r="E22" s="124" t="str">
        <f>Thuysan!R125</f>
        <v>Công ty CP Hùng Vương - Ấp Phú Tân, Xã Phú Túc</v>
      </c>
      <c r="F22" s="34">
        <f>Thuysan!S125</f>
        <v>1</v>
      </c>
      <c r="G22" s="34" t="str">
        <f>Thuysan!T125</f>
        <v>Nitrofurans</v>
      </c>
      <c r="H22" s="124" t="str">
        <f>Thuysan!U125</f>
        <v>21/08/2023</v>
      </c>
      <c r="I22" s="124" t="str">
        <f>Thuysan!V125</f>
        <v>Nguyễn Duy Khanh</v>
      </c>
      <c r="J22" s="34" t="str">
        <f>Thuysan!W125</f>
        <v>Ao 4</v>
      </c>
    </row>
    <row r="23" spans="1:10" ht="22.5" customHeight="1" x14ac:dyDescent="0.25">
      <c r="A23" s="37">
        <f>_xlfn.AGGREGATE(3,3,$C$7:C23)</f>
        <v>17</v>
      </c>
      <c r="B23" s="34" t="str">
        <f>Thuysan!O126</f>
        <v>Cá tra nhỏ</v>
      </c>
      <c r="C23" s="34" t="str">
        <f>Thuysan!P126</f>
        <v>83/0823/17</v>
      </c>
      <c r="D23" s="126"/>
      <c r="E23" s="126"/>
      <c r="F23" s="34">
        <f>Thuysan!S126</f>
        <v>1</v>
      </c>
      <c r="G23" s="34" t="str">
        <f>Thuysan!T126</f>
        <v>-</v>
      </c>
      <c r="H23" s="126"/>
      <c r="I23" s="126"/>
      <c r="J23" s="34" t="str">
        <f>Thuysan!W126</f>
        <v>Ao 10</v>
      </c>
    </row>
    <row r="24" spans="1:10" ht="29.25" customHeight="1" x14ac:dyDescent="0.25">
      <c r="A24" s="37">
        <f>_xlfn.AGGREGATE(3,3,$C$7:C24)</f>
        <v>18</v>
      </c>
      <c r="B24" s="34" t="str">
        <f>Thuysan!O127</f>
        <v>Cá tra thương phẩm</v>
      </c>
      <c r="C24" s="34" t="str">
        <f>Thuysan!P127</f>
        <v>83/0823/18</v>
      </c>
      <c r="D24" s="124" t="str">
        <f>Thuysan!Q127</f>
        <v>Giồng Trôm 83/06</v>
      </c>
      <c r="E24" s="124" t="str">
        <f>Thuysan!R127</f>
        <v>Công ty CP Gò Đàng - Ấp 8, Xã Phước Long</v>
      </c>
      <c r="F24" s="34">
        <f>Thuysan!S127</f>
        <v>1.5</v>
      </c>
      <c r="G24" s="34" t="str">
        <f>Thuysan!T127</f>
        <v>Chloramphenicol</v>
      </c>
      <c r="H24" s="124" t="str">
        <f>Thuysan!U127</f>
        <v>23/08/2023</v>
      </c>
      <c r="I24" s="124" t="str">
        <f>Thuysan!V127</f>
        <v>Phạm Minh Thuận</v>
      </c>
      <c r="J24" s="34" t="str">
        <f>Thuysan!W127</f>
        <v>Ao 3</v>
      </c>
    </row>
    <row r="25" spans="1:10" ht="20.25" customHeight="1" x14ac:dyDescent="0.25">
      <c r="A25" s="37">
        <f>_xlfn.AGGREGATE(3,3,$C$7:C25)</f>
        <v>19</v>
      </c>
      <c r="B25" s="34" t="str">
        <f>Thuysan!O128</f>
        <v>Cá tra thương phẩm</v>
      </c>
      <c r="C25" s="34" t="str">
        <f>Thuysan!P128</f>
        <v>83/0823/19</v>
      </c>
      <c r="D25" s="126"/>
      <c r="E25" s="126"/>
      <c r="F25" s="34">
        <f>Thuysan!S128</f>
        <v>1.5</v>
      </c>
      <c r="G25" s="34" t="str">
        <f>Thuysan!T128</f>
        <v>Nitrofurans</v>
      </c>
      <c r="H25" s="126"/>
      <c r="I25" s="126"/>
      <c r="J25" s="34" t="str">
        <f>Thuysan!W128</f>
        <v>Ao 9</v>
      </c>
    </row>
    <row r="26" spans="1:10" ht="23.25" customHeight="1" x14ac:dyDescent="0.25">
      <c r="A26" s="37">
        <f>_xlfn.AGGREGATE(3,3,$C$7:C26)</f>
        <v>20</v>
      </c>
      <c r="B26" s="34" t="str">
        <f>Thuysan!O129</f>
        <v>Cá tra thương phẩm</v>
      </c>
      <c r="C26" s="34" t="str">
        <f>Thuysan!P129</f>
        <v>83/0823/20</v>
      </c>
      <c r="D26" s="124" t="str">
        <f>Thuysan!Q129</f>
        <v>Chợ Lách 83/07</v>
      </c>
      <c r="E26" s="124" t="str">
        <f>Thuysan!R129</f>
        <v>Công ty CP Vĩnh Hoàn - Ấp Quân Bình, Xã Tân Thiềng</v>
      </c>
      <c r="F26" s="34">
        <f>Thuysan!S129</f>
        <v>1.5</v>
      </c>
      <c r="G26" s="34" t="str">
        <f>Thuysan!T129</f>
        <v>Nhóm Tetracyclines</v>
      </c>
      <c r="H26" s="124" t="str">
        <f>Thuysan!U129</f>
        <v>22/08/2023</v>
      </c>
      <c r="I26" s="124" t="str">
        <f>Thuysan!V129</f>
        <v>Nguyễn Duy Khanh</v>
      </c>
      <c r="J26" s="34" t="str">
        <f>Thuysan!W129</f>
        <v>Ao 2</v>
      </c>
    </row>
    <row r="27" spans="1:10" ht="20.25" customHeight="1" x14ac:dyDescent="0.25">
      <c r="A27" s="37">
        <f>_xlfn.AGGREGATE(3,3,$C$7:C27)</f>
        <v>21</v>
      </c>
      <c r="B27" s="34" t="str">
        <f>Thuysan!O130</f>
        <v>Cá tra thương phẩm</v>
      </c>
      <c r="C27" s="34" t="str">
        <f>Thuysan!P130</f>
        <v>83/0823/21</v>
      </c>
      <c r="D27" s="125"/>
      <c r="E27" s="125"/>
      <c r="F27" s="34">
        <f>Thuysan!S130</f>
        <v>1.5</v>
      </c>
      <c r="G27" s="34" t="str">
        <f>Thuysan!T130</f>
        <v>Nhóm Quinolones</v>
      </c>
      <c r="H27" s="125"/>
      <c r="I27" s="125"/>
      <c r="J27" s="34" t="str">
        <f>Thuysan!W130</f>
        <v>Ao 3</v>
      </c>
    </row>
    <row r="28" spans="1:10" ht="31.5" x14ac:dyDescent="0.25">
      <c r="A28" s="37">
        <f>_xlfn.AGGREGATE(3,3,$C$7:C28)</f>
        <v>22</v>
      </c>
      <c r="B28" s="34" t="str">
        <f>Thuysan!O131</f>
        <v>Cá tra thương phẩm</v>
      </c>
      <c r="C28" s="34" t="str">
        <f>Thuysan!P131</f>
        <v>83/0823/22</v>
      </c>
      <c r="D28" s="125"/>
      <c r="E28" s="125"/>
      <c r="F28" s="34">
        <f>Thuysan!S131</f>
        <v>1.5</v>
      </c>
      <c r="G28" s="34" t="str">
        <f>Thuysan!T131</f>
        <v>-</v>
      </c>
      <c r="H28" s="125"/>
      <c r="I28" s="125"/>
      <c r="J28" s="34" t="str">
        <f>Thuysan!W131</f>
        <v>Ao 5</v>
      </c>
    </row>
    <row r="29" spans="1:10" ht="21.75" customHeight="1" x14ac:dyDescent="0.25">
      <c r="A29" s="37">
        <f>_xlfn.AGGREGATE(3,3,$C$7:C29)</f>
        <v>23</v>
      </c>
      <c r="B29" s="34" t="str">
        <f>Thuysan!O132</f>
        <v>Cá tra thương phẩm</v>
      </c>
      <c r="C29" s="34" t="str">
        <f>Thuysan!P132</f>
        <v>83/0823/23</v>
      </c>
      <c r="D29" s="126"/>
      <c r="E29" s="126"/>
      <c r="F29" s="34">
        <f>Thuysan!S132</f>
        <v>1.5</v>
      </c>
      <c r="G29" s="34" t="str">
        <f>Thuysan!T132</f>
        <v>Trifluralin</v>
      </c>
      <c r="H29" s="126"/>
      <c r="I29" s="126"/>
      <c r="J29" s="34" t="str">
        <f>Thuysan!W132</f>
        <v>Ao 7</v>
      </c>
    </row>
    <row r="30" spans="1:10" ht="19.5" customHeight="1" x14ac:dyDescent="0.25">
      <c r="G30" s="39"/>
      <c r="H30" s="39"/>
      <c r="I30" s="39"/>
      <c r="J30" s="40"/>
    </row>
    <row r="31" spans="1:10" ht="23.25" customHeight="1" x14ac:dyDescent="0.25">
      <c r="G31" s="130" t="s">
        <v>539</v>
      </c>
      <c r="H31" s="130"/>
      <c r="I31" s="130"/>
      <c r="J31" s="130"/>
    </row>
    <row r="32" spans="1:10" ht="23.25" customHeight="1" x14ac:dyDescent="0.25">
      <c r="G32" s="131" t="s">
        <v>398</v>
      </c>
      <c r="H32" s="131"/>
      <c r="I32" s="131"/>
      <c r="J32" s="131"/>
    </row>
    <row r="33" spans="7:10" ht="18.75" customHeight="1" x14ac:dyDescent="0.25">
      <c r="G33" s="40"/>
      <c r="H33" s="40"/>
      <c r="I33" s="40"/>
      <c r="J33" s="40"/>
    </row>
    <row r="34" spans="7:10" ht="20.25" customHeight="1" x14ac:dyDescent="0.25">
      <c r="G34" s="39"/>
      <c r="H34" s="39"/>
      <c r="I34" s="39"/>
      <c r="J34" s="40"/>
    </row>
    <row r="35" spans="7:10" ht="18.75" customHeight="1" x14ac:dyDescent="0.25">
      <c r="G35" s="39"/>
      <c r="H35" s="39"/>
      <c r="I35" s="39"/>
      <c r="J35" s="40"/>
    </row>
    <row r="36" spans="7:10" ht="21" customHeight="1" x14ac:dyDescent="0.3">
      <c r="G36" s="129" t="s">
        <v>364</v>
      </c>
      <c r="H36" s="129"/>
      <c r="I36" s="129"/>
      <c r="J36" s="129"/>
    </row>
    <row r="37" spans="7:10" ht="20.25" customHeight="1" x14ac:dyDescent="0.25"/>
    <row r="38" spans="7:10" ht="7.5" customHeight="1" x14ac:dyDescent="0.25"/>
    <row r="43" spans="7:10" ht="8.25" customHeight="1" x14ac:dyDescent="0.25"/>
    <row r="44" spans="7:10" ht="18" customHeight="1" x14ac:dyDescent="0.25"/>
  </sheetData>
  <mergeCells count="39">
    <mergeCell ref="D7:D8"/>
    <mergeCell ref="D9:D16"/>
    <mergeCell ref="D17:D19"/>
    <mergeCell ref="E7:E8"/>
    <mergeCell ref="E9:E10"/>
    <mergeCell ref="E11:E12"/>
    <mergeCell ref="E17:E18"/>
    <mergeCell ref="H26:H29"/>
    <mergeCell ref="G32:J32"/>
    <mergeCell ref="G36:J36"/>
    <mergeCell ref="F1:J1"/>
    <mergeCell ref="F2:J2"/>
    <mergeCell ref="F3:J3"/>
    <mergeCell ref="G31:J31"/>
    <mergeCell ref="A4:J4"/>
    <mergeCell ref="A1:E1"/>
    <mergeCell ref="A2:E2"/>
    <mergeCell ref="A3:E3"/>
    <mergeCell ref="D20:D21"/>
    <mergeCell ref="D22:D23"/>
    <mergeCell ref="D24:D25"/>
    <mergeCell ref="D26:D29"/>
    <mergeCell ref="E20:E21"/>
    <mergeCell ref="I26:I29"/>
    <mergeCell ref="E22:E23"/>
    <mergeCell ref="E24:E25"/>
    <mergeCell ref="E26:E29"/>
    <mergeCell ref="H7:H8"/>
    <mergeCell ref="I7:I8"/>
    <mergeCell ref="H9:H16"/>
    <mergeCell ref="I9:I16"/>
    <mergeCell ref="H17:H19"/>
    <mergeCell ref="I17:I19"/>
    <mergeCell ref="H20:H21"/>
    <mergeCell ref="I20:I21"/>
    <mergeCell ref="H22:H23"/>
    <mergeCell ref="I22:I23"/>
    <mergeCell ref="H24:H25"/>
    <mergeCell ref="I24:I25"/>
  </mergeCells>
  <pageMargins left="0.28999999999999998" right="0.19" top="0.43" bottom="0.3" header="0.3" footer="0.18"/>
  <pageSetup paperSize="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zoomScaleNormal="100" workbookViewId="0">
      <selection activeCell="E6" sqref="E6"/>
    </sheetView>
  </sheetViews>
  <sheetFormatPr defaultColWidth="11.42578125" defaultRowHeight="15" x14ac:dyDescent="0.25"/>
  <cols>
    <col min="1" max="1" width="5.42578125" style="38" customWidth="1"/>
    <col min="2" max="2" width="26.28515625" style="33" customWidth="1"/>
    <col min="3" max="3" width="11.140625" style="33" customWidth="1"/>
    <col min="4" max="4" width="7.42578125" style="33" customWidth="1"/>
    <col min="5" max="5" width="39.5703125" style="33" customWidth="1"/>
    <col min="6" max="6" width="5.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481</v>
      </c>
      <c r="B3" s="146"/>
      <c r="C3" s="146"/>
      <c r="D3" s="147" t="s">
        <v>482</v>
      </c>
      <c r="E3" s="147"/>
      <c r="F3" s="147"/>
    </row>
    <row r="4" spans="1:6" ht="21" customHeight="1" x14ac:dyDescent="0.25">
      <c r="A4" s="132" t="s">
        <v>483</v>
      </c>
      <c r="B4" s="132"/>
      <c r="C4" s="132"/>
      <c r="D4" s="132"/>
      <c r="E4" s="132"/>
      <c r="F4" s="132"/>
    </row>
    <row r="5" spans="1:6" ht="3.75" customHeight="1" x14ac:dyDescent="0.25"/>
    <row r="6" spans="1:6" ht="63" x14ac:dyDescent="0.25">
      <c r="A6" s="31" t="s">
        <v>175</v>
      </c>
      <c r="B6" s="32" t="s">
        <v>205</v>
      </c>
      <c r="C6" s="32" t="s">
        <v>371</v>
      </c>
      <c r="D6" s="32" t="s">
        <v>392</v>
      </c>
      <c r="E6" s="31" t="s">
        <v>361</v>
      </c>
      <c r="F6" s="32" t="s">
        <v>176</v>
      </c>
    </row>
    <row r="7" spans="1:6" ht="16.5" customHeight="1" x14ac:dyDescent="0.25">
      <c r="A7" s="37">
        <f>_xlfn.AGGREGATE(3,3,$C$7:C7)</f>
        <v>1</v>
      </c>
      <c r="B7" s="34" t="str">
        <f>Thuysan!O197</f>
        <v>Tôm chân trắng thương phẩm</v>
      </c>
      <c r="C7" s="34" t="str">
        <f>Thuysan!P197</f>
        <v>83/1222/01</v>
      </c>
      <c r="D7" s="36">
        <f>Thuysan!S197</f>
        <v>1</v>
      </c>
      <c r="E7" s="50" t="str">
        <f>Thuysan!T197</f>
        <v>Chloramphenicol, Nhóm Quinolones</v>
      </c>
      <c r="F7" s="50"/>
    </row>
    <row r="8" spans="1:6" ht="22.5" customHeight="1" x14ac:dyDescent="0.25">
      <c r="A8" s="37">
        <f>_xlfn.AGGREGATE(3,3,$C$7:C8)</f>
        <v>2</v>
      </c>
      <c r="B8" s="34" t="str">
        <f>Thuysan!O198</f>
        <v>Tôm chân trắng thương phẩm</v>
      </c>
      <c r="C8" s="34" t="str">
        <f>Thuysan!P198</f>
        <v>83/1222/02</v>
      </c>
      <c r="D8" s="50">
        <f>Thuysan!S198</f>
        <v>1</v>
      </c>
      <c r="E8" s="50" t="str">
        <f>Thuysan!T198</f>
        <v>Thuốc trừ sâu gốc Chlor hữu cơ, Pb, Hg, Cd</v>
      </c>
      <c r="F8" s="37"/>
    </row>
    <row r="9" spans="1:6" ht="16.5" customHeight="1" x14ac:dyDescent="0.25">
      <c r="A9" s="37">
        <f>_xlfn.AGGREGATE(3,3,$C$7:C9)</f>
        <v>3</v>
      </c>
      <c r="B9" s="34" t="str">
        <f>Thuysan!O199</f>
        <v>Tôm chân trắng thương phẩm</v>
      </c>
      <c r="C9" s="34" t="str">
        <f>Thuysan!P199</f>
        <v>83/1222/03</v>
      </c>
      <c r="D9" s="50">
        <f>Thuysan!S199</f>
        <v>1</v>
      </c>
      <c r="E9" s="50" t="str">
        <f>Thuysan!T199</f>
        <v>Chloramphenicol, Nhóm Quinolones</v>
      </c>
      <c r="F9" s="37"/>
    </row>
    <row r="10" spans="1:6" ht="24" customHeight="1" x14ac:dyDescent="0.25">
      <c r="A10" s="37">
        <f>_xlfn.AGGREGATE(3,3,$C$7:C10)</f>
        <v>4</v>
      </c>
      <c r="B10" s="34" t="str">
        <f>Thuysan!O200</f>
        <v>Tôm chân trắng thương phẩm</v>
      </c>
      <c r="C10" s="34" t="str">
        <f>Thuysan!P200</f>
        <v>83/1222/04</v>
      </c>
      <c r="D10" s="50">
        <f>Thuysan!S200</f>
        <v>1</v>
      </c>
      <c r="E10" s="50" t="str">
        <f>Thuysan!T200</f>
        <v>Thuốc trừ sâu gốc Chlor hữu cơ, Pb, Hg, Cd</v>
      </c>
      <c r="F10" s="41"/>
    </row>
    <row r="11" spans="1:6" ht="23.25" customHeight="1" x14ac:dyDescent="0.25">
      <c r="A11" s="37">
        <f>_xlfn.AGGREGATE(3,3,$C$7:C11)</f>
        <v>5</v>
      </c>
      <c r="B11" s="34" t="str">
        <f>Thuysan!O201</f>
        <v>Tôm chân trắng thương phẩm</v>
      </c>
      <c r="C11" s="34" t="str">
        <f>Thuysan!P201</f>
        <v>83/1222/05</v>
      </c>
      <c r="D11" s="50">
        <f>Thuysan!S201</f>
        <v>1</v>
      </c>
      <c r="E11" s="50" t="str">
        <f>Thuysan!T201</f>
        <v>Chloramphenicol, Nhóm Quinolones</v>
      </c>
      <c r="F11" s="37"/>
    </row>
    <row r="12" spans="1:6" ht="27" customHeight="1" x14ac:dyDescent="0.25">
      <c r="A12" s="37">
        <f>_xlfn.AGGREGATE(3,3,$C$7:C12)</f>
        <v>6</v>
      </c>
      <c r="B12" s="34" t="str">
        <f>Thuysan!O202</f>
        <v>Tôm chân trắng thương phẩm</v>
      </c>
      <c r="C12" s="34" t="str">
        <f>Thuysan!P202</f>
        <v>83/1222/06</v>
      </c>
      <c r="D12" s="50">
        <f>Thuysan!S202</f>
        <v>1</v>
      </c>
      <c r="E12" s="50" t="str">
        <f>Thuysan!T202</f>
        <v>Thuốc trừ sâu gốc Chlor hữu cơ, Pb, Hg, Cd</v>
      </c>
      <c r="F12" s="37"/>
    </row>
    <row r="13" spans="1:6" ht="25.5" customHeight="1" x14ac:dyDescent="0.25">
      <c r="A13" s="37">
        <f>_xlfn.AGGREGATE(3,3,$C$7:C13)</f>
        <v>7</v>
      </c>
      <c r="B13" s="34" t="str">
        <f>Thuysan!O203</f>
        <v>Cá tra thương phẩm</v>
      </c>
      <c r="C13" s="34" t="str">
        <f>Thuysan!P203</f>
        <v>83/1222/07</v>
      </c>
      <c r="D13" s="50">
        <f>Thuysan!S203</f>
        <v>1.5</v>
      </c>
      <c r="E13" s="50" t="str">
        <f>Thuysan!T203</f>
        <v>Chloramphenicol, Nhóm Quinolones</v>
      </c>
      <c r="F13" s="37"/>
    </row>
    <row r="14" spans="1:6" ht="63" x14ac:dyDescent="0.25">
      <c r="A14" s="37">
        <f>_xlfn.AGGREGATE(3,3,$C$7:C14)</f>
        <v>8</v>
      </c>
      <c r="B14" s="34" t="str">
        <f>Thuysan!O204</f>
        <v>Cá tra thương phẩm</v>
      </c>
      <c r="C14" s="34" t="str">
        <f>Thuysan!P204</f>
        <v>83/1222/08</v>
      </c>
      <c r="D14" s="50">
        <f>Thuysan!S204</f>
        <v>1.5</v>
      </c>
      <c r="E14" s="50" t="str">
        <f>Thuysan!T204</f>
        <v>Ivermectin, Praziquantel, Trichlorfon, Avermectin B1a, Malachite Green, Leuco Malachite Green, Crystal Violet, Leuco Crystal Violet</v>
      </c>
      <c r="F14" s="42"/>
    </row>
    <row r="15" spans="1:6" ht="23.25" customHeight="1" x14ac:dyDescent="0.25">
      <c r="A15" s="37">
        <f>_xlfn.AGGREGATE(3,3,$C$7:C15)</f>
        <v>9</v>
      </c>
      <c r="B15" s="34" t="str">
        <f>Thuysan!O205</f>
        <v>Cá tra thương phẩm</v>
      </c>
      <c r="C15" s="34" t="str">
        <f>Thuysan!P205</f>
        <v>83/1222/09</v>
      </c>
      <c r="D15" s="50">
        <f>Thuysan!S205</f>
        <v>1.5</v>
      </c>
      <c r="E15" s="50" t="str">
        <f>Thuysan!T205</f>
        <v>Chloramphenicol, Nhóm Quinolones</v>
      </c>
      <c r="F15" s="42"/>
    </row>
    <row r="16" spans="1:6" ht="32.25" customHeight="1" x14ac:dyDescent="0.25">
      <c r="A16" s="37">
        <f>_xlfn.AGGREGATE(3,3,$C$7:C16)</f>
        <v>10</v>
      </c>
      <c r="B16" s="34" t="str">
        <f>Thuysan!O206</f>
        <v>Cá tra thương phẩm</v>
      </c>
      <c r="C16" s="34" t="str">
        <f>Thuysan!P206</f>
        <v>83/1222/10</v>
      </c>
      <c r="D16" s="50">
        <f>Thuysan!S206</f>
        <v>1.5</v>
      </c>
      <c r="E16" s="50" t="str">
        <f>Thuysan!T206</f>
        <v>-</v>
      </c>
      <c r="F16" s="139"/>
    </row>
    <row r="17" spans="1:6" ht="31.5" x14ac:dyDescent="0.25">
      <c r="A17" s="37">
        <f>_xlfn.AGGREGATE(3,3,$C$7:C17)</f>
        <v>11</v>
      </c>
      <c r="B17" s="34" t="str">
        <f>Thuysan!O207</f>
        <v>Cá tra thương phẩm</v>
      </c>
      <c r="C17" s="34" t="str">
        <f>Thuysan!P207</f>
        <v>83/1222/11</v>
      </c>
      <c r="D17" s="50">
        <f>Thuysan!S207</f>
        <v>1.5</v>
      </c>
      <c r="E17" s="50" t="str">
        <f>Thuysan!T207</f>
        <v>-</v>
      </c>
      <c r="F17" s="140"/>
    </row>
    <row r="18" spans="1:6" ht="18" customHeight="1" x14ac:dyDescent="0.25">
      <c r="A18" s="37">
        <f>_xlfn.AGGREGATE(3,3,$C$7:C18)</f>
        <v>12</v>
      </c>
      <c r="B18" s="34" t="str">
        <f>Thuysan!O208</f>
        <v>Cá tra thương phẩm</v>
      </c>
      <c r="C18" s="34" t="str">
        <f>Thuysan!P208</f>
        <v>83/1222/12</v>
      </c>
      <c r="D18" s="50">
        <f>Thuysan!S208</f>
        <v>1.5</v>
      </c>
      <c r="E18" s="50" t="str">
        <f>Thuysan!T208</f>
        <v>-</v>
      </c>
      <c r="F18" s="141"/>
    </row>
    <row r="19" spans="1:6" ht="32.25" customHeight="1" x14ac:dyDescent="0.25">
      <c r="A19" s="37">
        <f>_xlfn.AGGREGATE(3,3,$C$7:C19)</f>
        <v>13</v>
      </c>
      <c r="B19" s="34" t="str">
        <f>Thuysan!O209</f>
        <v>Cá tra thương phẩm</v>
      </c>
      <c r="C19" s="34" t="str">
        <f>Thuysan!P209</f>
        <v>83/1222/13</v>
      </c>
      <c r="D19" s="50">
        <f>Thuysan!S209</f>
        <v>1.5</v>
      </c>
      <c r="E19" s="50" t="str">
        <f>Thuysan!T209</f>
        <v>Nhóm Quinolones, Ivermectin, Praziquantel, Trichlorfon, Avermectin B1a</v>
      </c>
      <c r="F19" s="37"/>
    </row>
    <row r="20" spans="1:6" ht="26.25" customHeight="1" x14ac:dyDescent="0.25">
      <c r="A20" s="37">
        <f>_xlfn.AGGREGATE(3,3,$C$7:C20)</f>
        <v>14</v>
      </c>
      <c r="B20" s="34" t="str">
        <f>Thuysan!O210</f>
        <v>Cá tra thương phẩm</v>
      </c>
      <c r="C20" s="34" t="str">
        <f>Thuysan!P210</f>
        <v>83/1222/14</v>
      </c>
      <c r="D20" s="50">
        <f>Thuysan!S210</f>
        <v>1.5</v>
      </c>
      <c r="E20" s="50" t="str">
        <f>Thuysan!T210</f>
        <v>-</v>
      </c>
      <c r="F20" s="37"/>
    </row>
    <row r="21" spans="1:6" ht="23.25" customHeight="1" x14ac:dyDescent="0.25">
      <c r="A21" s="37">
        <f>_xlfn.AGGREGATE(3,3,$C$7:C21)</f>
        <v>15</v>
      </c>
      <c r="B21" s="34" t="str">
        <f>Thuysan!O211</f>
        <v>Cá tra thương phẩm</v>
      </c>
      <c r="C21" s="34" t="str">
        <f>Thuysan!P211</f>
        <v>83/1222/15</v>
      </c>
      <c r="D21" s="50">
        <f>Thuysan!S211</f>
        <v>1.5</v>
      </c>
      <c r="E21" s="50" t="str">
        <f>Thuysan!T211</f>
        <v>-</v>
      </c>
      <c r="F21" s="37"/>
    </row>
    <row r="22" spans="1:6" ht="31.5" x14ac:dyDescent="0.25">
      <c r="A22" s="37">
        <f>_xlfn.AGGREGATE(3,3,$C$7:C22)</f>
        <v>16</v>
      </c>
      <c r="B22" s="34" t="str">
        <f>Thuysan!O212</f>
        <v>Cá tra thương phẩm</v>
      </c>
      <c r="C22" s="34" t="str">
        <f>Thuysan!P212</f>
        <v>83/1222/16</v>
      </c>
      <c r="D22" s="50">
        <f>Thuysan!S212</f>
        <v>1.5</v>
      </c>
      <c r="E22" s="50" t="str">
        <f>Thuysan!T212</f>
        <v>-</v>
      </c>
      <c r="F22" s="37"/>
    </row>
    <row r="23" spans="1:6" ht="15" customHeight="1" x14ac:dyDescent="0.25">
      <c r="A23" s="37">
        <f>_xlfn.AGGREGATE(3,3,$C$7:C23)</f>
        <v>17</v>
      </c>
      <c r="B23" s="34" t="str">
        <f>Thuysan!O213</f>
        <v>Cá tra thương phẩm</v>
      </c>
      <c r="C23" s="34" t="str">
        <f>Thuysan!P213</f>
        <v>83/0922/04</v>
      </c>
      <c r="D23" s="51">
        <f>Thuysan!S213</f>
        <v>1.5</v>
      </c>
      <c r="E23" s="51" t="str">
        <f>Thuysan!T213</f>
        <v>-</v>
      </c>
      <c r="F23" s="142" t="s">
        <v>484</v>
      </c>
    </row>
    <row r="24" spans="1:6" ht="15" customHeight="1" x14ac:dyDescent="0.25">
      <c r="A24" s="37">
        <f>_xlfn.AGGREGATE(3,3,$C$7:C24)</f>
        <v>18</v>
      </c>
      <c r="B24" s="34" t="str">
        <f>Thuysan!O214</f>
        <v>Cá tra thương phẩm</v>
      </c>
      <c r="C24" s="34" t="str">
        <f>Thuysan!P214</f>
        <v>83/0922/10</v>
      </c>
      <c r="D24" s="51">
        <f>Thuysan!S214</f>
        <v>1.5</v>
      </c>
      <c r="E24" s="51" t="str">
        <f>Thuysan!T214</f>
        <v>Chloramphenicol</v>
      </c>
      <c r="F24" s="142"/>
    </row>
    <row r="25" spans="1:6" ht="30" customHeight="1" x14ac:dyDescent="0.25">
      <c r="A25" s="37">
        <f>_xlfn.AGGREGATE(3,3,$C$7:C25)</f>
        <v>19</v>
      </c>
      <c r="B25" s="34" t="str">
        <f>Thuysan!O215</f>
        <v>Cá tra thương phẩm</v>
      </c>
      <c r="C25" s="34" t="str">
        <f>Thuysan!P215</f>
        <v>83/0922/11</v>
      </c>
      <c r="D25" s="51">
        <f>Thuysan!S215</f>
        <v>1.5</v>
      </c>
      <c r="E25" s="51" t="str">
        <f>Thuysan!T215</f>
        <v>-</v>
      </c>
      <c r="F25" s="142"/>
    </row>
    <row r="26" spans="1:6" ht="21" customHeight="1" x14ac:dyDescent="0.25">
      <c r="A26" s="37">
        <f>_xlfn.AGGREGATE(3,3,$C$7:C26)</f>
        <v>20</v>
      </c>
      <c r="B26" s="34" t="str">
        <f>Thuysan!O216</f>
        <v>Cá tra thương phẩm</v>
      </c>
      <c r="C26" s="34" t="str">
        <f>Thuysan!P216</f>
        <v>83/0922/12</v>
      </c>
      <c r="D26" s="51">
        <f>Thuysan!S216</f>
        <v>1.5</v>
      </c>
      <c r="E26" s="51" t="str">
        <f>Thuysan!T216</f>
        <v>Fenbendazole</v>
      </c>
      <c r="F26" s="142"/>
    </row>
    <row r="27" spans="1:6" ht="2.25" customHeight="1" x14ac:dyDescent="0.25">
      <c r="E27" s="39"/>
      <c r="F27" s="40"/>
    </row>
    <row r="28" spans="1:6" ht="18.75" x14ac:dyDescent="0.25">
      <c r="A28" s="130" t="s">
        <v>485</v>
      </c>
      <c r="B28" s="130"/>
      <c r="C28" s="130"/>
      <c r="D28" s="130" t="s">
        <v>485</v>
      </c>
      <c r="E28" s="130"/>
      <c r="F28" s="130"/>
    </row>
    <row r="29" spans="1:6" ht="15.75" customHeight="1" x14ac:dyDescent="0.25">
      <c r="A29" s="131" t="s">
        <v>400</v>
      </c>
      <c r="B29" s="131"/>
      <c r="C29" s="131"/>
      <c r="D29" s="131" t="s">
        <v>399</v>
      </c>
      <c r="E29" s="131"/>
      <c r="F29" s="131"/>
    </row>
    <row r="30" spans="1:6" ht="17.25" customHeight="1" x14ac:dyDescent="0.25">
      <c r="A30" s="138" t="s">
        <v>398</v>
      </c>
      <c r="B30" s="138"/>
      <c r="C30" s="138"/>
      <c r="D30" s="138" t="s">
        <v>398</v>
      </c>
      <c r="E30" s="138"/>
      <c r="F30" s="138"/>
    </row>
    <row r="31" spans="1:6" ht="18.75" x14ac:dyDescent="0.25">
      <c r="E31" s="39"/>
      <c r="F31" s="40"/>
    </row>
    <row r="32" spans="1:6" ht="26.25" customHeight="1" x14ac:dyDescent="0.25">
      <c r="E32" s="39"/>
      <c r="F32" s="40"/>
    </row>
    <row r="33" spans="1:6" ht="21.75" customHeight="1" x14ac:dyDescent="0.25">
      <c r="A33" s="131" t="s">
        <v>364</v>
      </c>
      <c r="B33" s="131"/>
      <c r="C33" s="131"/>
      <c r="D33" s="131"/>
      <c r="E33" s="131"/>
      <c r="F33" s="131"/>
    </row>
  </sheetData>
  <mergeCells count="17">
    <mergeCell ref="A1:C1"/>
    <mergeCell ref="D1:F1"/>
    <mergeCell ref="A2:C2"/>
    <mergeCell ref="D2:F2"/>
    <mergeCell ref="A3:C3"/>
    <mergeCell ref="D3:F3"/>
    <mergeCell ref="A30:C30"/>
    <mergeCell ref="D30:F30"/>
    <mergeCell ref="A33:C33"/>
    <mergeCell ref="D33:F33"/>
    <mergeCell ref="A4:F4"/>
    <mergeCell ref="F16:F18"/>
    <mergeCell ref="A28:C28"/>
    <mergeCell ref="D28:F28"/>
    <mergeCell ref="A29:C29"/>
    <mergeCell ref="D29:F29"/>
    <mergeCell ref="F23:F26"/>
  </mergeCells>
  <pageMargins left="0.41" right="0.19" top="0.37" bottom="0.22" header="0.3" footer="0.17"/>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opLeftCell="A2" zoomScaleNormal="100" workbookViewId="0">
      <selection activeCell="A16" sqref="A16:C16"/>
    </sheetView>
  </sheetViews>
  <sheetFormatPr defaultColWidth="11.42578125" defaultRowHeight="15" x14ac:dyDescent="0.25"/>
  <cols>
    <col min="1" max="1" width="5.42578125" style="38" customWidth="1"/>
    <col min="2" max="2" width="26.42578125" style="33" customWidth="1"/>
    <col min="3" max="3" width="12" style="33" customWidth="1"/>
    <col min="4" max="4" width="7.42578125" style="33" customWidth="1"/>
    <col min="5" max="5" width="37.7109375" style="33" customWidth="1"/>
    <col min="6" max="6" width="8.14062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459</v>
      </c>
      <c r="B3" s="146"/>
      <c r="C3" s="146"/>
      <c r="D3" s="147" t="s">
        <v>611</v>
      </c>
      <c r="E3" s="147"/>
      <c r="F3" s="147"/>
    </row>
    <row r="4" spans="1:6" ht="21" customHeight="1" x14ac:dyDescent="0.25">
      <c r="A4" s="132" t="s">
        <v>606</v>
      </c>
      <c r="B4" s="132"/>
      <c r="C4" s="132"/>
      <c r="D4" s="132"/>
      <c r="E4" s="132"/>
      <c r="F4" s="132"/>
    </row>
    <row r="5" spans="1:6" ht="3.75" customHeight="1" x14ac:dyDescent="0.25"/>
    <row r="6" spans="1:6" ht="63" x14ac:dyDescent="0.25">
      <c r="A6" s="31" t="s">
        <v>175</v>
      </c>
      <c r="B6" s="32" t="s">
        <v>205</v>
      </c>
      <c r="C6" s="32" t="s">
        <v>371</v>
      </c>
      <c r="D6" s="32" t="s">
        <v>392</v>
      </c>
      <c r="E6" s="31" t="s">
        <v>361</v>
      </c>
      <c r="F6" s="31" t="s">
        <v>176</v>
      </c>
    </row>
    <row r="7" spans="1:6" ht="16.5" customHeight="1" x14ac:dyDescent="0.25">
      <c r="A7" s="37">
        <f>_xlfn.AGGREGATE(3,3,$C$7:C7)</f>
        <v>1</v>
      </c>
      <c r="B7" s="34" t="str">
        <f>Thuysan!O165</f>
        <v>Cá tra thương phẩm</v>
      </c>
      <c r="C7" s="34" t="str">
        <f>Thuysan!P165</f>
        <v>83/1123/01</v>
      </c>
      <c r="D7" s="36">
        <f>Thuysan!S165</f>
        <v>1.5</v>
      </c>
      <c r="E7" s="92" t="str">
        <f>Thuysan!T165</f>
        <v>Erythromycin, Pb, Hg, Cd</v>
      </c>
      <c r="F7" s="37"/>
    </row>
    <row r="8" spans="1:6" ht="30" customHeight="1" x14ac:dyDescent="0.25">
      <c r="A8" s="37">
        <f>_xlfn.AGGREGATE(3,3,$C$7:C8)</f>
        <v>2</v>
      </c>
      <c r="B8" s="34" t="str">
        <f>Thuysan!O166</f>
        <v>Cá tra thương phẩm</v>
      </c>
      <c r="C8" s="34" t="str">
        <f>Thuysan!P166</f>
        <v>83/1123/02</v>
      </c>
      <c r="D8" s="92">
        <f>Thuysan!S166</f>
        <v>1.5</v>
      </c>
      <c r="E8" s="92" t="str">
        <f>Thuysan!T166</f>
        <v>Chlorpyrifos, Fipronil, Pb, Hg, Cd</v>
      </c>
      <c r="F8" s="37"/>
    </row>
    <row r="9" spans="1:6" ht="16.5" customHeight="1" x14ac:dyDescent="0.25">
      <c r="A9" s="37">
        <f>_xlfn.AGGREGATE(3,3,$C$7:C9)</f>
        <v>3</v>
      </c>
      <c r="B9" s="34" t="str">
        <f>Thuysan!O167</f>
        <v>Cá tra thương phẩm</v>
      </c>
      <c r="C9" s="34" t="str">
        <f>Thuysan!P167</f>
        <v>83/1123/03</v>
      </c>
      <c r="D9" s="92">
        <f>Thuysan!S167</f>
        <v>1.5</v>
      </c>
      <c r="E9" s="92" t="str">
        <f>Thuysan!T167</f>
        <v>Erythromycin, Pb, Hg, Cd</v>
      </c>
      <c r="F9" s="37"/>
    </row>
    <row r="10" spans="1:6" ht="30" customHeight="1" x14ac:dyDescent="0.25">
      <c r="A10" s="37">
        <f>_xlfn.AGGREGATE(3,3,$C$7:C10)</f>
        <v>4</v>
      </c>
      <c r="B10" s="34" t="str">
        <f>Thuysan!O168</f>
        <v>Cá tra thương phẩm</v>
      </c>
      <c r="C10" s="34" t="str">
        <f>Thuysan!P168</f>
        <v>83/1123/04</v>
      </c>
      <c r="D10" s="92">
        <f>Thuysan!S168</f>
        <v>1.5</v>
      </c>
      <c r="E10" s="92" t="str">
        <f>Thuysan!T168</f>
        <v>Azadirachtin, Pb, Hg, Cd</v>
      </c>
      <c r="F10" s="41"/>
    </row>
    <row r="11" spans="1:6" ht="30.75" customHeight="1" x14ac:dyDescent="0.25">
      <c r="A11" s="37">
        <f>_xlfn.AGGREGATE(3,3,$C$7:C11)</f>
        <v>5</v>
      </c>
      <c r="B11" s="34" t="str">
        <f>Thuysan!O169</f>
        <v>Cá tra thương phẩm</v>
      </c>
      <c r="C11" s="34" t="str">
        <f>Thuysan!P169</f>
        <v>83/1123/05</v>
      </c>
      <c r="D11" s="92">
        <f>Thuysan!S169</f>
        <v>1.5</v>
      </c>
      <c r="E11" s="92" t="str">
        <f>Thuysan!T169</f>
        <v>Amoxicillin , Pb, Hg, Cd</v>
      </c>
      <c r="F11" s="37"/>
    </row>
    <row r="12" spans="1:6" ht="30.75" customHeight="1" x14ac:dyDescent="0.25">
      <c r="A12" s="37">
        <f>_xlfn.AGGREGATE(3,3,$C$7:C12)</f>
        <v>6</v>
      </c>
      <c r="B12" s="34" t="str">
        <f>Thuysan!O170</f>
        <v>Cá tra thương phẩm</v>
      </c>
      <c r="C12" s="34" t="str">
        <f>Thuysan!P170</f>
        <v>83/1123/06</v>
      </c>
      <c r="D12" s="92">
        <f>Thuysan!S170</f>
        <v>1.5</v>
      </c>
      <c r="E12" s="92" t="str">
        <f>Thuysan!T170</f>
        <v>Nhóm Nitroimidazoles, Pb, Hg, Cd</v>
      </c>
      <c r="F12" s="37"/>
    </row>
    <row r="13" spans="1:6" ht="15.75" x14ac:dyDescent="0.25">
      <c r="A13" s="37">
        <f>_xlfn.AGGREGATE(3,3,$C$7:C13)</f>
        <v>7</v>
      </c>
      <c r="B13" s="34" t="str">
        <f>Thuysan!O171</f>
        <v>Cá tra thương phẩm</v>
      </c>
      <c r="C13" s="34" t="str">
        <f>Thuysan!P171</f>
        <v>83/1123/07</v>
      </c>
      <c r="D13" s="92">
        <f>Thuysan!S171</f>
        <v>1.5</v>
      </c>
      <c r="E13" s="92" t="str">
        <f>Thuysan!T171</f>
        <v>Nhóm Quinolones, Pb, Hg, Cd</v>
      </c>
      <c r="F13" s="37"/>
    </row>
    <row r="14" spans="1:6" ht="18" customHeight="1" x14ac:dyDescent="0.25">
      <c r="A14" s="37">
        <f>_xlfn.AGGREGATE(3,3,$C$7:C14)</f>
        <v>8</v>
      </c>
      <c r="B14" s="34" t="str">
        <f>Thuysan!O172</f>
        <v>Cá tra thương phẩm</v>
      </c>
      <c r="C14" s="34" t="str">
        <f>Thuysan!P172</f>
        <v>83/1123/08</v>
      </c>
      <c r="D14" s="93">
        <f>Thuysan!S172</f>
        <v>1.5</v>
      </c>
      <c r="E14" s="93" t="str">
        <f>Thuysan!T172</f>
        <v>Chlorpyrifos, Fipronil, Pb, Hg, Cd</v>
      </c>
      <c r="F14" s="42"/>
    </row>
    <row r="15" spans="1:6" ht="17.25" customHeight="1" x14ac:dyDescent="0.25">
      <c r="E15" s="39"/>
      <c r="F15" s="40"/>
    </row>
    <row r="16" spans="1:6" ht="32.25" customHeight="1" x14ac:dyDescent="0.25">
      <c r="A16" s="130" t="s">
        <v>612</v>
      </c>
      <c r="B16" s="130"/>
      <c r="C16" s="130"/>
      <c r="D16" s="130" t="s">
        <v>612</v>
      </c>
      <c r="E16" s="130"/>
      <c r="F16" s="130"/>
    </row>
    <row r="17" spans="1:6" ht="16.5" customHeight="1" x14ac:dyDescent="0.25">
      <c r="A17" s="131" t="s">
        <v>400</v>
      </c>
      <c r="B17" s="131"/>
      <c r="C17" s="131"/>
      <c r="D17" s="131" t="s">
        <v>399</v>
      </c>
      <c r="E17" s="131"/>
      <c r="F17" s="131"/>
    </row>
    <row r="18" spans="1:6" ht="18" customHeight="1" x14ac:dyDescent="0.25">
      <c r="A18" s="138" t="s">
        <v>398</v>
      </c>
      <c r="B18" s="138"/>
      <c r="C18" s="138"/>
      <c r="D18" s="138" t="s">
        <v>398</v>
      </c>
      <c r="E18" s="138"/>
      <c r="F18" s="138"/>
    </row>
    <row r="19" spans="1:6" ht="32.25" customHeight="1" x14ac:dyDescent="0.25">
      <c r="E19" s="39"/>
      <c r="F19" s="40"/>
    </row>
    <row r="20" spans="1:6" ht="48" customHeight="1" x14ac:dyDescent="0.25">
      <c r="E20" s="39"/>
      <c r="F20" s="40"/>
    </row>
    <row r="21" spans="1:6" ht="16.5" customHeight="1" x14ac:dyDescent="0.25">
      <c r="A21" s="131" t="s">
        <v>364</v>
      </c>
      <c r="B21" s="131"/>
      <c r="C21" s="131"/>
      <c r="D21" s="131"/>
      <c r="E21" s="131"/>
      <c r="F21" s="131"/>
    </row>
    <row r="22" spans="1:6" ht="30.75" customHeight="1" x14ac:dyDescent="0.25"/>
    <row r="23" spans="1:6" ht="15" customHeight="1" x14ac:dyDescent="0.25"/>
    <row r="24" spans="1:6" ht="15" customHeight="1" x14ac:dyDescent="0.25"/>
    <row r="25" spans="1:6" ht="30" customHeight="1" x14ac:dyDescent="0.25"/>
    <row r="26" spans="1:6" ht="13.5" customHeight="1" x14ac:dyDescent="0.25"/>
    <row r="28" spans="1:6" ht="19.5" customHeight="1" x14ac:dyDescent="0.25"/>
    <row r="29" spans="1:6" ht="2.25" customHeight="1" x14ac:dyDescent="0.25"/>
    <row r="31" spans="1:6" ht="15.75" customHeight="1" x14ac:dyDescent="0.25"/>
    <row r="32" spans="1:6" ht="17.25" customHeight="1" x14ac:dyDescent="0.25"/>
    <row r="34" ht="26.25" customHeight="1" x14ac:dyDescent="0.25"/>
    <row r="35" ht="21.75" customHeight="1" x14ac:dyDescent="0.25"/>
  </sheetData>
  <mergeCells count="15">
    <mergeCell ref="A1:C1"/>
    <mergeCell ref="D1:F1"/>
    <mergeCell ref="A2:C2"/>
    <mergeCell ref="D2:F2"/>
    <mergeCell ref="A3:C3"/>
    <mergeCell ref="D3:F3"/>
    <mergeCell ref="A18:C18"/>
    <mergeCell ref="D18:F18"/>
    <mergeCell ref="A21:C21"/>
    <mergeCell ref="D21:F21"/>
    <mergeCell ref="A4:F4"/>
    <mergeCell ref="A16:C16"/>
    <mergeCell ref="D16:F16"/>
    <mergeCell ref="A17:C17"/>
    <mergeCell ref="D17:F17"/>
  </mergeCells>
  <pageMargins left="0.41" right="0.19" top="0.37" bottom="0.22" header="0.3" footer="0.17"/>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16" zoomScaleNormal="100" workbookViewId="0">
      <selection activeCell="C26" sqref="C26"/>
    </sheetView>
  </sheetViews>
  <sheetFormatPr defaultColWidth="11.42578125" defaultRowHeight="15" x14ac:dyDescent="0.25"/>
  <cols>
    <col min="1" max="1" width="5.42578125" style="38" customWidth="1"/>
    <col min="2" max="2" width="27.85546875" style="33" customWidth="1"/>
    <col min="3" max="3" width="12.7109375" style="33" customWidth="1"/>
    <col min="4" max="4" width="10" style="33" customWidth="1"/>
    <col min="5" max="5" width="27.7109375" style="33" customWidth="1"/>
    <col min="6" max="6" width="10.14062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420</v>
      </c>
      <c r="B3" s="146"/>
      <c r="C3" s="146"/>
      <c r="D3" s="147" t="s">
        <v>599</v>
      </c>
      <c r="E3" s="147"/>
      <c r="F3" s="147"/>
    </row>
    <row r="4" spans="1:6" ht="21" customHeight="1" x14ac:dyDescent="0.25">
      <c r="A4" s="132" t="s">
        <v>601</v>
      </c>
      <c r="B4" s="132"/>
      <c r="C4" s="132"/>
      <c r="D4" s="132"/>
      <c r="E4" s="132"/>
      <c r="F4" s="132"/>
    </row>
    <row r="5" spans="1:6" ht="3.75" customHeight="1" x14ac:dyDescent="0.25"/>
    <row r="6" spans="1:6" ht="66" x14ac:dyDescent="0.25">
      <c r="A6" s="94" t="s">
        <v>175</v>
      </c>
      <c r="B6" s="95" t="s">
        <v>205</v>
      </c>
      <c r="C6" s="95" t="s">
        <v>371</v>
      </c>
      <c r="D6" s="95" t="s">
        <v>392</v>
      </c>
      <c r="E6" s="94" t="s">
        <v>361</v>
      </c>
      <c r="F6" s="94" t="s">
        <v>176</v>
      </c>
    </row>
    <row r="7" spans="1:6" ht="33" x14ac:dyDescent="0.25">
      <c r="A7" s="96">
        <f>_xlfn.AGGREGATE(3,3,$C$7:C7)</f>
        <v>1</v>
      </c>
      <c r="B7" s="97" t="str">
        <f>Thuysan!O150</f>
        <v>Tôm chân trắng thương phẩm</v>
      </c>
      <c r="C7" s="97" t="str">
        <f>Thuysan!P150</f>
        <v>83/1023/01</v>
      </c>
      <c r="D7" s="98">
        <f>Thuysan!S150</f>
        <v>1</v>
      </c>
      <c r="E7" s="98" t="str">
        <f>Thuysan!T150</f>
        <v>-</v>
      </c>
      <c r="F7" s="96"/>
    </row>
    <row r="8" spans="1:6" ht="33" x14ac:dyDescent="0.25">
      <c r="A8" s="96">
        <f>_xlfn.AGGREGATE(3,3,$C$7:C8)</f>
        <v>2</v>
      </c>
      <c r="B8" s="97" t="str">
        <f>Thuysan!O151</f>
        <v>Tôm chân trắng thương phẩm</v>
      </c>
      <c r="C8" s="97" t="str">
        <f>Thuysan!P151</f>
        <v>83/1023/02</v>
      </c>
      <c r="D8" s="98">
        <f>Thuysan!S151</f>
        <v>1</v>
      </c>
      <c r="E8" s="98" t="str">
        <f>Thuysan!T151</f>
        <v>-</v>
      </c>
      <c r="F8" s="96"/>
    </row>
    <row r="9" spans="1:6" ht="29.25" customHeight="1" x14ac:dyDescent="0.25">
      <c r="A9" s="96">
        <f>_xlfn.AGGREGATE(3,3,$C$7:C9)</f>
        <v>3</v>
      </c>
      <c r="B9" s="97" t="str">
        <f>Thuysan!O152</f>
        <v>Cá tra thương phẩm</v>
      </c>
      <c r="C9" s="97" t="str">
        <f>Thuysan!P152</f>
        <v>83/1023/03</v>
      </c>
      <c r="D9" s="98">
        <f>Thuysan!S152</f>
        <v>1.5</v>
      </c>
      <c r="E9" s="98" t="str">
        <f>Thuysan!T152</f>
        <v>Fosfomycin, Pb, Hg, Cd</v>
      </c>
      <c r="F9" s="96"/>
    </row>
    <row r="10" spans="1:6" ht="33" x14ac:dyDescent="0.25">
      <c r="A10" s="96">
        <f>_xlfn.AGGREGATE(3,3,$C$7:C10)</f>
        <v>4</v>
      </c>
      <c r="B10" s="97" t="str">
        <f>Thuysan!O153</f>
        <v>Cá tra thương phẩm</v>
      </c>
      <c r="C10" s="97" t="str">
        <f>Thuysan!P153</f>
        <v>83/1023/04</v>
      </c>
      <c r="D10" s="98">
        <f>Thuysan!S153</f>
        <v>1.5</v>
      </c>
      <c r="E10" s="98" t="str">
        <f>Thuysan!T153</f>
        <v>Azadirachtin, Pb, Hg, Cd</v>
      </c>
      <c r="F10" s="99"/>
    </row>
    <row r="11" spans="1:6" ht="33" x14ac:dyDescent="0.25">
      <c r="A11" s="96">
        <f>_xlfn.AGGREGATE(3,3,$C$7:C11)</f>
        <v>5</v>
      </c>
      <c r="B11" s="97" t="str">
        <f>Thuysan!O154</f>
        <v>Tôm sú quảng canh</v>
      </c>
      <c r="C11" s="97" t="str">
        <f>Thuysan!P154</f>
        <v>83/1023/05</v>
      </c>
      <c r="D11" s="98">
        <f>Thuysan!S154</f>
        <v>1</v>
      </c>
      <c r="E11" s="98" t="str">
        <f>Thuysan!T154</f>
        <v>Fosfomycin</v>
      </c>
      <c r="F11" s="96"/>
    </row>
    <row r="12" spans="1:6" ht="33" x14ac:dyDescent="0.25">
      <c r="A12" s="96">
        <f>_xlfn.AGGREGATE(3,3,$C$7:C12)</f>
        <v>6</v>
      </c>
      <c r="B12" s="97" t="str">
        <f>Thuysan!O155</f>
        <v>Cá tra thương phẩm</v>
      </c>
      <c r="C12" s="97" t="str">
        <f>Thuysan!P155</f>
        <v>83/1023/06</v>
      </c>
      <c r="D12" s="98">
        <f>Thuysan!S155</f>
        <v>1.5</v>
      </c>
      <c r="E12" s="98" t="str">
        <f>Thuysan!T155</f>
        <v>Florfenicol, Pb, Hg, Cd</v>
      </c>
      <c r="F12" s="96"/>
    </row>
    <row r="13" spans="1:6" ht="33" x14ac:dyDescent="0.25">
      <c r="A13" s="96">
        <f>_xlfn.AGGREGATE(3,3,$C$7:C13)</f>
        <v>7</v>
      </c>
      <c r="B13" s="97" t="str">
        <f>Thuysan!O156</f>
        <v>Cá tra thương phẩm</v>
      </c>
      <c r="C13" s="97" t="str">
        <f>Thuysan!P156</f>
        <v>83/1023/07</v>
      </c>
      <c r="D13" s="98">
        <f>Thuysan!S156</f>
        <v>1.5</v>
      </c>
      <c r="E13" s="98" t="str">
        <f>Thuysan!T156</f>
        <v>Trimethoprim, Pb, Hg, Cd</v>
      </c>
      <c r="F13" s="96"/>
    </row>
    <row r="14" spans="1:6" ht="33" x14ac:dyDescent="0.25">
      <c r="A14" s="96">
        <f>_xlfn.AGGREGATE(3,3,$C$7:C14)</f>
        <v>8</v>
      </c>
      <c r="B14" s="97" t="str">
        <f>Thuysan!O157</f>
        <v>Cá tra thương phẩm</v>
      </c>
      <c r="C14" s="97" t="str">
        <f>Thuysan!P157</f>
        <v>83/1023/08</v>
      </c>
      <c r="D14" s="98">
        <f>Thuysan!S157</f>
        <v>1.5</v>
      </c>
      <c r="E14" s="98" t="str">
        <f>Thuysan!T157</f>
        <v>Florfenicol, Pb, Hg, Cd</v>
      </c>
      <c r="F14" s="100"/>
    </row>
    <row r="15" spans="1:6" ht="33" x14ac:dyDescent="0.25">
      <c r="A15" s="96">
        <f>_xlfn.AGGREGATE(3,3,$C$7:C15)</f>
        <v>9</v>
      </c>
      <c r="B15" s="97" t="str">
        <f>Thuysan!O158</f>
        <v>Cá tra thương phẩm</v>
      </c>
      <c r="C15" s="97" t="str">
        <f>Thuysan!P158</f>
        <v>83/1023/09</v>
      </c>
      <c r="D15" s="98">
        <f>Thuysan!S158</f>
        <v>1.5</v>
      </c>
      <c r="E15" s="98" t="str">
        <f>Thuysan!T158</f>
        <v>Fosfomycin, Pb, Hg, Cd</v>
      </c>
      <c r="F15" s="100"/>
    </row>
    <row r="16" spans="1:6" ht="33" x14ac:dyDescent="0.25">
      <c r="A16" s="96">
        <f>_xlfn.AGGREGATE(3,3,$C$7:C16)</f>
        <v>10</v>
      </c>
      <c r="B16" s="97" t="str">
        <f>Thuysan!O159</f>
        <v>Cá tra thương phẩm</v>
      </c>
      <c r="C16" s="97" t="str">
        <f>Thuysan!P159</f>
        <v>83/1023/10</v>
      </c>
      <c r="D16" s="98">
        <f>Thuysan!S159</f>
        <v>1.5</v>
      </c>
      <c r="E16" s="98" t="str">
        <f>Thuysan!T159</f>
        <v>Levamisol, Pb, Hg, Cd</v>
      </c>
      <c r="F16" s="100"/>
    </row>
    <row r="17" spans="1:6" ht="33" x14ac:dyDescent="0.25">
      <c r="A17" s="96">
        <f>_xlfn.AGGREGATE(3,3,$C$7:C17)</f>
        <v>11</v>
      </c>
      <c r="B17" s="97" t="str">
        <f>Thuysan!O160</f>
        <v>Cá tra thương phẩm</v>
      </c>
      <c r="C17" s="97" t="str">
        <f>Thuysan!P160</f>
        <v>83/1023/11</v>
      </c>
      <c r="D17" s="98">
        <f>Thuysan!S160</f>
        <v>1.5</v>
      </c>
      <c r="E17" s="98" t="str">
        <f>Thuysan!T160</f>
        <v>Fenbendazole, Pb, Hg, Cd</v>
      </c>
      <c r="F17" s="100"/>
    </row>
    <row r="18" spans="1:6" ht="33" x14ac:dyDescent="0.25">
      <c r="A18" s="96">
        <f>_xlfn.AGGREGATE(3,3,$C$7:C18)</f>
        <v>12</v>
      </c>
      <c r="B18" s="97" t="str">
        <f>Thuysan!O161</f>
        <v>Cá tra thương phẩm</v>
      </c>
      <c r="C18" s="97" t="str">
        <f>Thuysan!P161</f>
        <v>83/1023/12</v>
      </c>
      <c r="D18" s="98">
        <f>Thuysan!S161</f>
        <v>1.5</v>
      </c>
      <c r="E18" s="98" t="str">
        <f>Thuysan!T161</f>
        <v>Chloramphenicol, Pb, Hg, Cd</v>
      </c>
      <c r="F18" s="100"/>
    </row>
    <row r="19" spans="1:6" ht="33" x14ac:dyDescent="0.25">
      <c r="A19" s="96">
        <f>_xlfn.AGGREGATE(3,3,$C$7:C19)</f>
        <v>13</v>
      </c>
      <c r="B19" s="97" t="str">
        <f>Thuysan!O162</f>
        <v>Cá tra thương phẩm</v>
      </c>
      <c r="C19" s="97" t="str">
        <f>Thuysan!P162</f>
        <v>83/1023/13</v>
      </c>
      <c r="D19" s="98">
        <f>Thuysan!S162</f>
        <v>1.5</v>
      </c>
      <c r="E19" s="98" t="str">
        <f>Thuysan!T162</f>
        <v>Nitrofurans, Pb, Hg, Cd</v>
      </c>
      <c r="F19" s="96"/>
    </row>
    <row r="20" spans="1:6" ht="33" x14ac:dyDescent="0.25">
      <c r="A20" s="96">
        <f>_xlfn.AGGREGATE(3,3,$C$7:C20)</f>
        <v>14</v>
      </c>
      <c r="B20" s="97" t="str">
        <f>Thuysan!O163</f>
        <v>Cá tra thương phẩm</v>
      </c>
      <c r="C20" s="97" t="str">
        <f>Thuysan!P163</f>
        <v>83/1023/14</v>
      </c>
      <c r="D20" s="98">
        <f>Thuysan!S163</f>
        <v>1.5</v>
      </c>
      <c r="E20" s="98" t="str">
        <f>Thuysan!T163</f>
        <v>Thuốc trừ sâu gốc Chlor hữu cơ, Pb, Hg, Cd</v>
      </c>
      <c r="F20" s="96"/>
    </row>
    <row r="21" spans="1:6" ht="33" x14ac:dyDescent="0.25">
      <c r="A21" s="96">
        <f>_xlfn.AGGREGATE(3,3,$C$7:C21)</f>
        <v>15</v>
      </c>
      <c r="B21" s="97" t="str">
        <f>Thuysan!O164</f>
        <v>Cá tra thương phẩm</v>
      </c>
      <c r="C21" s="97" t="str">
        <f>Thuysan!P164</f>
        <v>83/1023/15</v>
      </c>
      <c r="D21" s="96">
        <f>Thuysan!S164</f>
        <v>1.5</v>
      </c>
      <c r="E21" s="96" t="str">
        <f>Thuysan!T164</f>
        <v>-</v>
      </c>
      <c r="F21" s="96"/>
    </row>
    <row r="22" spans="1:6" ht="16.5" customHeight="1" x14ac:dyDescent="0.25">
      <c r="E22" s="39"/>
      <c r="F22" s="40"/>
    </row>
    <row r="23" spans="1:6" ht="18.75" x14ac:dyDescent="0.25">
      <c r="A23" s="130" t="s">
        <v>602</v>
      </c>
      <c r="B23" s="130"/>
      <c r="C23" s="130"/>
      <c r="D23" s="130" t="s">
        <v>602</v>
      </c>
      <c r="E23" s="130"/>
      <c r="F23" s="130"/>
    </row>
    <row r="24" spans="1:6" ht="18.75" x14ac:dyDescent="0.25">
      <c r="A24" s="131" t="s">
        <v>400</v>
      </c>
      <c r="B24" s="131"/>
      <c r="C24" s="131"/>
      <c r="D24" s="131" t="s">
        <v>399</v>
      </c>
      <c r="E24" s="131"/>
      <c r="F24" s="131"/>
    </row>
    <row r="25" spans="1:6" ht="14.25" customHeight="1" x14ac:dyDescent="0.25">
      <c r="A25" s="138" t="s">
        <v>398</v>
      </c>
      <c r="B25" s="138"/>
      <c r="C25" s="138"/>
      <c r="D25" s="138" t="s">
        <v>398</v>
      </c>
      <c r="E25" s="138"/>
      <c r="F25" s="138"/>
    </row>
    <row r="26" spans="1:6" ht="13.5" customHeight="1" x14ac:dyDescent="0.25">
      <c r="E26" s="39"/>
      <c r="F26" s="40"/>
    </row>
    <row r="27" spans="1:6" ht="18.75" x14ac:dyDescent="0.25">
      <c r="E27" s="39"/>
      <c r="F27" s="40"/>
    </row>
    <row r="28" spans="1:6" ht="28.5" customHeight="1" x14ac:dyDescent="0.3">
      <c r="A28" s="129" t="s">
        <v>364</v>
      </c>
      <c r="B28" s="129"/>
      <c r="C28" s="129"/>
      <c r="D28" s="131"/>
      <c r="E28" s="131"/>
      <c r="F28" s="131"/>
    </row>
    <row r="29" spans="1:6" ht="44.25" customHeight="1" x14ac:dyDescent="0.25"/>
    <row r="31" spans="1:6" ht="45.75" customHeight="1" x14ac:dyDescent="0.25"/>
    <row r="32" spans="1:6" ht="2.25" customHeight="1" x14ac:dyDescent="0.25"/>
    <row r="34" ht="15.75" customHeight="1" x14ac:dyDescent="0.25"/>
    <row r="35" ht="17.25" customHeight="1" x14ac:dyDescent="0.25"/>
    <row r="37" ht="26.25" customHeight="1" x14ac:dyDescent="0.25"/>
    <row r="38" ht="21.75" customHeight="1" x14ac:dyDescent="0.25"/>
  </sheetData>
  <mergeCells count="15">
    <mergeCell ref="A1:C1"/>
    <mergeCell ref="D1:F1"/>
    <mergeCell ref="A2:C2"/>
    <mergeCell ref="D2:F2"/>
    <mergeCell ref="A3:C3"/>
    <mergeCell ref="D3:F3"/>
    <mergeCell ref="A25:C25"/>
    <mergeCell ref="D25:F25"/>
    <mergeCell ref="A28:C28"/>
    <mergeCell ref="D28:F28"/>
    <mergeCell ref="A4:F4"/>
    <mergeCell ref="A23:C23"/>
    <mergeCell ref="D23:F23"/>
    <mergeCell ref="A24:C24"/>
    <mergeCell ref="D24:F24"/>
  </mergeCells>
  <pageMargins left="0.41" right="0.19" top="0.37" bottom="0.22" header="0.3" footer="0.17"/>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zoomScaleNormal="100" workbookViewId="0">
      <selection activeCell="A4" sqref="A4:F4"/>
    </sheetView>
  </sheetViews>
  <sheetFormatPr defaultColWidth="11.42578125" defaultRowHeight="15" x14ac:dyDescent="0.25"/>
  <cols>
    <col min="1" max="1" width="5.42578125" style="38" customWidth="1"/>
    <col min="2" max="2" width="27.85546875" style="33" customWidth="1"/>
    <col min="3" max="3" width="12" style="33" customWidth="1"/>
    <col min="4" max="4" width="10"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556</v>
      </c>
      <c r="B3" s="146"/>
      <c r="C3" s="146"/>
      <c r="D3" s="147" t="s">
        <v>557</v>
      </c>
      <c r="E3" s="147"/>
      <c r="F3" s="147"/>
    </row>
    <row r="4" spans="1:6" ht="21" customHeight="1" x14ac:dyDescent="0.25">
      <c r="A4" s="132" t="s">
        <v>579</v>
      </c>
      <c r="B4" s="132"/>
      <c r="C4" s="132"/>
      <c r="D4" s="132"/>
      <c r="E4" s="132"/>
      <c r="F4" s="132"/>
    </row>
    <row r="5" spans="1:6" ht="75" customHeight="1" x14ac:dyDescent="0.25">
      <c r="A5" s="148" t="s">
        <v>580</v>
      </c>
      <c r="B5" s="148"/>
      <c r="C5" s="148"/>
      <c r="D5" s="148"/>
      <c r="E5" s="148"/>
      <c r="F5" s="148"/>
    </row>
    <row r="6" spans="1:6" ht="45" customHeight="1" x14ac:dyDescent="0.25">
      <c r="A6" s="31" t="s">
        <v>175</v>
      </c>
      <c r="B6" s="32" t="s">
        <v>205</v>
      </c>
      <c r="C6" s="32" t="s">
        <v>371</v>
      </c>
      <c r="D6" s="32" t="s">
        <v>392</v>
      </c>
      <c r="E6" s="31" t="s">
        <v>361</v>
      </c>
      <c r="F6" s="31" t="s">
        <v>176</v>
      </c>
    </row>
    <row r="7" spans="1:6" ht="15.75" x14ac:dyDescent="0.25">
      <c r="A7" s="87">
        <f>_xlfn.AGGREGATE(3,3,$C$7:C7)</f>
        <v>1</v>
      </c>
      <c r="B7" s="34" t="str">
        <f>Thuysan!O133</f>
        <v>Tôm sú thương phẩm</v>
      </c>
      <c r="C7" s="34" t="str">
        <f>Thuysan!P133</f>
        <v>83/0923/01</v>
      </c>
      <c r="D7" s="85">
        <f>Thuysan!S133</f>
        <v>1</v>
      </c>
      <c r="E7" s="85" t="str">
        <f>Thuysan!T133</f>
        <v>-</v>
      </c>
      <c r="F7" s="87"/>
    </row>
    <row r="8" spans="1:6" ht="15.75" x14ac:dyDescent="0.25">
      <c r="A8" s="87">
        <f>_xlfn.AGGREGATE(3,3,$C$7:C8)</f>
        <v>2</v>
      </c>
      <c r="B8" s="34" t="str">
        <f>Thuysan!O134</f>
        <v>Tôm chân trắng thương phẩm</v>
      </c>
      <c r="C8" s="34" t="str">
        <f>Thuysan!P134</f>
        <v>83/0923/02</v>
      </c>
      <c r="D8" s="85">
        <f>Thuysan!S134</f>
        <v>1</v>
      </c>
      <c r="E8" s="85" t="str">
        <f>Thuysan!T134</f>
        <v>Amoxicillin</v>
      </c>
      <c r="F8" s="87"/>
    </row>
    <row r="9" spans="1:6" ht="15.75" x14ac:dyDescent="0.25">
      <c r="A9" s="87">
        <f>_xlfn.AGGREGATE(3,3,$C$7:C9)</f>
        <v>3</v>
      </c>
      <c r="B9" s="42" t="str">
        <f>Thuysan!O135</f>
        <v>Cá tra thương phẩm</v>
      </c>
      <c r="C9" s="34" t="str">
        <f>Thuysan!P135</f>
        <v>83/0923/03</v>
      </c>
      <c r="D9" s="85">
        <f>Thuysan!S135</f>
        <v>1.5</v>
      </c>
      <c r="E9" s="89" t="str">
        <f>Thuysan!T135</f>
        <v>Trifluralin, Pb, Hg, Cd</v>
      </c>
      <c r="F9" s="87"/>
    </row>
    <row r="10" spans="1:6" ht="15.75" x14ac:dyDescent="0.25">
      <c r="A10" s="87">
        <f>_xlfn.AGGREGATE(3,3,$C$7:C10)</f>
        <v>4</v>
      </c>
      <c r="B10" s="34" t="str">
        <f>Thuysan!O136</f>
        <v>Tôm chân trắng thương phẩm</v>
      </c>
      <c r="C10" s="34" t="str">
        <f>Thuysan!P136</f>
        <v>83/0923/04</v>
      </c>
      <c r="D10" s="85">
        <f>Thuysan!S136</f>
        <v>1</v>
      </c>
      <c r="E10" s="85" t="str">
        <f>Thuysan!T136</f>
        <v>Nitrofurans</v>
      </c>
      <c r="F10" s="41"/>
    </row>
    <row r="11" spans="1:6" ht="15.75" x14ac:dyDescent="0.25">
      <c r="A11" s="87">
        <f>_xlfn.AGGREGATE(3,3,$C$7:C11)</f>
        <v>5</v>
      </c>
      <c r="B11" s="42" t="str">
        <f>Thuysan!O137</f>
        <v>Cá tra thương phẩm</v>
      </c>
      <c r="C11" s="34" t="str">
        <f>Thuysan!P137</f>
        <v>83/0923/05</v>
      </c>
      <c r="D11" s="85">
        <f>Thuysan!S137</f>
        <v>1.5</v>
      </c>
      <c r="E11" s="89" t="str">
        <f>Thuysan!T137</f>
        <v>Nhóm Quinolones, Pb, Hg, Cd</v>
      </c>
      <c r="F11" s="87"/>
    </row>
    <row r="12" spans="1:6" ht="15.75" x14ac:dyDescent="0.25">
      <c r="A12" s="87">
        <f>_xlfn.AGGREGATE(3,3,$C$7:C12)</f>
        <v>6</v>
      </c>
      <c r="B12" s="42" t="str">
        <f>Thuysan!O138</f>
        <v>Cá tra thương phẩm</v>
      </c>
      <c r="C12" s="34" t="str">
        <f>Thuysan!P138</f>
        <v>83/0923/06</v>
      </c>
      <c r="D12" s="85">
        <f>Thuysan!S138</f>
        <v>1.5</v>
      </c>
      <c r="E12" s="89" t="str">
        <f>Thuysan!T138</f>
        <v>Ormetoprim, Pb, Hg, Cd</v>
      </c>
      <c r="F12" s="87"/>
    </row>
    <row r="13" spans="1:6" ht="15.75" x14ac:dyDescent="0.25">
      <c r="A13" s="87">
        <f>_xlfn.AGGREGATE(3,3,$C$7:C13)</f>
        <v>7</v>
      </c>
      <c r="B13" s="34" t="str">
        <f>Thuysan!O139</f>
        <v>Tôm sú thương phẩm</v>
      </c>
      <c r="C13" s="34" t="str">
        <f>Thuysan!P139</f>
        <v>83/0923/07</v>
      </c>
      <c r="D13" s="85">
        <f>Thuysan!S139</f>
        <v>1</v>
      </c>
      <c r="E13" s="85" t="str">
        <f>Thuysan!T139</f>
        <v>-</v>
      </c>
      <c r="F13" s="87"/>
    </row>
    <row r="14" spans="1:6" ht="15.75" x14ac:dyDescent="0.25">
      <c r="A14" s="87">
        <f>_xlfn.AGGREGATE(3,3,$C$7:C14)</f>
        <v>8</v>
      </c>
      <c r="B14" s="34" t="str">
        <f>Thuysan!O140</f>
        <v>Tôm chân trắng thương phẩm</v>
      </c>
      <c r="C14" s="34" t="str">
        <f>Thuysan!P140</f>
        <v>83/0923/08</v>
      </c>
      <c r="D14" s="85">
        <f>Thuysan!S140</f>
        <v>1</v>
      </c>
      <c r="E14" s="85" t="str">
        <f>Thuysan!T140</f>
        <v>-</v>
      </c>
      <c r="F14" s="42"/>
    </row>
    <row r="15" spans="1:6" ht="15.75" x14ac:dyDescent="0.25">
      <c r="A15" s="87">
        <f>_xlfn.AGGREGATE(3,3,$C$7:C15)</f>
        <v>9</v>
      </c>
      <c r="B15" s="34" t="str">
        <f>Thuysan!O141</f>
        <v>Tôm sú quảng canh</v>
      </c>
      <c r="C15" s="34" t="str">
        <f>Thuysan!P141</f>
        <v>83/0923/09</v>
      </c>
      <c r="D15" s="85">
        <f>Thuysan!S141</f>
        <v>1</v>
      </c>
      <c r="E15" s="85" t="str">
        <f>Thuysan!T141</f>
        <v>Florfenicol</v>
      </c>
      <c r="F15" s="42"/>
    </row>
    <row r="16" spans="1:6" ht="31.5" x14ac:dyDescent="0.25">
      <c r="A16" s="87">
        <f>_xlfn.AGGREGATE(3,3,$C$7:C16)</f>
        <v>10</v>
      </c>
      <c r="B16" s="42" t="str">
        <f>Thuysan!O142</f>
        <v>Cá tra thương phẩm</v>
      </c>
      <c r="C16" s="34" t="str">
        <f>Thuysan!P142</f>
        <v>83/0923/10</v>
      </c>
      <c r="D16" s="85">
        <f>Thuysan!S142</f>
        <v>1.5</v>
      </c>
      <c r="E16" s="85" t="str">
        <f>Thuysan!T142</f>
        <v>Chlorpyrifos, Fipronil, Pb, Hg, Cd</v>
      </c>
      <c r="F16" s="139"/>
    </row>
    <row r="17" spans="1:6" ht="63" x14ac:dyDescent="0.25">
      <c r="A17" s="87">
        <f>_xlfn.AGGREGATE(3,3,$C$7:C17)</f>
        <v>11</v>
      </c>
      <c r="B17" s="42" t="str">
        <f>Thuysan!O143</f>
        <v>Cá tra thương phẩm</v>
      </c>
      <c r="C17" s="34" t="str">
        <f>Thuysan!P143</f>
        <v>83/0923/11</v>
      </c>
      <c r="D17" s="85">
        <f>Thuysan!S143</f>
        <v>1.5</v>
      </c>
      <c r="E17" s="85" t="str">
        <f>Thuysan!T143</f>
        <v>Malachite Green, Leuco Malachite Green, Crystal Violet, Leuco Crystal Violet, Pb, Hg, Cd</v>
      </c>
      <c r="F17" s="140"/>
    </row>
    <row r="18" spans="1:6" ht="47.25" x14ac:dyDescent="0.25">
      <c r="A18" s="87">
        <f>_xlfn.AGGREGATE(3,3,$C$7:C18)</f>
        <v>12</v>
      </c>
      <c r="B18" s="42" t="str">
        <f>Thuysan!O144</f>
        <v>Cá tra thương phẩm</v>
      </c>
      <c r="C18" s="34" t="str">
        <f>Thuysan!P144</f>
        <v>83/0923/12</v>
      </c>
      <c r="D18" s="85">
        <f>Thuysan!S144</f>
        <v>1.5</v>
      </c>
      <c r="E18" s="85" t="str">
        <f>Thuysan!T144</f>
        <v>Ivermectin, Praziquantel, Trichlorfon, Avermectin B1a, Pb, Hg, Cd</v>
      </c>
      <c r="F18" s="141"/>
    </row>
    <row r="19" spans="1:6" ht="15.75" x14ac:dyDescent="0.25">
      <c r="A19" s="87">
        <f>_xlfn.AGGREGATE(3,3,$C$7:C19)</f>
        <v>13</v>
      </c>
      <c r="B19" s="42" t="str">
        <f>Thuysan!O145</f>
        <v>Cá tra thương phẩm</v>
      </c>
      <c r="C19" s="34" t="str">
        <f>Thuysan!P145</f>
        <v>83/0923/13</v>
      </c>
      <c r="D19" s="85">
        <f>Thuysan!S145</f>
        <v>1.5</v>
      </c>
      <c r="E19" s="85" t="str">
        <f>Thuysan!T145</f>
        <v>Trifluralin, Pb, Hg, Cd</v>
      </c>
      <c r="F19" s="87"/>
    </row>
    <row r="20" spans="1:6" ht="15.75" x14ac:dyDescent="0.25">
      <c r="A20" s="87">
        <f>_xlfn.AGGREGATE(3,3,$C$7:C20)</f>
        <v>14</v>
      </c>
      <c r="B20" s="42" t="str">
        <f>Thuysan!O146</f>
        <v>Cá tra thương phẩm</v>
      </c>
      <c r="C20" s="34" t="str">
        <f>Thuysan!P146</f>
        <v>83/0923/14</v>
      </c>
      <c r="D20" s="85">
        <f>Thuysan!S146</f>
        <v>1.5</v>
      </c>
      <c r="E20" s="85" t="str">
        <f>Thuysan!T146</f>
        <v>Fosfomycin, Pb, Hg, Cd</v>
      </c>
      <c r="F20" s="87"/>
    </row>
    <row r="21" spans="1:6" ht="15.75" x14ac:dyDescent="0.25">
      <c r="A21" s="87">
        <f>_xlfn.AGGREGATE(3,3,$C$7:C21)</f>
        <v>15</v>
      </c>
      <c r="B21" s="42" t="str">
        <f>Thuysan!O147</f>
        <v>Cá tra thương phẩm</v>
      </c>
      <c r="C21" s="34" t="str">
        <f>Thuysan!P147</f>
        <v>83/0923/15</v>
      </c>
      <c r="D21" s="85">
        <f>Thuysan!S147</f>
        <v>1.5</v>
      </c>
      <c r="E21" s="85" t="str">
        <f>Thuysan!T147</f>
        <v>Erythromycin, Pb, Hg, Cd</v>
      </c>
      <c r="F21" s="87"/>
    </row>
    <row r="22" spans="1:6" ht="15.75" x14ac:dyDescent="0.25">
      <c r="A22" s="87">
        <f>_xlfn.AGGREGATE(3,3,$C$7:C22)</f>
        <v>16</v>
      </c>
      <c r="B22" s="42" t="str">
        <f>Thuysan!O148</f>
        <v>Cá tra nhỏ</v>
      </c>
      <c r="C22" s="34" t="str">
        <f>Thuysan!P148</f>
        <v>83/0923/16</v>
      </c>
      <c r="D22" s="85">
        <f>Thuysan!S148</f>
        <v>1</v>
      </c>
      <c r="E22" s="85" t="str">
        <f>Thuysan!T148</f>
        <v>Nitrofurans, Pb, Hg, Cd</v>
      </c>
      <c r="F22" s="87"/>
    </row>
    <row r="23" spans="1:6" ht="31.5" x14ac:dyDescent="0.25">
      <c r="A23" s="87">
        <f>_xlfn.AGGREGATE(3,3,$C$7:C23)</f>
        <v>17</v>
      </c>
      <c r="B23" s="42" t="str">
        <f>Thuysan!O149</f>
        <v>Cá tra nhỏ</v>
      </c>
      <c r="C23" s="34" t="str">
        <f>Thuysan!P149</f>
        <v>83/0923/17</v>
      </c>
      <c r="D23" s="87">
        <f>Thuysan!S149</f>
        <v>1</v>
      </c>
      <c r="E23" s="87" t="str">
        <f>Thuysan!T149</f>
        <v>Nhóm Nitroimidazoles, Pb, Hg, Cd</v>
      </c>
      <c r="F23" s="87"/>
    </row>
    <row r="24" spans="1:6" ht="18.75" x14ac:dyDescent="0.25">
      <c r="E24" s="39"/>
      <c r="F24" s="86"/>
    </row>
    <row r="25" spans="1:6" ht="14.25" customHeight="1" x14ac:dyDescent="0.25">
      <c r="A25" s="130" t="s">
        <v>558</v>
      </c>
      <c r="B25" s="130"/>
      <c r="C25" s="130"/>
      <c r="D25" s="130" t="s">
        <v>558</v>
      </c>
      <c r="E25" s="130"/>
      <c r="F25" s="130"/>
    </row>
    <row r="26" spans="1:6" ht="18.75" x14ac:dyDescent="0.25">
      <c r="A26" s="131" t="s">
        <v>400</v>
      </c>
      <c r="B26" s="131"/>
      <c r="C26" s="131"/>
      <c r="D26" s="131" t="s">
        <v>399</v>
      </c>
      <c r="E26" s="131"/>
      <c r="F26" s="131"/>
    </row>
    <row r="27" spans="1:6" ht="18.75" x14ac:dyDescent="0.25">
      <c r="A27" s="138" t="s">
        <v>398</v>
      </c>
      <c r="B27" s="138"/>
      <c r="C27" s="138"/>
      <c r="D27" s="138" t="s">
        <v>398</v>
      </c>
      <c r="E27" s="138"/>
      <c r="F27" s="138"/>
    </row>
    <row r="28" spans="1:6" ht="13.5" customHeight="1" x14ac:dyDescent="0.25">
      <c r="E28" s="39"/>
      <c r="F28" s="86"/>
    </row>
    <row r="29" spans="1:6" ht="18.75" x14ac:dyDescent="0.25">
      <c r="E29" s="39"/>
      <c r="F29" s="86"/>
    </row>
    <row r="30" spans="1:6" ht="18.75" x14ac:dyDescent="0.25">
      <c r="A30" s="131"/>
      <c r="B30" s="131"/>
      <c r="C30" s="131"/>
      <c r="D30" s="131"/>
      <c r="E30" s="131"/>
      <c r="F30" s="131"/>
    </row>
    <row r="31" spans="1:6" ht="18" x14ac:dyDescent="0.25">
      <c r="B31" s="88" t="s">
        <v>364</v>
      </c>
    </row>
    <row r="34" ht="2.25" customHeight="1" x14ac:dyDescent="0.25"/>
    <row r="36" ht="15.75" customHeight="1" x14ac:dyDescent="0.25"/>
    <row r="37" ht="17.25" customHeight="1" x14ac:dyDescent="0.25"/>
    <row r="39" ht="26.25" customHeight="1" x14ac:dyDescent="0.25"/>
    <row r="40" ht="21.75" customHeight="1" x14ac:dyDescent="0.25"/>
  </sheetData>
  <mergeCells count="17">
    <mergeCell ref="A27:C27"/>
    <mergeCell ref="D27:F27"/>
    <mergeCell ref="A30:C30"/>
    <mergeCell ref="D30:F30"/>
    <mergeCell ref="A4:F4"/>
    <mergeCell ref="F16:F18"/>
    <mergeCell ref="A25:C25"/>
    <mergeCell ref="D25:F25"/>
    <mergeCell ref="A26:C26"/>
    <mergeCell ref="D26:F26"/>
    <mergeCell ref="A5:F5"/>
    <mergeCell ref="A1:C1"/>
    <mergeCell ref="D1:F1"/>
    <mergeCell ref="A2:C2"/>
    <mergeCell ref="D2:F2"/>
    <mergeCell ref="A3:C3"/>
    <mergeCell ref="D3:F3"/>
  </mergeCells>
  <pageMargins left="0.41" right="0.19" top="0.37" bottom="0.22" header="0.3" footer="0.17"/>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zoomScaleNormal="100" workbookViewId="0">
      <selection activeCell="E8" sqref="E8"/>
    </sheetView>
  </sheetViews>
  <sheetFormatPr defaultColWidth="11.42578125" defaultRowHeight="15" x14ac:dyDescent="0.25"/>
  <cols>
    <col min="1" max="1" width="5.42578125" style="38" customWidth="1"/>
    <col min="2" max="2" width="27.85546875" style="33" customWidth="1"/>
    <col min="3" max="3" width="12" style="33" customWidth="1"/>
    <col min="4" max="4" width="10"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407</v>
      </c>
      <c r="B3" s="146"/>
      <c r="C3" s="146"/>
      <c r="D3" s="147" t="s">
        <v>549</v>
      </c>
      <c r="E3" s="147"/>
      <c r="F3" s="147"/>
    </row>
    <row r="4" spans="1:6" ht="21" customHeight="1" x14ac:dyDescent="0.25">
      <c r="A4" s="132" t="s">
        <v>552</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15.75" x14ac:dyDescent="0.25">
      <c r="A7" s="37">
        <f>_xlfn.AGGREGATE(3,3,$C$7:C7)</f>
        <v>1</v>
      </c>
      <c r="B7" s="34" t="str">
        <f>Thuysan!O133</f>
        <v>Tôm sú thương phẩm</v>
      </c>
      <c r="C7" s="34" t="str">
        <f>Thuysan!P133</f>
        <v>83/0923/01</v>
      </c>
      <c r="D7" s="36">
        <f>Thuysan!S133</f>
        <v>1</v>
      </c>
      <c r="E7" s="83" t="str">
        <f>Thuysan!T133</f>
        <v>-</v>
      </c>
      <c r="F7" s="37"/>
    </row>
    <row r="8" spans="1:6" ht="15.75" x14ac:dyDescent="0.25">
      <c r="A8" s="37">
        <f>_xlfn.AGGREGATE(3,3,$C$7:C8)</f>
        <v>2</v>
      </c>
      <c r="B8" s="34" t="str">
        <f>Thuysan!O134</f>
        <v>Tôm chân trắng thương phẩm</v>
      </c>
      <c r="C8" s="34" t="str">
        <f>Thuysan!P134</f>
        <v>83/0923/02</v>
      </c>
      <c r="D8" s="83">
        <f>Thuysan!S134</f>
        <v>1</v>
      </c>
      <c r="E8" s="83" t="str">
        <f>Thuysan!T134</f>
        <v>Amoxicillin</v>
      </c>
      <c r="F8" s="37"/>
    </row>
    <row r="9" spans="1:6" ht="15.75" x14ac:dyDescent="0.25">
      <c r="A9" s="37">
        <f>_xlfn.AGGREGATE(3,3,$C$7:C9)</f>
        <v>3</v>
      </c>
      <c r="B9" s="34" t="str">
        <f>Thuysan!O135</f>
        <v>Cá tra thương phẩm</v>
      </c>
      <c r="C9" s="34" t="str">
        <f>Thuysan!P135</f>
        <v>83/0923/03</v>
      </c>
      <c r="D9" s="83">
        <f>Thuysan!S135</f>
        <v>1.5</v>
      </c>
      <c r="E9" s="83" t="str">
        <f>Thuysan!T135</f>
        <v>Trifluralin, Pb, Hg, Cd</v>
      </c>
      <c r="F9" s="37"/>
    </row>
    <row r="10" spans="1:6" ht="15.75" x14ac:dyDescent="0.25">
      <c r="A10" s="84">
        <f>_xlfn.AGGREGATE(3,3,$C$7:C10)</f>
        <v>4</v>
      </c>
      <c r="B10" s="34" t="str">
        <f>Thuysan!O136</f>
        <v>Tôm chân trắng thương phẩm</v>
      </c>
      <c r="C10" s="34" t="str">
        <f>Thuysan!P136</f>
        <v>83/0923/04</v>
      </c>
      <c r="D10" s="83">
        <f>Thuysan!S136</f>
        <v>1</v>
      </c>
      <c r="E10" s="83" t="str">
        <f>Thuysan!T136</f>
        <v>Nitrofurans</v>
      </c>
      <c r="F10" s="41"/>
    </row>
    <row r="11" spans="1:6" ht="15.75" x14ac:dyDescent="0.25">
      <c r="A11" s="37">
        <f>_xlfn.AGGREGATE(3,3,$C$7:C11)</f>
        <v>5</v>
      </c>
      <c r="B11" s="34" t="str">
        <f>Thuysan!O137</f>
        <v>Cá tra thương phẩm</v>
      </c>
      <c r="C11" s="34" t="str">
        <f>Thuysan!P137</f>
        <v>83/0923/05</v>
      </c>
      <c r="D11" s="83">
        <f>Thuysan!S137</f>
        <v>1.5</v>
      </c>
      <c r="E11" s="83" t="str">
        <f>Thuysan!T137</f>
        <v>Nhóm Quinolones, Pb, Hg, Cd</v>
      </c>
      <c r="F11" s="37"/>
    </row>
    <row r="12" spans="1:6" ht="15.75" x14ac:dyDescent="0.25">
      <c r="A12" s="37">
        <f>_xlfn.AGGREGATE(3,3,$C$7:C12)</f>
        <v>6</v>
      </c>
      <c r="B12" s="34" t="str">
        <f>Thuysan!O138</f>
        <v>Cá tra thương phẩm</v>
      </c>
      <c r="C12" s="34" t="str">
        <f>Thuysan!P138</f>
        <v>83/0923/06</v>
      </c>
      <c r="D12" s="83">
        <f>Thuysan!S138</f>
        <v>1.5</v>
      </c>
      <c r="E12" s="83" t="str">
        <f>Thuysan!T138</f>
        <v>Ormetoprim, Pb, Hg, Cd</v>
      </c>
      <c r="F12" s="37"/>
    </row>
    <row r="13" spans="1:6" ht="15.75" x14ac:dyDescent="0.25">
      <c r="A13" s="37">
        <f>_xlfn.AGGREGATE(3,3,$C$7:C13)</f>
        <v>7</v>
      </c>
      <c r="B13" s="34" t="str">
        <f>Thuysan!O139</f>
        <v>Tôm sú thương phẩm</v>
      </c>
      <c r="C13" s="34" t="str">
        <f>Thuysan!P139</f>
        <v>83/0923/07</v>
      </c>
      <c r="D13" s="83">
        <f>Thuysan!S139</f>
        <v>1</v>
      </c>
      <c r="E13" s="83" t="str">
        <f>Thuysan!T139</f>
        <v>-</v>
      </c>
      <c r="F13" s="37"/>
    </row>
    <row r="14" spans="1:6" ht="15.75" x14ac:dyDescent="0.25">
      <c r="A14" s="37">
        <f>_xlfn.AGGREGATE(3,3,$C$7:C14)</f>
        <v>8</v>
      </c>
      <c r="B14" s="34" t="str">
        <f>Thuysan!O140</f>
        <v>Tôm chân trắng thương phẩm</v>
      </c>
      <c r="C14" s="34" t="str">
        <f>Thuysan!P140</f>
        <v>83/0923/08</v>
      </c>
      <c r="D14" s="83">
        <f>Thuysan!S140</f>
        <v>1</v>
      </c>
      <c r="E14" s="83" t="str">
        <f>Thuysan!T140</f>
        <v>-</v>
      </c>
      <c r="F14" s="42"/>
    </row>
    <row r="15" spans="1:6" ht="15.75" x14ac:dyDescent="0.25">
      <c r="A15" s="37">
        <f>_xlfn.AGGREGATE(3,3,$C$7:C15)</f>
        <v>9</v>
      </c>
      <c r="B15" s="34" t="str">
        <f>Thuysan!O141</f>
        <v>Tôm sú quảng canh</v>
      </c>
      <c r="C15" s="34" t="str">
        <f>Thuysan!P141</f>
        <v>83/0923/09</v>
      </c>
      <c r="D15" s="83">
        <f>Thuysan!S141</f>
        <v>1</v>
      </c>
      <c r="E15" s="83" t="str">
        <f>Thuysan!T141</f>
        <v>Florfenicol</v>
      </c>
      <c r="F15" s="42"/>
    </row>
    <row r="16" spans="1:6" ht="31.5" x14ac:dyDescent="0.25">
      <c r="A16" s="84">
        <f>_xlfn.AGGREGATE(3,3,$C$7:C16)</f>
        <v>10</v>
      </c>
      <c r="B16" s="34" t="str">
        <f>Thuysan!O142</f>
        <v>Cá tra thương phẩm</v>
      </c>
      <c r="C16" s="34" t="str">
        <f>Thuysan!P142</f>
        <v>83/0923/10</v>
      </c>
      <c r="D16" s="83">
        <f>Thuysan!S142</f>
        <v>1.5</v>
      </c>
      <c r="E16" s="83" t="str">
        <f>Thuysan!T142</f>
        <v>Chlorpyrifos, Fipronil, Pb, Hg, Cd</v>
      </c>
      <c r="F16" s="139"/>
    </row>
    <row r="17" spans="1:6" ht="63" x14ac:dyDescent="0.25">
      <c r="A17" s="84">
        <f>_xlfn.AGGREGATE(3,3,$C$7:C17)</f>
        <v>11</v>
      </c>
      <c r="B17" s="34" t="str">
        <f>Thuysan!O143</f>
        <v>Cá tra thương phẩm</v>
      </c>
      <c r="C17" s="34" t="str">
        <f>Thuysan!P143</f>
        <v>83/0923/11</v>
      </c>
      <c r="D17" s="83">
        <f>Thuysan!S143</f>
        <v>1.5</v>
      </c>
      <c r="E17" s="83" t="str">
        <f>Thuysan!T143</f>
        <v>Malachite Green, Leuco Malachite Green, Crystal Violet, Leuco Crystal Violet, Pb, Hg, Cd</v>
      </c>
      <c r="F17" s="140"/>
    </row>
    <row r="18" spans="1:6" ht="47.25" x14ac:dyDescent="0.25">
      <c r="A18" s="84">
        <f>_xlfn.AGGREGATE(3,3,$C$7:C18)</f>
        <v>12</v>
      </c>
      <c r="B18" s="34" t="str">
        <f>Thuysan!O144</f>
        <v>Cá tra thương phẩm</v>
      </c>
      <c r="C18" s="34" t="str">
        <f>Thuysan!P144</f>
        <v>83/0923/12</v>
      </c>
      <c r="D18" s="83">
        <f>Thuysan!S144</f>
        <v>1.5</v>
      </c>
      <c r="E18" s="83" t="str">
        <f>Thuysan!T144</f>
        <v>Ivermectin, Praziquantel, Trichlorfon, Avermectin B1a, Pb, Hg, Cd</v>
      </c>
      <c r="F18" s="141"/>
    </row>
    <row r="19" spans="1:6" ht="15.75" x14ac:dyDescent="0.25">
      <c r="A19" s="37">
        <f>_xlfn.AGGREGATE(3,3,$C$7:C19)</f>
        <v>13</v>
      </c>
      <c r="B19" s="34" t="str">
        <f>Thuysan!O145</f>
        <v>Cá tra thương phẩm</v>
      </c>
      <c r="C19" s="34" t="str">
        <f>Thuysan!P145</f>
        <v>83/0923/13</v>
      </c>
      <c r="D19" s="83">
        <f>Thuysan!S145</f>
        <v>1.5</v>
      </c>
      <c r="E19" s="83" t="str">
        <f>Thuysan!T145</f>
        <v>Trifluralin, Pb, Hg, Cd</v>
      </c>
      <c r="F19" s="37"/>
    </row>
    <row r="20" spans="1:6" ht="15.75" x14ac:dyDescent="0.25">
      <c r="A20" s="37">
        <f>_xlfn.AGGREGATE(3,3,$C$7:C20)</f>
        <v>14</v>
      </c>
      <c r="B20" s="34" t="str">
        <f>Thuysan!O146</f>
        <v>Cá tra thương phẩm</v>
      </c>
      <c r="C20" s="34" t="str">
        <f>Thuysan!P146</f>
        <v>83/0923/14</v>
      </c>
      <c r="D20" s="83">
        <f>Thuysan!S146</f>
        <v>1.5</v>
      </c>
      <c r="E20" s="83" t="str">
        <f>Thuysan!T146</f>
        <v>Fosfomycin, Pb, Hg, Cd</v>
      </c>
      <c r="F20" s="37"/>
    </row>
    <row r="21" spans="1:6" ht="15.75" x14ac:dyDescent="0.25">
      <c r="A21" s="37">
        <f>_xlfn.AGGREGATE(3,3,$C$7:C21)</f>
        <v>15</v>
      </c>
      <c r="B21" s="34" t="str">
        <f>Thuysan!O147</f>
        <v>Cá tra thương phẩm</v>
      </c>
      <c r="C21" s="34" t="str">
        <f>Thuysan!P147</f>
        <v>83/0923/15</v>
      </c>
      <c r="D21" s="83">
        <f>Thuysan!S147</f>
        <v>1.5</v>
      </c>
      <c r="E21" s="83" t="str">
        <f>Thuysan!T147</f>
        <v>Erythromycin, Pb, Hg, Cd</v>
      </c>
      <c r="F21" s="37"/>
    </row>
    <row r="22" spans="1:6" ht="15.75" x14ac:dyDescent="0.25">
      <c r="A22" s="37">
        <f>_xlfn.AGGREGATE(3,3,$C$7:C22)</f>
        <v>16</v>
      </c>
      <c r="B22" s="34" t="str">
        <f>Thuysan!O148</f>
        <v>Cá tra nhỏ</v>
      </c>
      <c r="C22" s="34" t="str">
        <f>Thuysan!P148</f>
        <v>83/0923/16</v>
      </c>
      <c r="D22" s="83">
        <f>Thuysan!S148</f>
        <v>1</v>
      </c>
      <c r="E22" s="83" t="str">
        <f>Thuysan!T148</f>
        <v>Nitrofurans, Pb, Hg, Cd</v>
      </c>
      <c r="F22" s="37"/>
    </row>
    <row r="23" spans="1:6" ht="31.5" x14ac:dyDescent="0.25">
      <c r="A23" s="37">
        <f>_xlfn.AGGREGATE(3,3,$C$7:C23)</f>
        <v>17</v>
      </c>
      <c r="B23" s="34" t="str">
        <f>Thuysan!O149</f>
        <v>Cá tra nhỏ</v>
      </c>
      <c r="C23" s="34" t="str">
        <f>Thuysan!P149</f>
        <v>83/0923/17</v>
      </c>
      <c r="D23" s="84">
        <f>Thuysan!S149</f>
        <v>1</v>
      </c>
      <c r="E23" s="84" t="str">
        <f>Thuysan!T149</f>
        <v>Nhóm Nitroimidazoles, Pb, Hg, Cd</v>
      </c>
      <c r="F23" s="37"/>
    </row>
    <row r="24" spans="1:6" ht="18.75" x14ac:dyDescent="0.25">
      <c r="E24" s="39"/>
      <c r="F24" s="40"/>
    </row>
    <row r="25" spans="1:6" ht="14.25" customHeight="1" x14ac:dyDescent="0.25">
      <c r="A25" s="130" t="s">
        <v>551</v>
      </c>
      <c r="B25" s="130"/>
      <c r="C25" s="130"/>
      <c r="D25" s="130" t="s">
        <v>551</v>
      </c>
      <c r="E25" s="130"/>
      <c r="F25" s="130"/>
    </row>
    <row r="26" spans="1:6" ht="18.75" x14ac:dyDescent="0.25">
      <c r="A26" s="131" t="s">
        <v>400</v>
      </c>
      <c r="B26" s="131"/>
      <c r="C26" s="131"/>
      <c r="D26" s="131" t="s">
        <v>399</v>
      </c>
      <c r="E26" s="131"/>
      <c r="F26" s="131"/>
    </row>
    <row r="27" spans="1:6" ht="18.75" x14ac:dyDescent="0.25">
      <c r="A27" s="138" t="s">
        <v>398</v>
      </c>
      <c r="B27" s="138"/>
      <c r="C27" s="138"/>
      <c r="D27" s="138" t="s">
        <v>398</v>
      </c>
      <c r="E27" s="138"/>
      <c r="F27" s="138"/>
    </row>
    <row r="28" spans="1:6" ht="13.5" customHeight="1" x14ac:dyDescent="0.25">
      <c r="E28" s="39"/>
      <c r="F28" s="40"/>
    </row>
    <row r="29" spans="1:6" ht="18.75" x14ac:dyDescent="0.25">
      <c r="E29" s="39"/>
      <c r="F29" s="40"/>
    </row>
    <row r="30" spans="1:6" ht="18.75" x14ac:dyDescent="0.25">
      <c r="A30" s="131"/>
      <c r="B30" s="131"/>
      <c r="C30" s="131"/>
      <c r="D30" s="131"/>
      <c r="E30" s="131"/>
      <c r="F30" s="131"/>
    </row>
    <row r="31" spans="1:6" ht="18" x14ac:dyDescent="0.25">
      <c r="B31" s="88" t="s">
        <v>364</v>
      </c>
    </row>
    <row r="34" ht="2.25" customHeight="1" x14ac:dyDescent="0.25"/>
    <row r="36" ht="15.75" customHeight="1" x14ac:dyDescent="0.25"/>
    <row r="37" ht="17.25" customHeight="1" x14ac:dyDescent="0.25"/>
    <row r="39" ht="26.25" customHeight="1" x14ac:dyDescent="0.25"/>
    <row r="40" ht="21.75" customHeight="1" x14ac:dyDescent="0.25"/>
  </sheetData>
  <mergeCells count="16">
    <mergeCell ref="A27:C27"/>
    <mergeCell ref="D27:F27"/>
    <mergeCell ref="A30:C30"/>
    <mergeCell ref="D30:F30"/>
    <mergeCell ref="A4:F4"/>
    <mergeCell ref="A25:C25"/>
    <mergeCell ref="D25:F25"/>
    <mergeCell ref="A26:C26"/>
    <mergeCell ref="D26:F26"/>
    <mergeCell ref="F16:F18"/>
    <mergeCell ref="A1:C1"/>
    <mergeCell ref="D1:F1"/>
    <mergeCell ref="A2:C2"/>
    <mergeCell ref="D2:F2"/>
    <mergeCell ref="A3:C3"/>
    <mergeCell ref="D3:F3"/>
  </mergeCells>
  <pageMargins left="0.41" right="0.19" top="0.37" bottom="0.22" header="0.3" footer="0.17"/>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opLeftCell="A4" zoomScaleNormal="100" workbookViewId="0">
      <selection activeCell="D19" sqref="D19"/>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528</v>
      </c>
      <c r="B3" s="146"/>
      <c r="C3" s="146"/>
      <c r="D3" s="147" t="s">
        <v>532</v>
      </c>
      <c r="E3" s="147"/>
      <c r="F3" s="147"/>
    </row>
    <row r="4" spans="1:6" ht="21" customHeight="1" x14ac:dyDescent="0.25">
      <c r="A4" s="132" t="s">
        <v>533</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15.75" x14ac:dyDescent="0.25">
      <c r="A7" s="77">
        <f>_xlfn.AGGREGATE(3,3,$C$7:C7)</f>
        <v>1</v>
      </c>
      <c r="B7" s="34" t="str">
        <f>Thuysan!O91</f>
        <v>Tôm sú thương phẩm</v>
      </c>
      <c r="C7" s="34" t="str">
        <f>Thuysan!P91</f>
        <v>83/0723/01</v>
      </c>
      <c r="D7" s="76">
        <f>Thuysan!S91</f>
        <v>1</v>
      </c>
      <c r="E7" s="76" t="str">
        <f>Thuysan!T91</f>
        <v>Erythromycin</v>
      </c>
      <c r="F7" s="77"/>
    </row>
    <row r="8" spans="1:6" ht="15.75" x14ac:dyDescent="0.25">
      <c r="A8" s="77">
        <f>_xlfn.AGGREGATE(3,3,$C$7:C8)</f>
        <v>2</v>
      </c>
      <c r="B8" s="34" t="str">
        <f>Thuysan!O92</f>
        <v>Tôm chân trắng thương phẩm</v>
      </c>
      <c r="C8" s="34" t="str">
        <f>Thuysan!P92</f>
        <v>83/0723/02</v>
      </c>
      <c r="D8" s="76">
        <f>Thuysan!S92</f>
        <v>1</v>
      </c>
      <c r="E8" s="76" t="str">
        <f>Thuysan!T92</f>
        <v>Chloramphenicol</v>
      </c>
      <c r="F8" s="77"/>
    </row>
    <row r="9" spans="1:6" ht="15.75" x14ac:dyDescent="0.25">
      <c r="A9" s="77">
        <f>_xlfn.AGGREGATE(3,3,$C$7:C9)</f>
        <v>3</v>
      </c>
      <c r="B9" s="34" t="str">
        <f>Thuysan!O93</f>
        <v>Cá tra thương phẩm</v>
      </c>
      <c r="C9" s="34" t="str">
        <f>Thuysan!P93</f>
        <v>83/0723/03</v>
      </c>
      <c r="D9" s="76">
        <f>Thuysan!S93</f>
        <v>1.5</v>
      </c>
      <c r="E9" s="76" t="str">
        <f>Thuysan!T93</f>
        <v>Fosfomycin</v>
      </c>
      <c r="F9" s="77"/>
    </row>
    <row r="10" spans="1:6" ht="15.75" x14ac:dyDescent="0.25">
      <c r="A10" s="77">
        <f>_xlfn.AGGREGATE(3,3,$C$7:C10)</f>
        <v>4</v>
      </c>
      <c r="B10" s="34" t="str">
        <f>Thuysan!O94</f>
        <v>Tôm sú thương phẩm</v>
      </c>
      <c r="C10" s="34" t="str">
        <f>Thuysan!P94</f>
        <v>83/0723/04</v>
      </c>
      <c r="D10" s="76">
        <f>Thuysan!S94</f>
        <v>1</v>
      </c>
      <c r="E10" s="76" t="str">
        <f>Thuysan!T94</f>
        <v>-</v>
      </c>
      <c r="F10" s="77"/>
    </row>
    <row r="11" spans="1:6" ht="15.75" x14ac:dyDescent="0.25">
      <c r="A11" s="77">
        <f>_xlfn.AGGREGATE(3,3,$C$7:C11)</f>
        <v>5</v>
      </c>
      <c r="B11" s="34" t="str">
        <f>Thuysan!O95</f>
        <v>Tôm chân trắng thương phẩm</v>
      </c>
      <c r="C11" s="34" t="str">
        <f>Thuysan!P95</f>
        <v>83/0723/05</v>
      </c>
      <c r="D11" s="76">
        <f>Thuysan!S95</f>
        <v>1</v>
      </c>
      <c r="E11" s="76" t="str">
        <f>Thuysan!T95</f>
        <v>Nhóm Sulfonamides</v>
      </c>
      <c r="F11" s="77"/>
    </row>
    <row r="12" spans="1:6" ht="15.75" x14ac:dyDescent="0.25">
      <c r="A12" s="77">
        <f>_xlfn.AGGREGATE(3,3,$C$7:C12)</f>
        <v>6</v>
      </c>
      <c r="B12" s="34" t="str">
        <f>Thuysan!O96</f>
        <v>Cá tra thương phẩm</v>
      </c>
      <c r="C12" s="34" t="str">
        <f>Thuysan!P96</f>
        <v>83/0723/06</v>
      </c>
      <c r="D12" s="76">
        <f>Thuysan!S96</f>
        <v>1.5</v>
      </c>
      <c r="E12" s="76" t="str">
        <f>Thuysan!T96</f>
        <v>Nhóm Tetracyclines</v>
      </c>
      <c r="F12" s="77"/>
    </row>
    <row r="13" spans="1:6" ht="15.75" x14ac:dyDescent="0.25">
      <c r="A13" s="77">
        <f>_xlfn.AGGREGATE(3,3,$C$7:C13)</f>
        <v>7</v>
      </c>
      <c r="B13" s="34" t="str">
        <f>Thuysan!O97</f>
        <v>Cá tra thương phẩm</v>
      </c>
      <c r="C13" s="34" t="str">
        <f>Thuysan!P97</f>
        <v>83/0723/07</v>
      </c>
      <c r="D13" s="76">
        <f>Thuysan!S97</f>
        <v>1.5</v>
      </c>
      <c r="E13" s="76" t="str">
        <f>Thuysan!T97</f>
        <v>Trimethoprim</v>
      </c>
      <c r="F13" s="77"/>
    </row>
    <row r="14" spans="1:6" ht="15.75" x14ac:dyDescent="0.25">
      <c r="A14" s="77">
        <f>_xlfn.AGGREGATE(3,3,$C$7:C14)</f>
        <v>8</v>
      </c>
      <c r="B14" s="34" t="str">
        <f>Thuysan!O98</f>
        <v>Tôm sú thương phẩm</v>
      </c>
      <c r="C14" s="34" t="str">
        <f>Thuysan!P98</f>
        <v>83/0723/08</v>
      </c>
      <c r="D14" s="76">
        <f>Thuysan!S98</f>
        <v>1</v>
      </c>
      <c r="E14" s="76" t="str">
        <f>Thuysan!T98</f>
        <v>Florfenicol</v>
      </c>
      <c r="F14" s="34"/>
    </row>
    <row r="15" spans="1:6" ht="15.75" x14ac:dyDescent="0.25">
      <c r="A15" s="77">
        <f>_xlfn.AGGREGATE(3,3,$C$7:C15)</f>
        <v>9</v>
      </c>
      <c r="B15" s="34" t="str">
        <f>Thuysan!O99</f>
        <v>Tôm sú quảng canh</v>
      </c>
      <c r="C15" s="34" t="str">
        <f>Thuysan!P99</f>
        <v>83/0723/09</v>
      </c>
      <c r="D15" s="76">
        <f>Thuysan!S99</f>
        <v>1</v>
      </c>
      <c r="E15" s="76" t="str">
        <f>Thuysan!T99</f>
        <v>Chloramphenicol</v>
      </c>
      <c r="F15" s="34"/>
    </row>
    <row r="16" spans="1:6" ht="15.75" x14ac:dyDescent="0.25">
      <c r="A16" s="77">
        <f>_xlfn.AGGREGATE(3,3,$C$7:C16)</f>
        <v>10</v>
      </c>
      <c r="B16" s="34" t="str">
        <f>Thuysan!O100</f>
        <v>Tôm chân trắng thương phẩm</v>
      </c>
      <c r="C16" s="34" t="str">
        <f>Thuysan!P100</f>
        <v>83/0723/10</v>
      </c>
      <c r="D16" s="76">
        <f>Thuysan!S100</f>
        <v>1</v>
      </c>
      <c r="E16" s="76" t="str">
        <f>Thuysan!T100</f>
        <v>Ormetoprim</v>
      </c>
      <c r="F16" s="34"/>
    </row>
    <row r="17" spans="1:6" ht="15.75" x14ac:dyDescent="0.25">
      <c r="A17" s="77">
        <f>_xlfn.AGGREGATE(3,3,$C$7:C17)</f>
        <v>11</v>
      </c>
      <c r="B17" s="34" t="str">
        <f>Thuysan!O101</f>
        <v>Cá tra thương phẩm</v>
      </c>
      <c r="C17" s="34" t="str">
        <f>Thuysan!P101</f>
        <v>83/0723/11</v>
      </c>
      <c r="D17" s="76">
        <f>Thuysan!S101</f>
        <v>1.5</v>
      </c>
      <c r="E17" s="76" t="str">
        <f>Thuysan!T101</f>
        <v>Nhóm Quinolones</v>
      </c>
      <c r="F17" s="34"/>
    </row>
    <row r="18" spans="1:6" ht="15.75" x14ac:dyDescent="0.25">
      <c r="A18" s="77">
        <f>_xlfn.AGGREGATE(3,3,$C$7:C18)</f>
        <v>12</v>
      </c>
      <c r="B18" s="34" t="str">
        <f>Thuysan!O102</f>
        <v>Cá tra thương phẩm</v>
      </c>
      <c r="C18" s="34" t="str">
        <f>Thuysan!P102</f>
        <v>83/0723/12</v>
      </c>
      <c r="D18" s="76">
        <f>Thuysan!S102</f>
        <v>1.5</v>
      </c>
      <c r="E18" s="76" t="str">
        <f>Thuysan!T102</f>
        <v>Trimethoprim</v>
      </c>
      <c r="F18" s="34"/>
    </row>
    <row r="19" spans="1:6" ht="15.75" x14ac:dyDescent="0.25">
      <c r="A19" s="77">
        <f>_xlfn.AGGREGATE(3,3,$C$7:C19)</f>
        <v>13</v>
      </c>
      <c r="B19" s="34" t="str">
        <f>Thuysan!O103</f>
        <v>Cá tra thương phẩm</v>
      </c>
      <c r="C19" s="34" t="str">
        <f>Thuysan!P103</f>
        <v>83/0723/13</v>
      </c>
      <c r="D19" s="76">
        <f>Thuysan!S103</f>
        <v>1.5</v>
      </c>
      <c r="E19" s="76" t="str">
        <f>Thuysan!T103</f>
        <v>Ormetoprim</v>
      </c>
      <c r="F19" s="34"/>
    </row>
    <row r="20" spans="1:6" ht="15.75" x14ac:dyDescent="0.25">
      <c r="A20" s="77">
        <f>_xlfn.AGGREGATE(3,3,$C$7:C20)</f>
        <v>14</v>
      </c>
      <c r="B20" s="34" t="str">
        <f>Thuysan!O104</f>
        <v>Cá tra thương phẩm</v>
      </c>
      <c r="C20" s="34" t="str">
        <f>Thuysan!P104</f>
        <v>83/0723/14</v>
      </c>
      <c r="D20" s="76">
        <f>Thuysan!S104</f>
        <v>1.5</v>
      </c>
      <c r="E20" s="76" t="str">
        <f>Thuysan!T104</f>
        <v>Nitrofurans</v>
      </c>
      <c r="F20" s="34"/>
    </row>
    <row r="21" spans="1:6" ht="15.75" x14ac:dyDescent="0.25">
      <c r="A21" s="77">
        <f>_xlfn.AGGREGATE(3,3,$C$7:C21)</f>
        <v>15</v>
      </c>
      <c r="B21" s="34" t="str">
        <f>Thuysan!O105</f>
        <v>Cá tra thương phẩm</v>
      </c>
      <c r="C21" s="34" t="str">
        <f>Thuysan!P105</f>
        <v>83/0723/15</v>
      </c>
      <c r="D21" s="76">
        <f>Thuysan!S105</f>
        <v>1.5</v>
      </c>
      <c r="E21" s="76" t="str">
        <f>Thuysan!T105</f>
        <v>-</v>
      </c>
      <c r="F21" s="34"/>
    </row>
    <row r="22" spans="1:6" ht="15.75" x14ac:dyDescent="0.25">
      <c r="A22" s="77">
        <f>_xlfn.AGGREGATE(3,3,$C$7:C22)</f>
        <v>16</v>
      </c>
      <c r="B22" s="34" t="str">
        <f>Thuysan!O106</f>
        <v>Cá tra thương phẩm</v>
      </c>
      <c r="C22" s="34" t="str">
        <f>Thuysan!P106</f>
        <v>83/0723/16</v>
      </c>
      <c r="D22" s="76">
        <f>Thuysan!S106</f>
        <v>1.5</v>
      </c>
      <c r="E22" s="76" t="str">
        <f>Thuysan!T106</f>
        <v>Nhóm Quinolones</v>
      </c>
      <c r="F22" s="77"/>
    </row>
    <row r="23" spans="1:6" ht="15.75" x14ac:dyDescent="0.25">
      <c r="A23" s="77">
        <f>_xlfn.AGGREGATE(3,3,$C$7:C23)</f>
        <v>17</v>
      </c>
      <c r="B23" s="34" t="str">
        <f>Thuysan!O107</f>
        <v>Cá tra thương phẩm</v>
      </c>
      <c r="C23" s="34" t="str">
        <f>Thuysan!P107</f>
        <v>83/0723/17</v>
      </c>
      <c r="D23" s="76">
        <f>Thuysan!S107</f>
        <v>1.5</v>
      </c>
      <c r="E23" s="76" t="str">
        <f>Thuysan!T107</f>
        <v>Erythromycin</v>
      </c>
      <c r="F23" s="77"/>
    </row>
    <row r="24" spans="1:6" ht="15.75" x14ac:dyDescent="0.25">
      <c r="A24" s="77">
        <f>_xlfn.AGGREGATE(3,3,$C$7:C24)</f>
        <v>18</v>
      </c>
      <c r="B24" s="34" t="str">
        <f>Thuysan!O108</f>
        <v>Cá tra thương phẩm</v>
      </c>
      <c r="C24" s="34" t="str">
        <f>Thuysan!P108</f>
        <v>83/0723/18</v>
      </c>
      <c r="D24" s="76">
        <f>Thuysan!S108</f>
        <v>1.5</v>
      </c>
      <c r="E24" s="76" t="str">
        <f>Thuysan!T108</f>
        <v>Azadirachtin</v>
      </c>
      <c r="F24" s="77"/>
    </row>
    <row r="25" spans="1:6" ht="15.75" x14ac:dyDescent="0.25">
      <c r="A25" s="77">
        <f>_xlfn.AGGREGATE(3,3,$C$7:C25)</f>
        <v>19</v>
      </c>
      <c r="B25" s="34" t="str">
        <f>Thuysan!O109</f>
        <v>Cá tra thương phẩm</v>
      </c>
      <c r="C25" s="34" t="str">
        <f>Thuysan!P109</f>
        <v>83/0723/19</v>
      </c>
      <c r="D25" s="77">
        <f>Thuysan!S109</f>
        <v>1.5</v>
      </c>
      <c r="E25" s="77" t="str">
        <f>Thuysan!T109</f>
        <v>-</v>
      </c>
      <c r="F25" s="77"/>
    </row>
    <row r="26" spans="1:6" ht="6.75" customHeight="1" x14ac:dyDescent="0.25">
      <c r="E26" s="39"/>
      <c r="F26" s="78"/>
    </row>
    <row r="27" spans="1:6" ht="18.75" x14ac:dyDescent="0.25">
      <c r="A27" s="130" t="s">
        <v>534</v>
      </c>
      <c r="B27" s="130"/>
      <c r="C27" s="130"/>
      <c r="D27" s="149" t="s">
        <v>535</v>
      </c>
      <c r="E27" s="149"/>
      <c r="F27" s="149"/>
    </row>
    <row r="28" spans="1:6" ht="18.75" x14ac:dyDescent="0.25">
      <c r="A28" s="131" t="s">
        <v>400</v>
      </c>
      <c r="B28" s="131"/>
      <c r="C28" s="131"/>
      <c r="D28" s="131" t="s">
        <v>399</v>
      </c>
      <c r="E28" s="131"/>
      <c r="F28" s="131"/>
    </row>
    <row r="29" spans="1:6" ht="18.75" x14ac:dyDescent="0.25">
      <c r="A29" s="138" t="s">
        <v>398</v>
      </c>
      <c r="B29" s="138"/>
      <c r="C29" s="138"/>
      <c r="D29" s="138" t="s">
        <v>398</v>
      </c>
      <c r="E29" s="138"/>
      <c r="F29" s="138"/>
    </row>
    <row r="30" spans="1:6" ht="18.75" x14ac:dyDescent="0.25">
      <c r="E30" s="39"/>
      <c r="F30" s="78"/>
    </row>
    <row r="31" spans="1:6" ht="18.75" x14ac:dyDescent="0.25">
      <c r="E31" s="39"/>
      <c r="F31" s="78"/>
    </row>
    <row r="32" spans="1:6" ht="18.75" customHeight="1" x14ac:dyDescent="0.25">
      <c r="E32" s="39"/>
      <c r="F32" s="78"/>
    </row>
    <row r="33" spans="1:6" ht="18.75" x14ac:dyDescent="0.25">
      <c r="A33" s="131" t="s">
        <v>364</v>
      </c>
      <c r="B33" s="131"/>
      <c r="C33" s="131"/>
      <c r="D33" s="131"/>
      <c r="E33" s="131"/>
      <c r="F33" s="131"/>
    </row>
    <row r="34" spans="1:6" s="38" customFormat="1" ht="26.25" customHeight="1" x14ac:dyDescent="0.25">
      <c r="B34" s="33"/>
      <c r="C34" s="33"/>
      <c r="D34" s="33"/>
      <c r="E34" s="33"/>
    </row>
    <row r="35" spans="1:6" s="38" customFormat="1" ht="21.75" customHeight="1" x14ac:dyDescent="0.25">
      <c r="B35" s="33"/>
      <c r="C35" s="33"/>
      <c r="D35" s="33"/>
      <c r="E35" s="33"/>
    </row>
  </sheetData>
  <mergeCells count="15">
    <mergeCell ref="A1:C1"/>
    <mergeCell ref="D1:F1"/>
    <mergeCell ref="A2:C2"/>
    <mergeCell ref="D2:F2"/>
    <mergeCell ref="A3:C3"/>
    <mergeCell ref="D3:F3"/>
    <mergeCell ref="A33:C33"/>
    <mergeCell ref="D33:F33"/>
    <mergeCell ref="A4:F4"/>
    <mergeCell ref="A27:C27"/>
    <mergeCell ref="D27:F27"/>
    <mergeCell ref="A28:C28"/>
    <mergeCell ref="D28:F28"/>
    <mergeCell ref="A29:C29"/>
    <mergeCell ref="D29:F29"/>
  </mergeCells>
  <pageMargins left="0.41" right="0.19" top="0.43" bottom="0.3" header="0.3" footer="0.18"/>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opLeftCell="A13" zoomScaleNormal="100" workbookViewId="0">
      <selection activeCell="B36" sqref="B36"/>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513</v>
      </c>
      <c r="B3" s="146"/>
      <c r="C3" s="146"/>
      <c r="D3" s="147" t="s">
        <v>516</v>
      </c>
      <c r="E3" s="147"/>
      <c r="F3" s="147"/>
    </row>
    <row r="4" spans="1:6" ht="21" customHeight="1" x14ac:dyDescent="0.25">
      <c r="A4" s="132" t="s">
        <v>517</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29.25" customHeight="1" x14ac:dyDescent="0.25">
      <c r="A7" s="70">
        <f>_xlfn.AGGREGATE(3,3,$C$7:C7)</f>
        <v>1</v>
      </c>
      <c r="B7" s="34" t="str">
        <f>Thuysan!O71</f>
        <v>Tôm sú thương phẩm</v>
      </c>
      <c r="C7" s="34" t="str">
        <f>Thuysan!P71</f>
        <v>83/0623/01</v>
      </c>
      <c r="D7" s="69">
        <f>Thuysan!S71</f>
        <v>1</v>
      </c>
      <c r="E7" s="69" t="str">
        <f>Thuysan!T71</f>
        <v>Chloramphenicol</v>
      </c>
      <c r="F7" s="70"/>
    </row>
    <row r="8" spans="1:6" ht="15.75" x14ac:dyDescent="0.25">
      <c r="A8" s="70">
        <f>_xlfn.AGGREGATE(3,3,$C$7:C8)</f>
        <v>2</v>
      </c>
      <c r="B8" s="34" t="str">
        <f>Thuysan!O72</f>
        <v>Tôm chân trắng thương phẩm</v>
      </c>
      <c r="C8" s="34" t="str">
        <f>Thuysan!P72</f>
        <v>83/0623/02</v>
      </c>
      <c r="D8" s="69">
        <f>Thuysan!S72</f>
        <v>1</v>
      </c>
      <c r="E8" s="69" t="str">
        <f>Thuysan!T72</f>
        <v>Nhóm Quinolones</v>
      </c>
      <c r="F8" s="70"/>
    </row>
    <row r="9" spans="1:6" ht="15.75" x14ac:dyDescent="0.25">
      <c r="A9" s="70">
        <f>_xlfn.AGGREGATE(3,3,$C$7:C9)</f>
        <v>3</v>
      </c>
      <c r="B9" s="34" t="str">
        <f>Thuysan!O73</f>
        <v>Tôm sú thương phẩm</v>
      </c>
      <c r="C9" s="34" t="str">
        <f>Thuysan!P73</f>
        <v>83/0623/03</v>
      </c>
      <c r="D9" s="69">
        <f>Thuysan!S73</f>
        <v>1</v>
      </c>
      <c r="E9" s="69" t="str">
        <f>Thuysan!T73</f>
        <v>Fosfomycin</v>
      </c>
      <c r="F9" s="70"/>
    </row>
    <row r="10" spans="1:6" ht="15.75" x14ac:dyDescent="0.25">
      <c r="A10" s="70">
        <f>_xlfn.AGGREGATE(3,3,$C$7:C10)</f>
        <v>4</v>
      </c>
      <c r="B10" s="34" t="str">
        <f>Thuysan!O74</f>
        <v>Tôm chân trắng thương phẩm</v>
      </c>
      <c r="C10" s="34" t="str">
        <f>Thuysan!P74</f>
        <v>83/0623/04</v>
      </c>
      <c r="D10" s="69">
        <f>Thuysan!S74</f>
        <v>1</v>
      </c>
      <c r="E10" s="69" t="str">
        <f>Thuysan!T74</f>
        <v>Nhóm Tetracyclines</v>
      </c>
      <c r="F10" s="70"/>
    </row>
    <row r="11" spans="1:6" ht="15.75" x14ac:dyDescent="0.25">
      <c r="A11" s="70">
        <f>_xlfn.AGGREGATE(3,3,$C$7:C11)</f>
        <v>5</v>
      </c>
      <c r="B11" s="34" t="str">
        <f>Thuysan!O75</f>
        <v>Cá tra thương phẩm</v>
      </c>
      <c r="C11" s="34" t="str">
        <f>Thuysan!P75</f>
        <v>83/0623/05</v>
      </c>
      <c r="D11" s="69">
        <f>Thuysan!S75</f>
        <v>1.5</v>
      </c>
      <c r="E11" s="69" t="str">
        <f>Thuysan!T75</f>
        <v>-</v>
      </c>
      <c r="F11" s="70"/>
    </row>
    <row r="12" spans="1:6" ht="15.75" x14ac:dyDescent="0.25">
      <c r="A12" s="70">
        <f>_xlfn.AGGREGATE(3,3,$C$7:C12)</f>
        <v>6</v>
      </c>
      <c r="B12" s="34" t="str">
        <f>Thuysan!O76</f>
        <v>Cá tra thương phẩm</v>
      </c>
      <c r="C12" s="34" t="str">
        <f>Thuysan!P76</f>
        <v>83/0623/06</v>
      </c>
      <c r="D12" s="69">
        <f>Thuysan!S76</f>
        <v>1.5</v>
      </c>
      <c r="E12" s="69" t="str">
        <f>Thuysan!T76</f>
        <v>Florfenicol</v>
      </c>
      <c r="F12" s="70"/>
    </row>
    <row r="13" spans="1:6" ht="15.75" x14ac:dyDescent="0.25">
      <c r="A13" s="70">
        <f>_xlfn.AGGREGATE(3,3,$C$7:C13)</f>
        <v>7</v>
      </c>
      <c r="B13" s="34" t="str">
        <f>Thuysan!O77</f>
        <v>Tôm sú thương phẩm</v>
      </c>
      <c r="C13" s="34" t="str">
        <f>Thuysan!P77</f>
        <v>83/0623/07</v>
      </c>
      <c r="D13" s="69">
        <f>Thuysan!S77</f>
        <v>1</v>
      </c>
      <c r="E13" s="69" t="str">
        <f>Thuysan!T77</f>
        <v>Amoxicillin</v>
      </c>
      <c r="F13" s="70"/>
    </row>
    <row r="14" spans="1:6" ht="15.75" x14ac:dyDescent="0.25">
      <c r="A14" s="70">
        <f>_xlfn.AGGREGATE(3,3,$C$7:C14)</f>
        <v>8</v>
      </c>
      <c r="B14" s="34" t="str">
        <f>Thuysan!O78</f>
        <v>Tôm sú thương phẩm</v>
      </c>
      <c r="C14" s="34" t="str">
        <f>Thuysan!P78</f>
        <v>83/0623/08</v>
      </c>
      <c r="D14" s="69">
        <f>Thuysan!S78</f>
        <v>1</v>
      </c>
      <c r="E14" s="69" t="str">
        <f>Thuysan!T78</f>
        <v>Trifluralin</v>
      </c>
      <c r="F14" s="34"/>
    </row>
    <row r="15" spans="1:6" ht="15.75" x14ac:dyDescent="0.25">
      <c r="A15" s="70">
        <f>_xlfn.AGGREGATE(3,3,$C$7:C15)</f>
        <v>9</v>
      </c>
      <c r="B15" s="34" t="str">
        <f>Thuysan!O79</f>
        <v>Tôm sú quảng canh</v>
      </c>
      <c r="C15" s="34" t="str">
        <f>Thuysan!P79</f>
        <v>83/0623/09</v>
      </c>
      <c r="D15" s="69">
        <f>Thuysan!S79</f>
        <v>1</v>
      </c>
      <c r="E15" s="69" t="str">
        <f>Thuysan!T79</f>
        <v>-</v>
      </c>
      <c r="F15" s="34"/>
    </row>
    <row r="16" spans="1:6" ht="15.75" x14ac:dyDescent="0.25">
      <c r="A16" s="70">
        <f>_xlfn.AGGREGATE(3,3,$C$7:C16)</f>
        <v>10</v>
      </c>
      <c r="B16" s="34" t="str">
        <f>Thuysan!O80</f>
        <v>Tôm chân trắng thương phẩm</v>
      </c>
      <c r="C16" s="34" t="str">
        <f>Thuysan!P80</f>
        <v>83/0623/10</v>
      </c>
      <c r="D16" s="69">
        <f>Thuysan!S80</f>
        <v>1</v>
      </c>
      <c r="E16" s="69" t="str">
        <f>Thuysan!T80</f>
        <v>Nhóm Quinolones</v>
      </c>
      <c r="F16" s="34"/>
    </row>
    <row r="17" spans="1:6" ht="15.75" x14ac:dyDescent="0.25">
      <c r="A17" s="70">
        <f>_xlfn.AGGREGATE(3,3,$C$7:C17)</f>
        <v>11</v>
      </c>
      <c r="B17" s="34" t="str">
        <f>Thuysan!O81</f>
        <v>Cá tra thương phẩm</v>
      </c>
      <c r="C17" s="34" t="str">
        <f>Thuysan!P81</f>
        <v>83/0623/11</v>
      </c>
      <c r="D17" s="69">
        <f>Thuysan!S81</f>
        <v>1.5</v>
      </c>
      <c r="E17" s="69" t="str">
        <f>Thuysan!T81</f>
        <v>Nhóm Tetracyclines</v>
      </c>
      <c r="F17" s="34"/>
    </row>
    <row r="18" spans="1:6" ht="15.75" x14ac:dyDescent="0.25">
      <c r="A18" s="70">
        <f>_xlfn.AGGREGATE(3,3,$C$7:C18)</f>
        <v>12</v>
      </c>
      <c r="B18" s="34" t="str">
        <f>Thuysan!O82</f>
        <v>Cá tra thương phẩm</v>
      </c>
      <c r="C18" s="34" t="str">
        <f>Thuysan!P82</f>
        <v>83/0623/12</v>
      </c>
      <c r="D18" s="69">
        <f>Thuysan!S82</f>
        <v>1.5</v>
      </c>
      <c r="E18" s="69" t="str">
        <f>Thuysan!T82</f>
        <v>Nhóm Sulfonamides</v>
      </c>
      <c r="F18" s="34"/>
    </row>
    <row r="19" spans="1:6" ht="15.75" x14ac:dyDescent="0.25">
      <c r="A19" s="70">
        <f>_xlfn.AGGREGATE(3,3,$C$7:C19)</f>
        <v>13</v>
      </c>
      <c r="B19" s="34" t="str">
        <f>Thuysan!O83</f>
        <v>Cá tra thương phẩm</v>
      </c>
      <c r="C19" s="34" t="str">
        <f>Thuysan!P83</f>
        <v>83/0623/13</v>
      </c>
      <c r="D19" s="69">
        <f>Thuysan!S83</f>
        <v>1.5</v>
      </c>
      <c r="E19" s="69" t="str">
        <f>Thuysan!T83</f>
        <v>Nhóm Sulfonamides</v>
      </c>
      <c r="F19" s="34"/>
    </row>
    <row r="20" spans="1:6" ht="15.75" x14ac:dyDescent="0.25">
      <c r="A20" s="70">
        <f>_xlfn.AGGREGATE(3,3,$C$7:C20)</f>
        <v>14</v>
      </c>
      <c r="B20" s="34" t="str">
        <f>Thuysan!O84</f>
        <v>Cá tra thương phẩm</v>
      </c>
      <c r="C20" s="34" t="str">
        <f>Thuysan!P84</f>
        <v>83/0623/14</v>
      </c>
      <c r="D20" s="69">
        <f>Thuysan!S84</f>
        <v>1.5</v>
      </c>
      <c r="E20" s="69" t="str">
        <f>Thuysan!T84</f>
        <v>Nhóm Quinolones</v>
      </c>
      <c r="F20" s="34"/>
    </row>
    <row r="21" spans="1:6" ht="15.75" x14ac:dyDescent="0.25">
      <c r="A21" s="70">
        <f>_xlfn.AGGREGATE(3,3,$C$7:C21)</f>
        <v>15</v>
      </c>
      <c r="B21" s="34" t="str">
        <f>Thuysan!O85</f>
        <v>Cá tra thương phẩm</v>
      </c>
      <c r="C21" s="34" t="str">
        <f>Thuysan!P85</f>
        <v>83/0623/15</v>
      </c>
      <c r="D21" s="69">
        <f>Thuysan!S85</f>
        <v>1.5</v>
      </c>
      <c r="E21" s="69" t="str">
        <f>Thuysan!T85</f>
        <v>Trimethoprim</v>
      </c>
      <c r="F21" s="34"/>
    </row>
    <row r="22" spans="1:6" ht="15.75" x14ac:dyDescent="0.25">
      <c r="A22" s="70">
        <f>_xlfn.AGGREGATE(3,3,$C$7:C22)</f>
        <v>16</v>
      </c>
      <c r="B22" s="34" t="str">
        <f>Thuysan!O86</f>
        <v>Cá tra thương phẩm</v>
      </c>
      <c r="C22" s="34" t="str">
        <f>Thuysan!P86</f>
        <v>83/0623/16</v>
      </c>
      <c r="D22" s="69">
        <f>Thuysan!S86</f>
        <v>1.5</v>
      </c>
      <c r="E22" s="69" t="str">
        <f>Thuysan!T86</f>
        <v>Ormetoprim</v>
      </c>
      <c r="F22" s="70"/>
    </row>
    <row r="23" spans="1:6" ht="15.75" x14ac:dyDescent="0.25">
      <c r="A23" s="70">
        <f>_xlfn.AGGREGATE(3,3,$C$7:C23)</f>
        <v>17</v>
      </c>
      <c r="B23" s="34" t="str">
        <f>Thuysan!O87</f>
        <v>Cá tra thương phẩm</v>
      </c>
      <c r="C23" s="34" t="str">
        <f>Thuysan!P87</f>
        <v>83/0623/17</v>
      </c>
      <c r="D23" s="69">
        <f>Thuysan!S87</f>
        <v>1.5</v>
      </c>
      <c r="E23" s="69" t="str">
        <f>Thuysan!T87</f>
        <v>Nhóm Tetracyclines</v>
      </c>
      <c r="F23" s="70"/>
    </row>
    <row r="24" spans="1:6" ht="15.75" x14ac:dyDescent="0.25">
      <c r="A24" s="70">
        <f>_xlfn.AGGREGATE(3,3,$C$7:C24)</f>
        <v>18</v>
      </c>
      <c r="B24" s="34" t="str">
        <f>Thuysan!O88</f>
        <v>Cá tra thương phẩm</v>
      </c>
      <c r="C24" s="34" t="str">
        <f>Thuysan!P88</f>
        <v>83/0623/18</v>
      </c>
      <c r="D24" s="69">
        <f>Thuysan!S88</f>
        <v>1.5</v>
      </c>
      <c r="E24" s="69" t="str">
        <f>Thuysan!T88</f>
        <v>Nhóm Sulfonamides</v>
      </c>
      <c r="F24" s="70"/>
    </row>
    <row r="25" spans="1:6" ht="15.75" x14ac:dyDescent="0.25">
      <c r="A25" s="70">
        <f>_xlfn.AGGREGATE(3,3,$C$7:C25)</f>
        <v>19</v>
      </c>
      <c r="B25" s="34" t="str">
        <f>Thuysan!O89</f>
        <v>Cá tra thương phẩm</v>
      </c>
      <c r="C25" s="34" t="str">
        <f>Thuysan!P89</f>
        <v>83/0623/19</v>
      </c>
      <c r="D25" s="69">
        <f>Thuysan!S89</f>
        <v>1.5</v>
      </c>
      <c r="E25" s="69" t="str">
        <f>Thuysan!T89</f>
        <v>Ormetoprim</v>
      </c>
      <c r="F25" s="70"/>
    </row>
    <row r="26" spans="1:6" ht="15.75" x14ac:dyDescent="0.25">
      <c r="A26" s="70">
        <f>_xlfn.AGGREGATE(3,3,$C$7:C26)</f>
        <v>20</v>
      </c>
      <c r="B26" s="34" t="str">
        <f>Thuysan!O90</f>
        <v>Cá tra thương phẩm</v>
      </c>
      <c r="C26" s="34" t="str">
        <f>Thuysan!P90</f>
        <v>83/0623/20</v>
      </c>
      <c r="D26" s="73">
        <f>Thuysan!S90</f>
        <v>1.5</v>
      </c>
      <c r="E26" s="73" t="str">
        <f>Thuysan!T90</f>
        <v>Fosfomycin</v>
      </c>
      <c r="F26" s="70"/>
    </row>
    <row r="27" spans="1:6" ht="6.75" customHeight="1" x14ac:dyDescent="0.25">
      <c r="E27" s="39"/>
      <c r="F27" s="71"/>
    </row>
    <row r="28" spans="1:6" ht="18.75" x14ac:dyDescent="0.25">
      <c r="A28" s="130" t="s">
        <v>518</v>
      </c>
      <c r="B28" s="130"/>
      <c r="C28" s="130"/>
      <c r="D28" s="149" t="s">
        <v>519</v>
      </c>
      <c r="E28" s="149"/>
      <c r="F28" s="149"/>
    </row>
    <row r="29" spans="1:6" ht="18.75" x14ac:dyDescent="0.25">
      <c r="A29" s="131" t="s">
        <v>400</v>
      </c>
      <c r="B29" s="131"/>
      <c r="C29" s="131"/>
      <c r="D29" s="131" t="s">
        <v>399</v>
      </c>
      <c r="E29" s="131"/>
      <c r="F29" s="131"/>
    </row>
    <row r="30" spans="1:6" ht="18.75" x14ac:dyDescent="0.25">
      <c r="A30" s="138" t="s">
        <v>398</v>
      </c>
      <c r="B30" s="138"/>
      <c r="C30" s="138"/>
      <c r="D30" s="138" t="s">
        <v>398</v>
      </c>
      <c r="E30" s="138"/>
      <c r="F30" s="138"/>
    </row>
    <row r="31" spans="1:6" ht="18.75" x14ac:dyDescent="0.25">
      <c r="E31" s="39"/>
      <c r="F31" s="71"/>
    </row>
    <row r="32" spans="1:6" ht="18.75" x14ac:dyDescent="0.25">
      <c r="E32" s="39"/>
      <c r="F32" s="74"/>
    </row>
    <row r="33" spans="1:6" ht="18.75" customHeight="1" x14ac:dyDescent="0.25">
      <c r="E33" s="39"/>
      <c r="F33" s="71"/>
    </row>
    <row r="34" spans="1:6" ht="18.75" x14ac:dyDescent="0.25">
      <c r="A34" s="131" t="s">
        <v>364</v>
      </c>
      <c r="B34" s="131"/>
      <c r="C34" s="131"/>
      <c r="D34" s="131"/>
      <c r="E34" s="131"/>
      <c r="F34" s="131"/>
    </row>
    <row r="35" spans="1:6" s="38" customFormat="1" ht="26.25" customHeight="1" x14ac:dyDescent="0.25">
      <c r="B35" s="33"/>
      <c r="C35" s="33"/>
      <c r="D35" s="33"/>
      <c r="E35" s="33"/>
    </row>
    <row r="36" spans="1:6" s="38" customFormat="1" ht="21.75" customHeight="1" x14ac:dyDescent="0.25">
      <c r="B36" s="33"/>
      <c r="C36" s="33"/>
      <c r="D36" s="33"/>
      <c r="E36" s="33"/>
    </row>
  </sheetData>
  <mergeCells count="15">
    <mergeCell ref="A34:C34"/>
    <mergeCell ref="D34:F34"/>
    <mergeCell ref="A4:F4"/>
    <mergeCell ref="A28:C28"/>
    <mergeCell ref="D28:F28"/>
    <mergeCell ref="A29:C29"/>
    <mergeCell ref="D29:F29"/>
    <mergeCell ref="A30:C30"/>
    <mergeCell ref="D30:F30"/>
    <mergeCell ref="A1:C1"/>
    <mergeCell ref="D1:F1"/>
    <mergeCell ref="A2:C2"/>
    <mergeCell ref="D2:F2"/>
    <mergeCell ref="A3:C3"/>
    <mergeCell ref="D3:F3"/>
  </mergeCells>
  <pageMargins left="0.41" right="0.19" top="0.43" bottom="0.3" header="0.3" footer="0.18"/>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zoomScaleNormal="100" workbookViewId="0">
      <selection activeCell="E24" sqref="E24"/>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498</v>
      </c>
      <c r="B3" s="146"/>
      <c r="C3" s="146"/>
      <c r="D3" s="147" t="s">
        <v>499</v>
      </c>
      <c r="E3" s="147"/>
      <c r="F3" s="147"/>
    </row>
    <row r="4" spans="1:6" ht="21" customHeight="1" x14ac:dyDescent="0.25">
      <c r="A4" s="132" t="s">
        <v>500</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29.25" customHeight="1" x14ac:dyDescent="0.25">
      <c r="A7" s="66">
        <f>_xlfn.AGGREGATE(3,3,$C$7:C7)</f>
        <v>1</v>
      </c>
      <c r="B7" s="34" t="str">
        <f>Thuysan!O52</f>
        <v>Tôm chân trắng thương phẩm</v>
      </c>
      <c r="C7" s="34" t="str">
        <f>Thuysan!P52</f>
        <v>83/0424/10</v>
      </c>
      <c r="D7" s="65">
        <f>Thuysan!S52</f>
        <v>1</v>
      </c>
      <c r="E7" s="65" t="str">
        <f>Thuysan!T52</f>
        <v>Pb, Hg, Cd</v>
      </c>
      <c r="F7" s="66"/>
    </row>
    <row r="8" spans="1:6" ht="15.75" x14ac:dyDescent="0.25">
      <c r="A8" s="66">
        <f>_xlfn.AGGREGATE(3,3,$C$7:C8)</f>
        <v>2</v>
      </c>
      <c r="B8" s="34" t="str">
        <f>Thuysan!O53</f>
        <v>Cá tra thương phẩm</v>
      </c>
      <c r="C8" s="34" t="str">
        <f>Thuysan!P53</f>
        <v>83/0424/11</v>
      </c>
      <c r="D8" s="65">
        <f>Thuysan!S53</f>
        <v>1.5</v>
      </c>
      <c r="E8" s="65" t="str">
        <f>Thuysan!T53</f>
        <v>Pb, Hg, Cd</v>
      </c>
      <c r="F8" s="66"/>
    </row>
    <row r="9" spans="1:6" ht="47.25" x14ac:dyDescent="0.25">
      <c r="A9" s="66">
        <f>_xlfn.AGGREGATE(3,3,$C$7:C9)</f>
        <v>3</v>
      </c>
      <c r="B9" s="34" t="str">
        <f>Thuysan!O54</f>
        <v>Cá tra thương phẩm</v>
      </c>
      <c r="C9" s="34" t="str">
        <f>Thuysan!P54</f>
        <v>83/0424/12</v>
      </c>
      <c r="D9" s="65">
        <f>Thuysan!S54</f>
        <v>1.5</v>
      </c>
      <c r="E9" s="65" t="str">
        <f>Thuysan!T54</f>
        <v>Thuốc trừ sâu gốc Chlor hữu cơ; phospho hữu cơ; cúc tổng hợp…</v>
      </c>
      <c r="F9" s="66"/>
    </row>
    <row r="10" spans="1:6" ht="15.75" x14ac:dyDescent="0.25">
      <c r="A10" s="66">
        <f>_xlfn.AGGREGATE(3,3,$C$7:C10)</f>
        <v>4</v>
      </c>
      <c r="B10" s="34" t="str">
        <f>Thuysan!O55</f>
        <v>Cá tra thương phẩm</v>
      </c>
      <c r="C10" s="34" t="str">
        <f>Thuysan!P55</f>
        <v>83/0424/13</v>
      </c>
      <c r="D10" s="65">
        <f>Thuysan!S55</f>
        <v>1.5</v>
      </c>
      <c r="E10" s="65" t="str">
        <f>Thuysan!T55</f>
        <v>Trimethoprim</v>
      </c>
      <c r="F10" s="66"/>
    </row>
    <row r="11" spans="1:6" ht="15.75" x14ac:dyDescent="0.25">
      <c r="A11" s="66">
        <f>_xlfn.AGGREGATE(3,3,$C$7:C11)</f>
        <v>5</v>
      </c>
      <c r="B11" s="34" t="str">
        <f>Thuysan!O56</f>
        <v>Cá tra thương phẩm</v>
      </c>
      <c r="C11" s="34" t="str">
        <f>Thuysan!P56</f>
        <v>83/0424/14</v>
      </c>
      <c r="D11" s="65">
        <f>Thuysan!S56</f>
        <v>1.5</v>
      </c>
      <c r="E11" s="65" t="str">
        <f>Thuysan!T56</f>
        <v>Pb, Hg, Cd</v>
      </c>
      <c r="F11" s="66"/>
    </row>
    <row r="12" spans="1:6" ht="47.25" x14ac:dyDescent="0.25">
      <c r="A12" s="66">
        <f>_xlfn.AGGREGATE(3,3,$C$7:C12)</f>
        <v>6</v>
      </c>
      <c r="B12" s="34" t="str">
        <f>Thuysan!O57</f>
        <v>Cá tra thương phẩm</v>
      </c>
      <c r="C12" s="34" t="str">
        <f>Thuysan!P57</f>
        <v>83/0424/15</v>
      </c>
      <c r="D12" s="65">
        <f>Thuysan!S57</f>
        <v>1.5</v>
      </c>
      <c r="E12" s="65" t="str">
        <f>Thuysan!T57</f>
        <v>Thuốc trừ sâu gốc Chlor hữu cơ; phospho hữu cơ; cúc tổng hợp…</v>
      </c>
      <c r="F12" s="66"/>
    </row>
    <row r="13" spans="1:6" ht="15.75" x14ac:dyDescent="0.25">
      <c r="A13" s="66">
        <f>_xlfn.AGGREGATE(3,3,$C$7:C13)</f>
        <v>7</v>
      </c>
      <c r="B13" s="34" t="str">
        <f>Thuysan!O58</f>
        <v>Cá tra thương phẩm</v>
      </c>
      <c r="C13" s="34" t="str">
        <f>Thuysan!P58</f>
        <v>83/0424/16</v>
      </c>
      <c r="D13" s="65">
        <f>Thuysan!S58</f>
        <v>1.5</v>
      </c>
      <c r="E13" s="65" t="str">
        <f>Thuysan!T58</f>
        <v>Nhóm Tetracyclines</v>
      </c>
      <c r="F13" s="66"/>
    </row>
    <row r="14" spans="1:6" ht="15.75" x14ac:dyDescent="0.25">
      <c r="A14" s="66">
        <f>_xlfn.AGGREGATE(3,3,$C$7:C14)</f>
        <v>8</v>
      </c>
      <c r="B14" s="34" t="str">
        <f>Thuysan!O59</f>
        <v>Cá tra thương phẩm</v>
      </c>
      <c r="C14" s="34" t="str">
        <f>Thuysan!P59</f>
        <v>83/0424/17</v>
      </c>
      <c r="D14" s="65">
        <f>Thuysan!S59</f>
        <v>1.5</v>
      </c>
      <c r="E14" s="65" t="str">
        <f>Thuysan!T59</f>
        <v>Florfenicol</v>
      </c>
      <c r="F14" s="34"/>
    </row>
    <row r="15" spans="1:6" ht="15.75" x14ac:dyDescent="0.25">
      <c r="A15" s="66">
        <f>_xlfn.AGGREGATE(3,3,$C$7:C15)</f>
        <v>9</v>
      </c>
      <c r="B15" s="34" t="str">
        <f>Thuysan!O60</f>
        <v>Cá tra thương phẩm</v>
      </c>
      <c r="C15" s="34" t="str">
        <f>Thuysan!P60</f>
        <v>83/0424/18</v>
      </c>
      <c r="D15" s="65">
        <f>Thuysan!S60</f>
        <v>1.5</v>
      </c>
      <c r="E15" s="65" t="str">
        <f>Thuysan!T60</f>
        <v>Pb, Hg, Cd</v>
      </c>
      <c r="F15" s="34"/>
    </row>
    <row r="16" spans="1:6" ht="15.75" x14ac:dyDescent="0.25">
      <c r="A16" s="66">
        <f>_xlfn.AGGREGATE(3,3,$C$7:C16)</f>
        <v>10</v>
      </c>
      <c r="B16" s="34" t="str">
        <f>Thuysan!O61</f>
        <v>Cá tra thương phẩm</v>
      </c>
      <c r="C16" s="34" t="str">
        <f>Thuysan!P61</f>
        <v>83/0424/19</v>
      </c>
      <c r="D16" s="65">
        <f>Thuysan!S61</f>
        <v>1.5</v>
      </c>
      <c r="E16" s="65" t="str">
        <f>Thuysan!T61</f>
        <v>Nhóm Nitroimidazoles</v>
      </c>
      <c r="F16" s="34"/>
    </row>
    <row r="17" spans="1:6" ht="15.75" x14ac:dyDescent="0.25">
      <c r="A17" s="66">
        <f>_xlfn.AGGREGATE(3,3,$C$7:C17)</f>
        <v>11</v>
      </c>
      <c r="B17" s="34" t="str">
        <f>Thuysan!O62</f>
        <v>Cá tra thương phẩm</v>
      </c>
      <c r="C17" s="34" t="str">
        <f>Thuysan!P62</f>
        <v>83/0424/20</v>
      </c>
      <c r="D17" s="65">
        <f>Thuysan!S62</f>
        <v>1.5</v>
      </c>
      <c r="E17" s="65" t="str">
        <f>Thuysan!T62</f>
        <v>Ormetoprim</v>
      </c>
      <c r="F17" s="34"/>
    </row>
    <row r="18" spans="1:6" ht="15.75" x14ac:dyDescent="0.25">
      <c r="A18" s="66">
        <f>_xlfn.AGGREGATE(3,3,$C$7:C18)</f>
        <v>12</v>
      </c>
      <c r="B18" s="34" t="str">
        <f>Thuysan!O63</f>
        <v>Cá tra thương phẩm</v>
      </c>
      <c r="C18" s="34" t="str">
        <f>Thuysan!P63</f>
        <v>83/0424/21</v>
      </c>
      <c r="D18" s="65">
        <f>Thuysan!S63</f>
        <v>1.5</v>
      </c>
      <c r="E18" s="65" t="str">
        <f>Thuysan!T63</f>
        <v>Nhóm Tetracyclines</v>
      </c>
      <c r="F18" s="34"/>
    </row>
    <row r="19" spans="1:6" ht="15.75" x14ac:dyDescent="0.25">
      <c r="A19" s="66">
        <f>_xlfn.AGGREGATE(3,3,$C$7:C19)</f>
        <v>13</v>
      </c>
      <c r="B19" s="34" t="str">
        <f>Thuysan!O64</f>
        <v>Cá tra thương phẩm</v>
      </c>
      <c r="C19" s="34" t="str">
        <f>Thuysan!P64</f>
        <v>83/0424/22</v>
      </c>
      <c r="D19" s="65">
        <f>Thuysan!S64</f>
        <v>1.5</v>
      </c>
      <c r="E19" s="65" t="str">
        <f>Thuysan!T64</f>
        <v>Pb, Hg, Cd</v>
      </c>
      <c r="F19" s="34"/>
    </row>
    <row r="20" spans="1:6" ht="47.25" x14ac:dyDescent="0.25">
      <c r="A20" s="66">
        <f>_xlfn.AGGREGATE(3,3,$C$7:C20)</f>
        <v>14</v>
      </c>
      <c r="B20" s="34" t="str">
        <f>Thuysan!O65</f>
        <v>Cá tra thương phẩm</v>
      </c>
      <c r="C20" s="34" t="str">
        <f>Thuysan!P65</f>
        <v>83/0424/23</v>
      </c>
      <c r="D20" s="65">
        <f>Thuysan!S65</f>
        <v>1.5</v>
      </c>
      <c r="E20" s="65" t="str">
        <f>Thuysan!T65</f>
        <v>Thuốc trừ sâu gốc Chlor hữu cơ; phospho hữu cơ; cúc tổng hợp…</v>
      </c>
      <c r="F20" s="34"/>
    </row>
    <row r="21" spans="1:6" ht="15.75" x14ac:dyDescent="0.25">
      <c r="A21" s="66">
        <f>_xlfn.AGGREGATE(3,3,$C$7:C21)</f>
        <v>15</v>
      </c>
      <c r="B21" s="34" t="str">
        <f>Thuysan!O66</f>
        <v>Cá tra thương phẩm</v>
      </c>
      <c r="C21" s="34" t="str">
        <f>Thuysan!P66</f>
        <v>83/0523/15</v>
      </c>
      <c r="D21" s="65">
        <f>Thuysan!S66</f>
        <v>1.5</v>
      </c>
      <c r="E21" s="65" t="str">
        <f>Thuysan!T66</f>
        <v>Nhóm Sulfonamides</v>
      </c>
      <c r="F21" s="34"/>
    </row>
    <row r="22" spans="1:6" ht="15.75" x14ac:dyDescent="0.25">
      <c r="A22" s="66">
        <f>_xlfn.AGGREGATE(3,3,$C$7:C22)</f>
        <v>16</v>
      </c>
      <c r="B22" s="34" t="str">
        <f>Thuysan!O67</f>
        <v>Cá tra thương phẩm</v>
      </c>
      <c r="C22" s="34" t="str">
        <f>Thuysan!P67</f>
        <v>83/0523/16</v>
      </c>
      <c r="D22" s="65">
        <f>Thuysan!S67</f>
        <v>1.5</v>
      </c>
      <c r="E22" s="65" t="str">
        <f>Thuysan!T67</f>
        <v>Nhóm Sulfonamides</v>
      </c>
      <c r="F22" s="66"/>
    </row>
    <row r="23" spans="1:6" ht="15.75" x14ac:dyDescent="0.25">
      <c r="A23" s="66">
        <f>_xlfn.AGGREGATE(3,3,$C$7:C23)</f>
        <v>17</v>
      </c>
      <c r="B23" s="34" t="str">
        <f>Thuysan!O68</f>
        <v>Cá tra thương phẩm</v>
      </c>
      <c r="C23" s="34" t="str">
        <f>Thuysan!P68</f>
        <v>83/0523/17</v>
      </c>
      <c r="D23" s="65">
        <f>Thuysan!S68</f>
        <v>1.5</v>
      </c>
      <c r="E23" s="65" t="str">
        <f>Thuysan!T68</f>
        <v>Nhóm Quinolones</v>
      </c>
      <c r="F23" s="66"/>
    </row>
    <row r="24" spans="1:6" ht="15.75" x14ac:dyDescent="0.25">
      <c r="A24" s="66">
        <f>_xlfn.AGGREGATE(3,3,$C$7:C24)</f>
        <v>18</v>
      </c>
      <c r="B24" s="34" t="str">
        <f>Thuysan!O69</f>
        <v>Cá tra thương phẩm</v>
      </c>
      <c r="C24" s="34" t="str">
        <f>Thuysan!P69</f>
        <v>83/0523/18</v>
      </c>
      <c r="D24" s="65">
        <f>Thuysan!S69</f>
        <v>1.5</v>
      </c>
      <c r="E24" s="65" t="str">
        <f>Thuysan!T69</f>
        <v>Florfenicol</v>
      </c>
      <c r="F24" s="66"/>
    </row>
    <row r="25" spans="1:6" ht="15.75" x14ac:dyDescent="0.25">
      <c r="A25" s="66">
        <f>_xlfn.AGGREGATE(3,3,$C$7:C25)</f>
        <v>19</v>
      </c>
      <c r="B25" s="34" t="str">
        <f>Thuysan!O70</f>
        <v>Cá tra thương phẩm</v>
      </c>
      <c r="C25" s="34" t="str">
        <f>Thuysan!P70</f>
        <v>83/0523/19</v>
      </c>
      <c r="D25" s="66">
        <f>Thuysan!S70</f>
        <v>1.5</v>
      </c>
      <c r="E25" s="66" t="str">
        <f>Thuysan!T70</f>
        <v>Trimethoprim</v>
      </c>
      <c r="F25" s="66"/>
    </row>
    <row r="26" spans="1:6" ht="6.75" customHeight="1" x14ac:dyDescent="0.25">
      <c r="E26" s="39"/>
      <c r="F26" s="67"/>
    </row>
    <row r="27" spans="1:6" ht="18.75" x14ac:dyDescent="0.25">
      <c r="A27" s="130" t="s">
        <v>501</v>
      </c>
      <c r="B27" s="130"/>
      <c r="C27" s="130"/>
      <c r="D27" s="149" t="s">
        <v>502</v>
      </c>
      <c r="E27" s="149"/>
      <c r="F27" s="149"/>
    </row>
    <row r="28" spans="1:6" ht="18.75" x14ac:dyDescent="0.25">
      <c r="A28" s="131" t="s">
        <v>400</v>
      </c>
      <c r="B28" s="131"/>
      <c r="C28" s="131"/>
      <c r="D28" s="131" t="s">
        <v>399</v>
      </c>
      <c r="E28" s="131"/>
      <c r="F28" s="131"/>
    </row>
    <row r="29" spans="1:6" ht="18.75" x14ac:dyDescent="0.25">
      <c r="A29" s="138" t="s">
        <v>398</v>
      </c>
      <c r="B29" s="138"/>
      <c r="C29" s="138"/>
      <c r="D29" s="138" t="s">
        <v>398</v>
      </c>
      <c r="E29" s="138"/>
      <c r="F29" s="138"/>
    </row>
    <row r="30" spans="1:6" ht="18.75" x14ac:dyDescent="0.25">
      <c r="E30" s="39"/>
      <c r="F30" s="67"/>
    </row>
    <row r="31" spans="1:6" ht="18.75" customHeight="1" x14ac:dyDescent="0.25">
      <c r="E31" s="39"/>
      <c r="F31" s="67"/>
    </row>
    <row r="32" spans="1:6" ht="18.75" x14ac:dyDescent="0.25">
      <c r="A32" s="131" t="s">
        <v>364</v>
      </c>
      <c r="B32" s="131"/>
      <c r="C32" s="131"/>
      <c r="D32" s="131"/>
      <c r="E32" s="131"/>
      <c r="F32" s="131"/>
    </row>
    <row r="33" ht="26.25" customHeight="1" x14ac:dyDescent="0.25"/>
    <row r="34" ht="21.75" customHeight="1" x14ac:dyDescent="0.25"/>
  </sheetData>
  <mergeCells count="15">
    <mergeCell ref="A32:C32"/>
    <mergeCell ref="D32:F32"/>
    <mergeCell ref="A4:F4"/>
    <mergeCell ref="A27:C27"/>
    <mergeCell ref="D27:F27"/>
    <mergeCell ref="A28:C28"/>
    <mergeCell ref="D28:F28"/>
    <mergeCell ref="A29:C29"/>
    <mergeCell ref="D29:F29"/>
    <mergeCell ref="A1:C1"/>
    <mergeCell ref="D1:F1"/>
    <mergeCell ref="A2:C2"/>
    <mergeCell ref="D2:F2"/>
    <mergeCell ref="A3:C3"/>
    <mergeCell ref="D3:F3"/>
  </mergeCells>
  <pageMargins left="0.41" right="0.19" top="0.43" bottom="0.3" header="0.3" footer="0.18"/>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opLeftCell="A4" zoomScaleNormal="100" workbookViewId="0">
      <selection activeCell="E26" sqref="E26"/>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490</v>
      </c>
      <c r="B3" s="146"/>
      <c r="C3" s="146"/>
      <c r="D3" s="147" t="s">
        <v>673</v>
      </c>
      <c r="E3" s="147"/>
      <c r="F3" s="147"/>
    </row>
    <row r="4" spans="1:6" ht="21" customHeight="1" x14ac:dyDescent="0.25">
      <c r="A4" s="132" t="s">
        <v>674</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22.5" customHeight="1" x14ac:dyDescent="0.25">
      <c r="A7" s="62">
        <f>_xlfn.AGGREGATE(3,3,$C$7:C7)</f>
        <v>1</v>
      </c>
      <c r="B7" s="34" t="str">
        <f>Thuysan!O43</f>
        <v>Tôm sú thương phẩm</v>
      </c>
      <c r="C7" s="34" t="str">
        <f>Thuysan!P43</f>
        <v>83/0424/01</v>
      </c>
      <c r="D7" s="61">
        <f>Thuysan!S43</f>
        <v>1</v>
      </c>
      <c r="E7" s="118" t="str">
        <f>Thuysan!T43</f>
        <v>Nitrofurans</v>
      </c>
      <c r="F7" s="62"/>
    </row>
    <row r="8" spans="1:6" ht="18" customHeight="1" x14ac:dyDescent="0.25">
      <c r="A8" s="62">
        <f>_xlfn.AGGREGATE(3,3,$C$7:C8)</f>
        <v>2</v>
      </c>
      <c r="B8" s="34" t="str">
        <f>Thuysan!O44</f>
        <v>Tôm chân trắng nhỏ</v>
      </c>
      <c r="C8" s="34" t="str">
        <f>Thuysan!P44</f>
        <v>83/0424/02</v>
      </c>
      <c r="D8" s="118">
        <f>Thuysan!S44</f>
        <v>0.5</v>
      </c>
      <c r="E8" s="118" t="str">
        <f>Thuysan!T44</f>
        <v>Nitrofurans</v>
      </c>
      <c r="F8" s="62"/>
    </row>
    <row r="9" spans="1:6" ht="31.5" x14ac:dyDescent="0.25">
      <c r="A9" s="62">
        <f>_xlfn.AGGREGATE(3,3,$C$7:C9)</f>
        <v>3</v>
      </c>
      <c r="B9" s="34" t="str">
        <f>Thuysan!O45</f>
        <v>Cá chẽm thương phẩm</v>
      </c>
      <c r="C9" s="34" t="str">
        <f>Thuysan!P45</f>
        <v>83/0424/03</v>
      </c>
      <c r="D9" s="118">
        <f>Thuysan!S45</f>
        <v>0</v>
      </c>
      <c r="E9" s="118" t="str">
        <f>Thuysan!T45</f>
        <v xml:space="preserve"> Crystal Violet, Leuco Crystal Violet</v>
      </c>
      <c r="F9" s="62"/>
    </row>
    <row r="10" spans="1:6" ht="28.5" customHeight="1" x14ac:dyDescent="0.25">
      <c r="A10" s="62">
        <f>_xlfn.AGGREGATE(3,3,$C$7:C10)</f>
        <v>4</v>
      </c>
      <c r="B10" s="34" t="str">
        <f>Thuysan!O46</f>
        <v>Tôm sú thương phẩm</v>
      </c>
      <c r="C10" s="34" t="str">
        <f>Thuysan!P46</f>
        <v>83/0424/04</v>
      </c>
      <c r="D10" s="118">
        <f>Thuysan!S46</f>
        <v>1</v>
      </c>
      <c r="E10" s="118" t="str">
        <f>Thuysan!T46</f>
        <v>Malachite Green, Leuco Malachite Green</v>
      </c>
      <c r="F10" s="62"/>
    </row>
    <row r="11" spans="1:6" ht="18" customHeight="1" x14ac:dyDescent="0.25">
      <c r="A11" s="62">
        <f>_xlfn.AGGREGATE(3,3,$C$7:C11)</f>
        <v>5</v>
      </c>
      <c r="B11" s="34" t="str">
        <f>Thuysan!O47</f>
        <v>Tôm chân trắng thương phẩm</v>
      </c>
      <c r="C11" s="34" t="str">
        <f>Thuysan!P47</f>
        <v>83/0424/05</v>
      </c>
      <c r="D11" s="118">
        <f>Thuysan!S47</f>
        <v>1</v>
      </c>
      <c r="E11" s="118" t="str">
        <f>Thuysan!T47</f>
        <v>Ormetoprim</v>
      </c>
      <c r="F11" s="62"/>
    </row>
    <row r="12" spans="1:6" ht="31.5" x14ac:dyDescent="0.25">
      <c r="A12" s="62">
        <f>_xlfn.AGGREGATE(3,3,$C$7:C12)</f>
        <v>6</v>
      </c>
      <c r="B12" s="34" t="str">
        <f>Thuysan!O48</f>
        <v>Cá tra thương phẩm</v>
      </c>
      <c r="C12" s="34" t="str">
        <f>Thuysan!P48</f>
        <v>83/0424/06</v>
      </c>
      <c r="D12" s="118">
        <f>Thuysan!S48</f>
        <v>1.5</v>
      </c>
      <c r="E12" s="118" t="str">
        <f>Thuysan!T48</f>
        <v>Malachite Green, Leuco Malachite Green</v>
      </c>
      <c r="F12" s="62"/>
    </row>
    <row r="13" spans="1:6" ht="15.75" x14ac:dyDescent="0.25">
      <c r="A13" s="62">
        <f>_xlfn.AGGREGATE(3,3,$C$7:C13)</f>
        <v>7</v>
      </c>
      <c r="B13" s="34" t="str">
        <f>Thuysan!O49</f>
        <v>Cá tra thương phẩm</v>
      </c>
      <c r="C13" s="34" t="str">
        <f>Thuysan!P49</f>
        <v>83/0424/07</v>
      </c>
      <c r="D13" s="118">
        <f>Thuysan!S49</f>
        <v>1.5</v>
      </c>
      <c r="E13" s="118" t="str">
        <f>Thuysan!T49</f>
        <v>Pb, Hg, Cd</v>
      </c>
      <c r="F13" s="62"/>
    </row>
    <row r="14" spans="1:6" ht="47.25" x14ac:dyDescent="0.25">
      <c r="A14" s="62">
        <f>_xlfn.AGGREGATE(3,3,$C$7:C14)</f>
        <v>8</v>
      </c>
      <c r="B14" s="34" t="str">
        <f>Thuysan!O50</f>
        <v>Cá tra thương phẩm</v>
      </c>
      <c r="C14" s="34" t="str">
        <f>Thuysan!P50</f>
        <v>83/0424/08</v>
      </c>
      <c r="D14" s="118">
        <f>Thuysan!S50</f>
        <v>1.5</v>
      </c>
      <c r="E14" s="118" t="str">
        <f>Thuysan!T50</f>
        <v>Thuốc trừ sâu gốc Chlor hữu cơ; phospho hữu cơ; cúc tổng hợp…</v>
      </c>
      <c r="F14" s="34"/>
    </row>
    <row r="15" spans="1:6" ht="15.75" x14ac:dyDescent="0.25">
      <c r="A15" s="62">
        <f>_xlfn.AGGREGATE(3,3,$C$7:C15)</f>
        <v>9</v>
      </c>
      <c r="B15" s="34" t="str">
        <f>Thuysan!O51</f>
        <v>Tôm sú thương phẩm</v>
      </c>
      <c r="C15" s="34" t="str">
        <f>Thuysan!P51</f>
        <v>83/0424/09</v>
      </c>
      <c r="D15" s="118">
        <f>Thuysan!S51</f>
        <v>1</v>
      </c>
      <c r="E15" s="118" t="str">
        <f>Thuysan!T51</f>
        <v>Ivermectin</v>
      </c>
      <c r="F15" s="34"/>
    </row>
    <row r="16" spans="1:6" ht="15.75" x14ac:dyDescent="0.25">
      <c r="A16" s="62">
        <f>_xlfn.AGGREGATE(3,3,$C$7:C16)</f>
        <v>10</v>
      </c>
      <c r="B16" s="34" t="str">
        <f>Thuysan!O52</f>
        <v>Tôm chân trắng thương phẩm</v>
      </c>
      <c r="C16" s="34" t="str">
        <f>Thuysan!P52</f>
        <v>83/0424/10</v>
      </c>
      <c r="D16" s="118">
        <f>Thuysan!S52</f>
        <v>1</v>
      </c>
      <c r="E16" s="118" t="str">
        <f>Thuysan!T52</f>
        <v>Pb, Hg, Cd</v>
      </c>
      <c r="F16" s="34"/>
    </row>
    <row r="17" spans="1:6" ht="15.75" x14ac:dyDescent="0.25">
      <c r="A17" s="62">
        <f>_xlfn.AGGREGATE(3,3,$C$7:C17)</f>
        <v>11</v>
      </c>
      <c r="B17" s="34" t="str">
        <f>Thuysan!O53</f>
        <v>Cá tra thương phẩm</v>
      </c>
      <c r="C17" s="34" t="str">
        <f>Thuysan!P53</f>
        <v>83/0424/11</v>
      </c>
      <c r="D17" s="118">
        <f>Thuysan!S53</f>
        <v>1.5</v>
      </c>
      <c r="E17" s="118" t="str">
        <f>Thuysan!T53</f>
        <v>Pb, Hg, Cd</v>
      </c>
      <c r="F17" s="34"/>
    </row>
    <row r="18" spans="1:6" ht="47.25" x14ac:dyDescent="0.25">
      <c r="A18" s="62">
        <f>_xlfn.AGGREGATE(3,3,$C$7:C18)</f>
        <v>12</v>
      </c>
      <c r="B18" s="34" t="str">
        <f>Thuysan!O54</f>
        <v>Cá tra thương phẩm</v>
      </c>
      <c r="C18" s="34" t="str">
        <f>Thuysan!P54</f>
        <v>83/0424/12</v>
      </c>
      <c r="D18" s="118">
        <f>Thuysan!S54</f>
        <v>1.5</v>
      </c>
      <c r="E18" s="118" t="str">
        <f>Thuysan!T54</f>
        <v>Thuốc trừ sâu gốc Chlor hữu cơ; phospho hữu cơ; cúc tổng hợp…</v>
      </c>
      <c r="F18" s="34"/>
    </row>
    <row r="19" spans="1:6" ht="15.75" x14ac:dyDescent="0.25">
      <c r="A19" s="62">
        <f>_xlfn.AGGREGATE(3,3,$C$7:C19)</f>
        <v>13</v>
      </c>
      <c r="B19" s="34" t="str">
        <f>Thuysan!O55</f>
        <v>Cá tra thương phẩm</v>
      </c>
      <c r="C19" s="34" t="str">
        <f>Thuysan!P55</f>
        <v>83/0424/13</v>
      </c>
      <c r="D19" s="118">
        <f>Thuysan!S55</f>
        <v>1.5</v>
      </c>
      <c r="E19" s="118" t="str">
        <f>Thuysan!T55</f>
        <v>Trimethoprim</v>
      </c>
      <c r="F19" s="34"/>
    </row>
    <row r="20" spans="1:6" ht="15.75" x14ac:dyDescent="0.25">
      <c r="A20" s="62">
        <f>_xlfn.AGGREGATE(3,3,$C$7:C20)</f>
        <v>14</v>
      </c>
      <c r="B20" s="34" t="str">
        <f>Thuysan!O56</f>
        <v>Cá tra thương phẩm</v>
      </c>
      <c r="C20" s="34" t="str">
        <f>Thuysan!P56</f>
        <v>83/0424/14</v>
      </c>
      <c r="D20" s="118">
        <f>Thuysan!S56</f>
        <v>1.5</v>
      </c>
      <c r="E20" s="118" t="str">
        <f>Thuysan!T56</f>
        <v>Pb, Hg, Cd</v>
      </c>
      <c r="F20" s="34"/>
    </row>
    <row r="21" spans="1:6" ht="47.25" x14ac:dyDescent="0.25">
      <c r="A21" s="62">
        <f>_xlfn.AGGREGATE(3,3,$C$7:C21)</f>
        <v>15</v>
      </c>
      <c r="B21" s="34" t="str">
        <f>Thuysan!O57</f>
        <v>Cá tra thương phẩm</v>
      </c>
      <c r="C21" s="34" t="str">
        <f>Thuysan!P57</f>
        <v>83/0424/15</v>
      </c>
      <c r="D21" s="118">
        <f>Thuysan!S57</f>
        <v>1.5</v>
      </c>
      <c r="E21" s="118" t="str">
        <f>Thuysan!T57</f>
        <v>Thuốc trừ sâu gốc Chlor hữu cơ; phospho hữu cơ; cúc tổng hợp…</v>
      </c>
      <c r="F21" s="34"/>
    </row>
    <row r="22" spans="1:6" ht="15.75" x14ac:dyDescent="0.25">
      <c r="A22" s="62">
        <f>_xlfn.AGGREGATE(3,3,$C$7:C22)</f>
        <v>16</v>
      </c>
      <c r="B22" s="34" t="str">
        <f>Thuysan!O58</f>
        <v>Cá tra thương phẩm</v>
      </c>
      <c r="C22" s="34" t="str">
        <f>Thuysan!P58</f>
        <v>83/0424/16</v>
      </c>
      <c r="D22" s="118">
        <f>Thuysan!S58</f>
        <v>1.5</v>
      </c>
      <c r="E22" s="118" t="str">
        <f>Thuysan!T58</f>
        <v>Nhóm Tetracyclines</v>
      </c>
      <c r="F22" s="124" t="s">
        <v>353</v>
      </c>
    </row>
    <row r="23" spans="1:6" ht="15.75" x14ac:dyDescent="0.25">
      <c r="A23" s="62">
        <f>_xlfn.AGGREGATE(3,3,$C$7:C23)</f>
        <v>17</v>
      </c>
      <c r="B23" s="34" t="str">
        <f>Thuysan!O59</f>
        <v>Cá tra thương phẩm</v>
      </c>
      <c r="C23" s="34" t="str">
        <f>Thuysan!P59</f>
        <v>83/0424/17</v>
      </c>
      <c r="D23" s="118">
        <f>Thuysan!S59</f>
        <v>1.5</v>
      </c>
      <c r="E23" s="118" t="str">
        <f>Thuysan!T59</f>
        <v>Florfenicol</v>
      </c>
      <c r="F23" s="125"/>
    </row>
    <row r="24" spans="1:6" ht="15.75" x14ac:dyDescent="0.25">
      <c r="A24" s="62">
        <f>_xlfn.AGGREGATE(3,3,$C$7:C24)</f>
        <v>18</v>
      </c>
      <c r="B24" s="34" t="str">
        <f>Thuysan!O60</f>
        <v>Cá tra thương phẩm</v>
      </c>
      <c r="C24" s="34" t="str">
        <f>Thuysan!P60</f>
        <v>83/0424/18</v>
      </c>
      <c r="D24" s="118">
        <f>Thuysan!S60</f>
        <v>1.5</v>
      </c>
      <c r="E24" s="118" t="str">
        <f>Thuysan!T60</f>
        <v>Pb, Hg, Cd</v>
      </c>
      <c r="F24" s="126"/>
    </row>
    <row r="25" spans="1:6" ht="15.75" x14ac:dyDescent="0.25">
      <c r="A25" s="62">
        <f>_xlfn.AGGREGATE(3,3,$C$7:C25)</f>
        <v>19</v>
      </c>
      <c r="B25" s="34" t="str">
        <f>Thuysan!O61</f>
        <v>Cá tra thương phẩm</v>
      </c>
      <c r="C25" s="34" t="str">
        <f>Thuysan!P61</f>
        <v>83/0424/19</v>
      </c>
      <c r="D25" s="118">
        <f>Thuysan!S61</f>
        <v>1.5</v>
      </c>
      <c r="E25" s="118" t="str">
        <f>Thuysan!T61</f>
        <v>Nhóm Nitroimidazoles</v>
      </c>
      <c r="F25" s="62"/>
    </row>
    <row r="26" spans="1:6" ht="15.75" x14ac:dyDescent="0.25">
      <c r="A26" s="62">
        <f>_xlfn.AGGREGATE(3,3,$C$7:C26)</f>
        <v>20</v>
      </c>
      <c r="B26" s="34" t="str">
        <f>Thuysan!O62</f>
        <v>Cá tra thương phẩm</v>
      </c>
      <c r="C26" s="34" t="str">
        <f>Thuysan!P62</f>
        <v>83/0424/20</v>
      </c>
      <c r="D26" s="118">
        <f>Thuysan!S62</f>
        <v>1.5</v>
      </c>
      <c r="E26" s="118" t="str">
        <f>Thuysan!T62</f>
        <v>Ormetoprim</v>
      </c>
      <c r="F26" s="62"/>
    </row>
    <row r="27" spans="1:6" ht="15.75" x14ac:dyDescent="0.25">
      <c r="A27" s="119">
        <f>_xlfn.AGGREGATE(3,3,$C$7:C27)</f>
        <v>21</v>
      </c>
      <c r="B27" s="34" t="str">
        <f>Thuysan!O63</f>
        <v>Cá tra thương phẩm</v>
      </c>
      <c r="C27" s="34" t="str">
        <f>Thuysan!P63</f>
        <v>83/0424/21</v>
      </c>
      <c r="D27" s="118">
        <f>Thuysan!S63</f>
        <v>1.5</v>
      </c>
      <c r="E27" s="118" t="str">
        <f>Thuysan!T63</f>
        <v>Nhóm Tetracyclines</v>
      </c>
      <c r="F27" s="119"/>
    </row>
    <row r="28" spans="1:6" ht="15.75" x14ac:dyDescent="0.25">
      <c r="A28" s="119">
        <f>_xlfn.AGGREGATE(3,3,$C$7:C28)</f>
        <v>22</v>
      </c>
      <c r="B28" s="34" t="str">
        <f>Thuysan!O64</f>
        <v>Cá tra thương phẩm</v>
      </c>
      <c r="C28" s="34" t="str">
        <f>Thuysan!P64</f>
        <v>83/0424/22</v>
      </c>
      <c r="D28" s="118">
        <f>Thuysan!S64</f>
        <v>1.5</v>
      </c>
      <c r="E28" s="118" t="str">
        <f>Thuysan!T64</f>
        <v>Pb, Hg, Cd</v>
      </c>
      <c r="F28" s="119"/>
    </row>
    <row r="29" spans="1:6" ht="47.25" x14ac:dyDescent="0.25">
      <c r="A29" s="119">
        <f>_xlfn.AGGREGATE(3,3,$C$7:C29)</f>
        <v>23</v>
      </c>
      <c r="B29" s="34" t="str">
        <f>Thuysan!O65</f>
        <v>Cá tra thương phẩm</v>
      </c>
      <c r="C29" s="34" t="str">
        <f>Thuysan!P65</f>
        <v>83/0424/23</v>
      </c>
      <c r="D29" s="120">
        <f>Thuysan!S65</f>
        <v>1.5</v>
      </c>
      <c r="E29" s="120" t="str">
        <f>Thuysan!T65</f>
        <v>Thuốc trừ sâu gốc Chlor hữu cơ; phospho hữu cơ; cúc tổng hợp…</v>
      </c>
      <c r="F29" s="62"/>
    </row>
    <row r="30" spans="1:6" ht="7.5" customHeight="1" x14ac:dyDescent="0.25">
      <c r="E30" s="39"/>
      <c r="F30" s="63"/>
    </row>
    <row r="31" spans="1:6" ht="18.75" x14ac:dyDescent="0.25">
      <c r="A31" s="130" t="s">
        <v>675</v>
      </c>
      <c r="B31" s="130"/>
      <c r="C31" s="130"/>
      <c r="D31" s="149" t="s">
        <v>676</v>
      </c>
      <c r="E31" s="149"/>
      <c r="F31" s="149"/>
    </row>
    <row r="32" spans="1:6" ht="18.75" x14ac:dyDescent="0.25">
      <c r="A32" s="131" t="s">
        <v>400</v>
      </c>
      <c r="B32" s="131"/>
      <c r="C32" s="131"/>
      <c r="D32" s="131" t="s">
        <v>399</v>
      </c>
      <c r="E32" s="131"/>
      <c r="F32" s="131"/>
    </row>
    <row r="33" spans="1:6" ht="18.75" customHeight="1" x14ac:dyDescent="0.25">
      <c r="A33" s="138" t="s">
        <v>398</v>
      </c>
      <c r="B33" s="138"/>
      <c r="C33" s="138"/>
      <c r="D33" s="138" t="s">
        <v>398</v>
      </c>
      <c r="E33" s="138"/>
      <c r="F33" s="138"/>
    </row>
    <row r="34" spans="1:6" ht="18.75" x14ac:dyDescent="0.25">
      <c r="E34" s="39"/>
      <c r="F34" s="63"/>
    </row>
    <row r="35" spans="1:6" ht="26.25" customHeight="1" x14ac:dyDescent="0.25">
      <c r="E35" s="39"/>
      <c r="F35" s="63"/>
    </row>
    <row r="36" spans="1:6" ht="21.75" customHeight="1" x14ac:dyDescent="0.25">
      <c r="A36" s="131" t="s">
        <v>364</v>
      </c>
      <c r="B36" s="131"/>
      <c r="C36" s="131"/>
      <c r="D36" s="131"/>
      <c r="E36" s="131"/>
      <c r="F36" s="131"/>
    </row>
  </sheetData>
  <mergeCells count="16">
    <mergeCell ref="A36:C36"/>
    <mergeCell ref="D36:F36"/>
    <mergeCell ref="A4:F4"/>
    <mergeCell ref="A31:C31"/>
    <mergeCell ref="D31:F31"/>
    <mergeCell ref="A32:C32"/>
    <mergeCell ref="D32:F32"/>
    <mergeCell ref="A33:C33"/>
    <mergeCell ref="D33:F33"/>
    <mergeCell ref="F22:F24"/>
    <mergeCell ref="A1:C1"/>
    <mergeCell ref="D1:F1"/>
    <mergeCell ref="A2:C2"/>
    <mergeCell ref="D2:F2"/>
    <mergeCell ref="A3:C3"/>
    <mergeCell ref="D3:F3"/>
  </mergeCells>
  <pageMargins left="0.41" right="0.19" top="0.43" bottom="0.3" header="0.3" footer="0.18"/>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opLeftCell="A7" zoomScaleNormal="100" workbookViewId="0">
      <selection activeCell="D30" sqref="D30:F30"/>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489</v>
      </c>
      <c r="B3" s="146"/>
      <c r="C3" s="146"/>
      <c r="D3" s="147" t="s">
        <v>660</v>
      </c>
      <c r="E3" s="147"/>
      <c r="F3" s="147"/>
    </row>
    <row r="4" spans="1:6" ht="21" customHeight="1" x14ac:dyDescent="0.25">
      <c r="A4" s="132" t="s">
        <v>661</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15.75" x14ac:dyDescent="0.25">
      <c r="A7" s="57">
        <f>_xlfn.AGGREGATE(3,3,$C$7:C7)</f>
        <v>1</v>
      </c>
      <c r="B7" s="34" t="str">
        <f>Thuysan!O21</f>
        <v>Tôm chân trắng nhỏ</v>
      </c>
      <c r="C7" s="34" t="str">
        <f>Thuysan!P21</f>
        <v>83/0324/01</v>
      </c>
      <c r="D7" s="56">
        <f>Thuysan!S21</f>
        <v>0.5</v>
      </c>
      <c r="E7" s="112" t="str">
        <f>Thuysan!T21</f>
        <v>Chloramphenicol</v>
      </c>
      <c r="F7" s="57"/>
    </row>
    <row r="8" spans="1:6" ht="15.75" x14ac:dyDescent="0.25">
      <c r="A8" s="57">
        <f>_xlfn.AGGREGATE(3,3,$C$7:C8)</f>
        <v>2</v>
      </c>
      <c r="B8" s="34" t="str">
        <f>Thuysan!O22</f>
        <v>Cá tra thương phẩm</v>
      </c>
      <c r="C8" s="34" t="str">
        <f>Thuysan!P22</f>
        <v>83/0324/02</v>
      </c>
      <c r="D8" s="112">
        <f>Thuysan!S22</f>
        <v>1.5</v>
      </c>
      <c r="E8" s="112" t="str">
        <f>Thuysan!T22</f>
        <v>Trifluralin</v>
      </c>
      <c r="F8" s="57"/>
    </row>
    <row r="9" spans="1:6" ht="15.75" x14ac:dyDescent="0.25">
      <c r="A9" s="57">
        <f>_xlfn.AGGREGATE(3,3,$C$7:C9)</f>
        <v>3</v>
      </c>
      <c r="B9" s="34" t="str">
        <f>Thuysan!O23</f>
        <v>Tôm sú thương phẩm</v>
      </c>
      <c r="C9" s="34" t="str">
        <f>Thuysan!P23</f>
        <v>83/0324/03</v>
      </c>
      <c r="D9" s="112">
        <f>Thuysan!S23</f>
        <v>1</v>
      </c>
      <c r="E9" s="112" t="str">
        <f>Thuysan!T23</f>
        <v>Nhóm Tetracyclines</v>
      </c>
      <c r="F9" s="57"/>
    </row>
    <row r="10" spans="1:6" ht="15.75" x14ac:dyDescent="0.25">
      <c r="A10" s="57">
        <f>_xlfn.AGGREGATE(3,3,$C$7:C10)</f>
        <v>4</v>
      </c>
      <c r="B10" s="34" t="str">
        <f>Thuysan!O24</f>
        <v>Tôm chân trắng thương phẩm</v>
      </c>
      <c r="C10" s="34" t="str">
        <f>Thuysan!P24</f>
        <v>83/0324/04</v>
      </c>
      <c r="D10" s="112">
        <f>Thuysan!S24</f>
        <v>1</v>
      </c>
      <c r="E10" s="112" t="str">
        <f>Thuysan!T24</f>
        <v>Chloramphenicol</v>
      </c>
      <c r="F10" s="57"/>
    </row>
    <row r="11" spans="1:6" ht="15.75" x14ac:dyDescent="0.25">
      <c r="A11" s="57">
        <f>_xlfn.AGGREGATE(3,3,$C$7:C11)</f>
        <v>5</v>
      </c>
      <c r="B11" s="34" t="str">
        <f>Thuysan!O25</f>
        <v>Cá tra thương phẩm</v>
      </c>
      <c r="C11" s="34" t="str">
        <f>Thuysan!P25</f>
        <v>83/0324/05</v>
      </c>
      <c r="D11" s="112">
        <f>Thuysan!S25</f>
        <v>1.5</v>
      </c>
      <c r="E11" s="112" t="str">
        <f>Thuysan!T25</f>
        <v>Fosfomycin</v>
      </c>
      <c r="F11" s="57"/>
    </row>
    <row r="12" spans="1:6" ht="15.75" x14ac:dyDescent="0.25">
      <c r="A12" s="57">
        <f>_xlfn.AGGREGATE(3,3,$C$7:C12)</f>
        <v>6</v>
      </c>
      <c r="B12" s="34" t="str">
        <f>Thuysan!O26</f>
        <v>Cá tra thương phẩm</v>
      </c>
      <c r="C12" s="34" t="str">
        <f>Thuysan!P26</f>
        <v>83/0324/06</v>
      </c>
      <c r="D12" s="112">
        <f>Thuysan!S26</f>
        <v>1.5</v>
      </c>
      <c r="E12" s="112" t="str">
        <f>Thuysan!T26</f>
        <v>Azadirachtin</v>
      </c>
      <c r="F12" s="57"/>
    </row>
    <row r="13" spans="1:6" ht="15.75" x14ac:dyDescent="0.25">
      <c r="A13" s="57">
        <f>_xlfn.AGGREGATE(3,3,$C$7:C13)</f>
        <v>7</v>
      </c>
      <c r="B13" s="34" t="str">
        <f>Thuysan!O27</f>
        <v>Cá chẽm nhỏ</v>
      </c>
      <c r="C13" s="34" t="str">
        <f>Thuysan!P27</f>
        <v>83/0324/07</v>
      </c>
      <c r="D13" s="112">
        <f>Thuysan!S27</f>
        <v>0</v>
      </c>
      <c r="E13" s="112" t="str">
        <f>Thuysan!T27</f>
        <v>Chloramphenicol</v>
      </c>
      <c r="F13" s="57"/>
    </row>
    <row r="14" spans="1:6" ht="15.75" x14ac:dyDescent="0.25">
      <c r="A14" s="57">
        <f>_xlfn.AGGREGATE(3,3,$C$7:C14)</f>
        <v>8</v>
      </c>
      <c r="B14" s="34" t="str">
        <f>Thuysan!O28</f>
        <v>Cá chẽm thương phẩm</v>
      </c>
      <c r="C14" s="34" t="str">
        <f>Thuysan!P28</f>
        <v>83/0324/08</v>
      </c>
      <c r="D14" s="112">
        <f>Thuysan!S28</f>
        <v>0</v>
      </c>
      <c r="E14" s="112" t="str">
        <f>Thuysan!T28</f>
        <v>Nitrofurans</v>
      </c>
      <c r="F14" s="34"/>
    </row>
    <row r="15" spans="1:6" ht="15.75" x14ac:dyDescent="0.25">
      <c r="A15" s="57">
        <f>_xlfn.AGGREGATE(3,3,$C$7:C15)</f>
        <v>9</v>
      </c>
      <c r="B15" s="34" t="str">
        <f>Thuysan!O29</f>
        <v>Tôm chân trắng thương phẩm</v>
      </c>
      <c r="C15" s="34" t="str">
        <f>Thuysan!P29</f>
        <v>83/0324/09</v>
      </c>
      <c r="D15" s="112">
        <f>Thuysan!S29</f>
        <v>1</v>
      </c>
      <c r="E15" s="112" t="str">
        <f>Thuysan!T29</f>
        <v>Nitrofurans</v>
      </c>
      <c r="F15" s="34"/>
    </row>
    <row r="16" spans="1:6" ht="15.75" x14ac:dyDescent="0.25">
      <c r="A16" s="57">
        <f>_xlfn.AGGREGATE(3,3,$C$7:C16)</f>
        <v>10</v>
      </c>
      <c r="B16" s="34" t="str">
        <f>Thuysan!O30</f>
        <v>Cá tra nhỏ</v>
      </c>
      <c r="C16" s="34" t="str">
        <f>Thuysan!P30</f>
        <v>83/0324/10</v>
      </c>
      <c r="D16" s="112">
        <f>Thuysan!S30</f>
        <v>1</v>
      </c>
      <c r="E16" s="112" t="str">
        <f>Thuysan!T30</f>
        <v>Chloramphenicol</v>
      </c>
      <c r="F16" s="34"/>
    </row>
    <row r="17" spans="1:6" ht="15.75" x14ac:dyDescent="0.25">
      <c r="A17" s="57">
        <f>_xlfn.AGGREGATE(3,3,$C$7:C17)</f>
        <v>11</v>
      </c>
      <c r="B17" s="34" t="str">
        <f>Thuysan!O31</f>
        <v>Cá tra nhỏ</v>
      </c>
      <c r="C17" s="34" t="str">
        <f>Thuysan!P31</f>
        <v>83/0324/11</v>
      </c>
      <c r="D17" s="112">
        <f>Thuysan!S31</f>
        <v>1</v>
      </c>
      <c r="E17" s="112" t="str">
        <f>Thuysan!T31</f>
        <v>Nitrofurans</v>
      </c>
      <c r="F17" s="34"/>
    </row>
    <row r="18" spans="1:6" ht="15.75" x14ac:dyDescent="0.25">
      <c r="A18" s="57">
        <f>_xlfn.AGGREGATE(3,3,$C$7:C18)</f>
        <v>12</v>
      </c>
      <c r="B18" s="34" t="str">
        <f>Thuysan!O32</f>
        <v>Cá tra thương phẩm</v>
      </c>
      <c r="C18" s="34" t="str">
        <f>Thuysan!P32</f>
        <v>83/0324/12</v>
      </c>
      <c r="D18" s="112">
        <f>Thuysan!S32</f>
        <v>1.5</v>
      </c>
      <c r="E18" s="112" t="str">
        <f>Thuysan!T32</f>
        <v>Chloramphenicol</v>
      </c>
      <c r="F18" s="34"/>
    </row>
    <row r="19" spans="1:6" ht="15.75" x14ac:dyDescent="0.25">
      <c r="A19" s="57">
        <f>_xlfn.AGGREGATE(3,3,$C$7:C19)</f>
        <v>13</v>
      </c>
      <c r="B19" s="34" t="str">
        <f>Thuysan!O33</f>
        <v>Cá tra thương phẩm</v>
      </c>
      <c r="C19" s="34" t="str">
        <f>Thuysan!P33</f>
        <v>83/0324/13</v>
      </c>
      <c r="D19" s="112">
        <f>Thuysan!S33</f>
        <v>1.5</v>
      </c>
      <c r="E19" s="112" t="str">
        <f>Thuysan!T33</f>
        <v>Nitrofurans</v>
      </c>
      <c r="F19" s="34"/>
    </row>
    <row r="20" spans="1:6" ht="15.75" x14ac:dyDescent="0.25">
      <c r="A20" s="57">
        <f>_xlfn.AGGREGATE(3,3,$C$7:C20)</f>
        <v>14</v>
      </c>
      <c r="B20" s="34" t="str">
        <f>Thuysan!O34</f>
        <v>Cá tra thương phẩm</v>
      </c>
      <c r="C20" s="34" t="str">
        <f>Thuysan!P34</f>
        <v>83/0324/14</v>
      </c>
      <c r="D20" s="112">
        <f>Thuysan!S34</f>
        <v>1.5</v>
      </c>
      <c r="E20" s="112" t="str">
        <f>Thuysan!T34</f>
        <v>Ormetoprim</v>
      </c>
      <c r="F20" s="34"/>
    </row>
    <row r="21" spans="1:6" ht="15.75" x14ac:dyDescent="0.25">
      <c r="A21" s="57">
        <f>_xlfn.AGGREGATE(3,3,$C$7:C21)</f>
        <v>15</v>
      </c>
      <c r="B21" s="34" t="str">
        <f>Thuysan!O35</f>
        <v>Cá tra thương phẩm</v>
      </c>
      <c r="C21" s="34" t="str">
        <f>Thuysan!P35</f>
        <v>83/0324/15</v>
      </c>
      <c r="D21" s="112">
        <f>Thuysan!S35</f>
        <v>1.5</v>
      </c>
      <c r="E21" s="112" t="str">
        <f>Thuysan!T35</f>
        <v>Nhóm Nitroimidazoles</v>
      </c>
      <c r="F21" s="34"/>
    </row>
    <row r="22" spans="1:6" ht="15.75" x14ac:dyDescent="0.25">
      <c r="A22" s="113">
        <f>_xlfn.AGGREGATE(3,3,$C$7:C22)</f>
        <v>16</v>
      </c>
      <c r="B22" s="34" t="str">
        <f>Thuysan!O36</f>
        <v>Cá tra thương phẩm</v>
      </c>
      <c r="C22" s="34" t="str">
        <f>Thuysan!P36</f>
        <v>83/0324/16</v>
      </c>
      <c r="D22" s="112">
        <f>Thuysan!S36</f>
        <v>1.5</v>
      </c>
      <c r="E22" s="112" t="str">
        <f>Thuysan!T36</f>
        <v>Pb, Hg, Cd</v>
      </c>
      <c r="F22" s="34"/>
    </row>
    <row r="23" spans="1:6" ht="47.25" x14ac:dyDescent="0.25">
      <c r="A23" s="113">
        <f>_xlfn.AGGREGATE(3,3,$C$7:C23)</f>
        <v>17</v>
      </c>
      <c r="B23" s="34" t="str">
        <f>Thuysan!O37</f>
        <v>Cá tra thương phẩm</v>
      </c>
      <c r="C23" s="34" t="str">
        <f>Thuysan!P37</f>
        <v>83/0324/17</v>
      </c>
      <c r="D23" s="112">
        <f>Thuysan!S37</f>
        <v>1.5</v>
      </c>
      <c r="E23" s="112" t="str">
        <f>Thuysan!T37</f>
        <v>Thuốc trừ sâu gốc Chlor hữu cơ; phospho hữu cơ; cúc tổng hợp…</v>
      </c>
      <c r="F23" s="34"/>
    </row>
    <row r="24" spans="1:6" ht="31.5" x14ac:dyDescent="0.25">
      <c r="A24" s="113">
        <f>_xlfn.AGGREGATE(3,3,$C$7:C24)</f>
        <v>18</v>
      </c>
      <c r="B24" s="34" t="str">
        <f>Thuysan!O38</f>
        <v>Cá tra thương phẩm</v>
      </c>
      <c r="C24" s="34" t="str">
        <f>Thuysan!P38</f>
        <v>83/0324/18</v>
      </c>
      <c r="D24" s="112">
        <f>Thuysan!S38</f>
        <v>1.5</v>
      </c>
      <c r="E24" s="112" t="str">
        <f>Thuysan!T38</f>
        <v>Malachite Green, Leuco Malachite Green</v>
      </c>
      <c r="F24" s="34"/>
    </row>
    <row r="25" spans="1:6" ht="15.75" x14ac:dyDescent="0.25">
      <c r="A25" s="113">
        <f>_xlfn.AGGREGATE(3,3,$C$7:C25)</f>
        <v>19</v>
      </c>
      <c r="B25" s="34" t="str">
        <f>Thuysan!O39</f>
        <v>Cá tra thương phẩm</v>
      </c>
      <c r="C25" s="34" t="str">
        <f>Thuysan!P39</f>
        <v>83/0324/19</v>
      </c>
      <c r="D25" s="112">
        <f>Thuysan!S39</f>
        <v>1.5</v>
      </c>
      <c r="E25" s="112" t="str">
        <f>Thuysan!T39</f>
        <v>Ivermectin</v>
      </c>
      <c r="F25" s="34"/>
    </row>
    <row r="26" spans="1:6" ht="31.5" customHeight="1" x14ac:dyDescent="0.25">
      <c r="A26" s="113">
        <f>_xlfn.AGGREGATE(3,3,$C$7:C26)</f>
        <v>20</v>
      </c>
      <c r="B26" s="34" t="str">
        <f>Thuysan!O40</f>
        <v>Cá tra thương phẩm</v>
      </c>
      <c r="C26" s="34" t="str">
        <f>Thuysan!P40</f>
        <v>83/0324/20</v>
      </c>
      <c r="D26" s="112">
        <f>Thuysan!S40</f>
        <v>1.5</v>
      </c>
      <c r="E26" s="112" t="str">
        <f>Thuysan!T40</f>
        <v>Avermectin B1a (Abarmectin B1a)</v>
      </c>
      <c r="F26" s="34"/>
    </row>
    <row r="27" spans="1:6" ht="15.75" x14ac:dyDescent="0.25">
      <c r="A27" s="113">
        <f>_xlfn.AGGREGATE(3,3,$C$7:C27)</f>
        <v>21</v>
      </c>
      <c r="B27" s="34" t="str">
        <f>Thuysan!O41</f>
        <v>Cá tra thương phẩm</v>
      </c>
      <c r="C27" s="34" t="str">
        <f>Thuysan!P41</f>
        <v>83/0324/21</v>
      </c>
      <c r="D27" s="112">
        <f>Thuysan!S41</f>
        <v>1.5</v>
      </c>
      <c r="E27" s="112" t="str">
        <f>Thuysan!T41</f>
        <v>Praziquantel</v>
      </c>
      <c r="F27" s="34"/>
    </row>
    <row r="28" spans="1:6" ht="15.75" x14ac:dyDescent="0.25">
      <c r="A28" s="113">
        <f>_xlfn.AGGREGATE(3,3,$C$7:C28)</f>
        <v>22</v>
      </c>
      <c r="B28" s="34" t="str">
        <f>Thuysan!O42</f>
        <v>Cá tra thương phẩm</v>
      </c>
      <c r="C28" s="34" t="str">
        <f>Thuysan!P42</f>
        <v>83/0324/22</v>
      </c>
      <c r="D28" s="113">
        <f>Thuysan!S42</f>
        <v>1.5</v>
      </c>
      <c r="E28" s="113" t="str">
        <f>Thuysan!T42</f>
        <v xml:space="preserve"> Trichlorfon (Dipterex)</v>
      </c>
      <c r="F28" s="57"/>
    </row>
    <row r="29" spans="1:6" ht="7.5" customHeight="1" x14ac:dyDescent="0.25">
      <c r="E29" s="39"/>
      <c r="F29" s="58"/>
    </row>
    <row r="30" spans="1:6" ht="18.75" x14ac:dyDescent="0.25">
      <c r="A30" s="130" t="s">
        <v>665</v>
      </c>
      <c r="B30" s="130"/>
      <c r="C30" s="130"/>
      <c r="D30" s="149" t="s">
        <v>666</v>
      </c>
      <c r="E30" s="149"/>
      <c r="F30" s="149"/>
    </row>
    <row r="31" spans="1:6" ht="18.75" x14ac:dyDescent="0.25">
      <c r="A31" s="131" t="s">
        <v>400</v>
      </c>
      <c r="B31" s="131"/>
      <c r="C31" s="131"/>
      <c r="D31" s="131" t="s">
        <v>399</v>
      </c>
      <c r="E31" s="131"/>
      <c r="F31" s="131"/>
    </row>
    <row r="32" spans="1:6" ht="18.75" customHeight="1" x14ac:dyDescent="0.25">
      <c r="A32" s="138" t="s">
        <v>398</v>
      </c>
      <c r="B32" s="138"/>
      <c r="C32" s="138"/>
      <c r="D32" s="138" t="s">
        <v>398</v>
      </c>
      <c r="E32" s="138"/>
      <c r="F32" s="138"/>
    </row>
    <row r="33" spans="1:6" ht="18.75" x14ac:dyDescent="0.25">
      <c r="E33" s="39"/>
      <c r="F33" s="58"/>
    </row>
    <row r="34" spans="1:6" ht="26.25" customHeight="1" x14ac:dyDescent="0.25">
      <c r="E34" s="39"/>
      <c r="F34" s="58"/>
    </row>
    <row r="35" spans="1:6" ht="21.75" customHeight="1" x14ac:dyDescent="0.25">
      <c r="A35" s="131" t="s">
        <v>364</v>
      </c>
      <c r="B35" s="131"/>
      <c r="C35" s="131"/>
      <c r="D35" s="131"/>
      <c r="E35" s="131"/>
      <c r="F35" s="131"/>
    </row>
  </sheetData>
  <mergeCells count="15">
    <mergeCell ref="A1:C1"/>
    <mergeCell ref="D1:F1"/>
    <mergeCell ref="A2:C2"/>
    <mergeCell ref="D2:F2"/>
    <mergeCell ref="A3:C3"/>
    <mergeCell ref="D3:F3"/>
    <mergeCell ref="A35:C35"/>
    <mergeCell ref="D35:F35"/>
    <mergeCell ref="A4:F4"/>
    <mergeCell ref="A30:C30"/>
    <mergeCell ref="D30:F30"/>
    <mergeCell ref="A31:C31"/>
    <mergeCell ref="D31:F31"/>
    <mergeCell ref="A32:C32"/>
    <mergeCell ref="D32:F32"/>
  </mergeCells>
  <pageMargins left="0.41" right="0.19" top="0.43" bottom="0.3" header="0.3" footer="0.18"/>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opLeftCell="A13" zoomScaleNormal="100" workbookViewId="0">
      <selection activeCell="C31" sqref="C31"/>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488</v>
      </c>
      <c r="B3" s="146"/>
      <c r="C3" s="146"/>
      <c r="D3" s="147" t="s">
        <v>645</v>
      </c>
      <c r="E3" s="147"/>
      <c r="F3" s="147"/>
    </row>
    <row r="4" spans="1:6" ht="21" customHeight="1" x14ac:dyDescent="0.25">
      <c r="A4" s="132" t="s">
        <v>646</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29.25" customHeight="1" x14ac:dyDescent="0.25">
      <c r="A7" s="53">
        <f>_xlfn.AGGREGATE(3,3,$C$7:C7)</f>
        <v>1</v>
      </c>
      <c r="B7" s="34" t="str">
        <f>Thuysan!O4</f>
        <v>Cá tra thương phẩm</v>
      </c>
      <c r="C7" s="34" t="str">
        <f>Thuysan!P4</f>
        <v>83/0224/01</v>
      </c>
      <c r="D7" s="52">
        <f>Thuysan!S4</f>
        <v>1.5</v>
      </c>
      <c r="E7" s="105" t="str">
        <f>Thuysan!T4</f>
        <v xml:space="preserve"> Crystal Violet, Leuco Crystal Violet</v>
      </c>
      <c r="F7" s="53"/>
    </row>
    <row r="8" spans="1:6" ht="15.75" x14ac:dyDescent="0.25">
      <c r="A8" s="106">
        <f>_xlfn.AGGREGATE(3,3,$C$7:C8)</f>
        <v>2</v>
      </c>
      <c r="B8" s="34" t="str">
        <f>Thuysan!O5</f>
        <v>Cá chẽm nhỏ</v>
      </c>
      <c r="C8" s="34" t="str">
        <f>Thuysan!P5</f>
        <v>83/0224/02</v>
      </c>
      <c r="D8" s="105">
        <f>Thuysan!S5</f>
        <v>1</v>
      </c>
      <c r="E8" s="105" t="str">
        <f>Thuysan!T5</f>
        <v>Methyltestosterone</v>
      </c>
      <c r="F8" s="53"/>
    </row>
    <row r="9" spans="1:6" ht="15.75" x14ac:dyDescent="0.25">
      <c r="A9" s="106">
        <f>_xlfn.AGGREGATE(3,3,$C$7:C9)</f>
        <v>3</v>
      </c>
      <c r="B9" s="34" t="str">
        <f>Thuysan!O6</f>
        <v>Cá chẽm thương phẩm</v>
      </c>
      <c r="C9" s="34" t="str">
        <f>Thuysan!P6</f>
        <v>83/0224/03</v>
      </c>
      <c r="D9" s="105">
        <f>Thuysan!S6</f>
        <v>1.5</v>
      </c>
      <c r="E9" s="105" t="str">
        <f>Thuysan!T6</f>
        <v>Pb, Hg, Cd</v>
      </c>
      <c r="F9" s="53"/>
    </row>
    <row r="10" spans="1:6" ht="15.75" x14ac:dyDescent="0.25">
      <c r="A10" s="106">
        <f>_xlfn.AGGREGATE(3,3,$C$7:C10)</f>
        <v>4</v>
      </c>
      <c r="B10" s="34" t="str">
        <f>Thuysan!O7</f>
        <v>Tôm chân trắng nhỏ</v>
      </c>
      <c r="C10" s="34" t="str">
        <f>Thuysan!P7</f>
        <v>83/0224/04</v>
      </c>
      <c r="D10" s="105">
        <f>Thuysan!S7</f>
        <v>0.5</v>
      </c>
      <c r="E10" s="105" t="str">
        <f>Thuysan!T7</f>
        <v>Nhóm Nitroimidazoles</v>
      </c>
      <c r="F10" s="53"/>
    </row>
    <row r="11" spans="1:6" ht="15.75" x14ac:dyDescent="0.25">
      <c r="A11" s="106">
        <f>_xlfn.AGGREGATE(3,3,$C$7:C11)</f>
        <v>5</v>
      </c>
      <c r="B11" s="34" t="str">
        <f>Thuysan!O8</f>
        <v>Cá tra nhỏ</v>
      </c>
      <c r="C11" s="34" t="str">
        <f>Thuysan!P8</f>
        <v>83/0224/05</v>
      </c>
      <c r="D11" s="105">
        <f>Thuysan!S8</f>
        <v>1</v>
      </c>
      <c r="E11" s="105" t="str">
        <f>Thuysan!T8</f>
        <v>Methyltestosterone</v>
      </c>
      <c r="F11" s="53"/>
    </row>
    <row r="12" spans="1:6" ht="15.75" x14ac:dyDescent="0.25">
      <c r="A12" s="106">
        <f>_xlfn.AGGREGATE(3,3,$C$7:C12)</f>
        <v>6</v>
      </c>
      <c r="B12" s="34" t="str">
        <f>Thuysan!O9</f>
        <v>Tôm chân trắng nhỏ</v>
      </c>
      <c r="C12" s="34" t="str">
        <f>Thuysan!P9</f>
        <v>83/0224/06</v>
      </c>
      <c r="D12" s="105">
        <f>Thuysan!S9</f>
        <v>0.5</v>
      </c>
      <c r="E12" s="105" t="str">
        <f>Thuysan!T9</f>
        <v>Chloramphenicol</v>
      </c>
      <c r="F12" s="53"/>
    </row>
    <row r="13" spans="1:6" ht="15.75" x14ac:dyDescent="0.25">
      <c r="A13" s="106">
        <f>_xlfn.AGGREGATE(3,3,$C$7:C13)</f>
        <v>7</v>
      </c>
      <c r="B13" s="34" t="str">
        <f>Thuysan!O10</f>
        <v>Cá tra nhỏ</v>
      </c>
      <c r="C13" s="34" t="str">
        <f>Thuysan!P10</f>
        <v>83/0224/07</v>
      </c>
      <c r="D13" s="105">
        <f>Thuysan!S10</f>
        <v>1</v>
      </c>
      <c r="E13" s="105" t="str">
        <f>Thuysan!T10</f>
        <v>Methyltestosterone</v>
      </c>
      <c r="F13" s="53"/>
    </row>
    <row r="14" spans="1:6" ht="15.75" x14ac:dyDescent="0.25">
      <c r="A14" s="106">
        <f>_xlfn.AGGREGATE(3,3,$C$7:C14)</f>
        <v>8</v>
      </c>
      <c r="B14" s="34" t="str">
        <f>Thuysan!O11</f>
        <v>Cá tra nhỏ</v>
      </c>
      <c r="C14" s="34" t="str">
        <f>Thuysan!P11</f>
        <v>83/0224/08</v>
      </c>
      <c r="D14" s="105">
        <f>Thuysan!S11</f>
        <v>1</v>
      </c>
      <c r="E14" s="105" t="str">
        <f>Thuysan!T11</f>
        <v>Nhóm Nitroimidazoles</v>
      </c>
      <c r="F14" s="34"/>
    </row>
    <row r="15" spans="1:6" ht="15.75" x14ac:dyDescent="0.25">
      <c r="A15" s="106">
        <f>_xlfn.AGGREGATE(3,3,$C$7:C15)</f>
        <v>9</v>
      </c>
      <c r="B15" s="34" t="str">
        <f>Thuysan!O12</f>
        <v>Cá tra nhỏ</v>
      </c>
      <c r="C15" s="34" t="str">
        <f>Thuysan!P12</f>
        <v>83/0224/09</v>
      </c>
      <c r="D15" s="105">
        <f>Thuysan!S12</f>
        <v>1</v>
      </c>
      <c r="E15" s="105" t="str">
        <f>Thuysan!T12</f>
        <v>Pb, Hg, Cd</v>
      </c>
      <c r="F15" s="34"/>
    </row>
    <row r="16" spans="1:6" ht="15.75" x14ac:dyDescent="0.25">
      <c r="A16" s="106">
        <f>_xlfn.AGGREGATE(3,3,$C$7:C16)</f>
        <v>10</v>
      </c>
      <c r="B16" s="34" t="str">
        <f>Thuysan!O13</f>
        <v>Cá tra nhỏ</v>
      </c>
      <c r="C16" s="34" t="str">
        <f>Thuysan!P13</f>
        <v>83/0224/10</v>
      </c>
      <c r="D16" s="105">
        <f>Thuysan!S13</f>
        <v>1</v>
      </c>
      <c r="E16" s="105" t="str">
        <f>Thuysan!T13</f>
        <v>Methyltestosterone</v>
      </c>
      <c r="F16" s="34"/>
    </row>
    <row r="17" spans="1:6" ht="15.75" x14ac:dyDescent="0.25">
      <c r="A17" s="106">
        <f>_xlfn.AGGREGATE(3,3,$C$7:C17)</f>
        <v>11</v>
      </c>
      <c r="B17" s="34" t="str">
        <f>Thuysan!O14</f>
        <v>Cá tra thương phẩm</v>
      </c>
      <c r="C17" s="34" t="str">
        <f>Thuysan!P14</f>
        <v>83/0224/11</v>
      </c>
      <c r="D17" s="105">
        <f>Thuysan!S14</f>
        <v>1.5</v>
      </c>
      <c r="E17" s="105" t="str">
        <f>Thuysan!T14</f>
        <v>Chloramphenicol</v>
      </c>
      <c r="F17" s="34"/>
    </row>
    <row r="18" spans="1:6" ht="15.75" x14ac:dyDescent="0.25">
      <c r="A18" s="106">
        <f>_xlfn.AGGREGATE(3,3,$C$7:C18)</f>
        <v>12</v>
      </c>
      <c r="B18" s="34" t="str">
        <f>Thuysan!O15</f>
        <v>Cá tra thương phẩm</v>
      </c>
      <c r="C18" s="34" t="str">
        <f>Thuysan!P15</f>
        <v>83/0224/12</v>
      </c>
      <c r="D18" s="105">
        <f>Thuysan!S15</f>
        <v>1.5</v>
      </c>
      <c r="E18" s="105" t="str">
        <f>Thuysan!T15</f>
        <v>Nitrofurans</v>
      </c>
      <c r="F18" s="34"/>
    </row>
    <row r="19" spans="1:6" ht="15.75" x14ac:dyDescent="0.25">
      <c r="A19" s="106">
        <f>_xlfn.AGGREGATE(3,3,$C$7:C19)</f>
        <v>13</v>
      </c>
      <c r="B19" s="34" t="str">
        <f>Thuysan!O16</f>
        <v>Cá tra thương phẩm</v>
      </c>
      <c r="C19" s="34" t="str">
        <f>Thuysan!P16</f>
        <v>83/0224/13</v>
      </c>
      <c r="D19" s="105">
        <f>Thuysan!S16</f>
        <v>1.5</v>
      </c>
      <c r="E19" s="105" t="str">
        <f>Thuysan!T16</f>
        <v>Nhóm Nitroimidazoles</v>
      </c>
      <c r="F19" s="34"/>
    </row>
    <row r="20" spans="1:6" ht="15.75" x14ac:dyDescent="0.25">
      <c r="A20" s="106">
        <f>_xlfn.AGGREGATE(3,3,$C$7:C20)</f>
        <v>14</v>
      </c>
      <c r="B20" s="34" t="str">
        <f>Thuysan!O17</f>
        <v>Cá tra nhỏ</v>
      </c>
      <c r="C20" s="34" t="str">
        <f>Thuysan!P17</f>
        <v>83/0224/14</v>
      </c>
      <c r="D20" s="105">
        <f>Thuysan!S17</f>
        <v>1</v>
      </c>
      <c r="E20" s="105" t="str">
        <f>Thuysan!T17</f>
        <v>Methyltestosterone</v>
      </c>
      <c r="F20" s="34"/>
    </row>
    <row r="21" spans="1:6" ht="15.75" x14ac:dyDescent="0.25">
      <c r="A21" s="106">
        <f>_xlfn.AGGREGATE(3,3,$C$7:C21)</f>
        <v>15</v>
      </c>
      <c r="B21" s="34" t="str">
        <f>Thuysan!O18</f>
        <v>Cá tra thương phẩm</v>
      </c>
      <c r="C21" s="34" t="str">
        <f>Thuysan!P18</f>
        <v>83/0224/15</v>
      </c>
      <c r="D21" s="105">
        <f>Thuysan!S18</f>
        <v>1.5</v>
      </c>
      <c r="E21" s="105" t="str">
        <f>Thuysan!T18</f>
        <v>Nhóm Nitroimidazoles</v>
      </c>
      <c r="F21" s="34"/>
    </row>
    <row r="22" spans="1:6" ht="15.75" x14ac:dyDescent="0.25">
      <c r="A22" s="106">
        <f>_xlfn.AGGREGATE(3,3,$C$7:C22)</f>
        <v>16</v>
      </c>
      <c r="B22" s="34" t="str">
        <f>Thuysan!O19</f>
        <v>Cá tra thương phẩm</v>
      </c>
      <c r="C22" s="34" t="str">
        <f>Thuysan!P19</f>
        <v>83/0224/16</v>
      </c>
      <c r="D22" s="105">
        <f>Thuysan!S19</f>
        <v>1.5</v>
      </c>
      <c r="E22" s="105" t="str">
        <f>Thuysan!T19</f>
        <v>Albendazole</v>
      </c>
      <c r="F22" s="34"/>
    </row>
    <row r="23" spans="1:6" ht="18.75" customHeight="1" x14ac:dyDescent="0.25">
      <c r="A23" s="106">
        <f>_xlfn.AGGREGATE(3,3,$C$7:C23)</f>
        <v>17</v>
      </c>
      <c r="B23" s="34" t="str">
        <f>Thuysan!O14</f>
        <v>Cá tra thương phẩm</v>
      </c>
      <c r="C23" s="34" t="str">
        <f>Thuysan!P20</f>
        <v>83/0224/17</v>
      </c>
      <c r="D23" s="106">
        <f>Thuysan!S20</f>
        <v>1.5</v>
      </c>
      <c r="E23" s="106" t="str">
        <f>Thuysan!T20</f>
        <v>Perfluoroalkyl</v>
      </c>
      <c r="F23" s="53"/>
    </row>
    <row r="24" spans="1:6" ht="7.5" customHeight="1" x14ac:dyDescent="0.25">
      <c r="E24" s="39"/>
      <c r="F24" s="54"/>
    </row>
    <row r="25" spans="1:6" ht="18.75" x14ac:dyDescent="0.25">
      <c r="A25" s="130" t="s">
        <v>647</v>
      </c>
      <c r="B25" s="130"/>
      <c r="C25" s="130"/>
      <c r="D25" s="149" t="s">
        <v>648</v>
      </c>
      <c r="E25" s="149"/>
      <c r="F25" s="149"/>
    </row>
    <row r="26" spans="1:6" ht="18.75" x14ac:dyDescent="0.25">
      <c r="A26" s="131" t="s">
        <v>400</v>
      </c>
      <c r="B26" s="131"/>
      <c r="C26" s="131"/>
      <c r="D26" s="131" t="s">
        <v>399</v>
      </c>
      <c r="E26" s="131"/>
      <c r="F26" s="131"/>
    </row>
    <row r="27" spans="1:6" ht="18.75" customHeight="1" x14ac:dyDescent="0.25">
      <c r="A27" s="138" t="s">
        <v>398</v>
      </c>
      <c r="B27" s="138"/>
      <c r="C27" s="138"/>
      <c r="D27" s="138" t="s">
        <v>398</v>
      </c>
      <c r="E27" s="138"/>
      <c r="F27" s="138"/>
    </row>
    <row r="28" spans="1:6" ht="18.75" x14ac:dyDescent="0.25">
      <c r="E28" s="39"/>
      <c r="F28" s="54"/>
    </row>
    <row r="29" spans="1:6" ht="26.25" customHeight="1" x14ac:dyDescent="0.25">
      <c r="E29" s="39"/>
      <c r="F29" s="54"/>
    </row>
    <row r="30" spans="1:6" ht="21.75" customHeight="1" x14ac:dyDescent="0.25">
      <c r="A30" s="33"/>
      <c r="D30" s="131"/>
      <c r="E30" s="131"/>
      <c r="F30" s="131"/>
    </row>
    <row r="31" spans="1:6" ht="18.75" x14ac:dyDescent="0.25">
      <c r="B31" s="109" t="s">
        <v>364</v>
      </c>
      <c r="C31" s="108"/>
      <c r="D31" s="108"/>
    </row>
  </sheetData>
  <mergeCells count="14">
    <mergeCell ref="A1:C1"/>
    <mergeCell ref="D1:F1"/>
    <mergeCell ref="A2:C2"/>
    <mergeCell ref="D2:F2"/>
    <mergeCell ref="A3:C3"/>
    <mergeCell ref="D3:F3"/>
    <mergeCell ref="A27:C27"/>
    <mergeCell ref="D27:F27"/>
    <mergeCell ref="D30:F30"/>
    <mergeCell ref="A4:F4"/>
    <mergeCell ref="A25:C25"/>
    <mergeCell ref="D25:F25"/>
    <mergeCell ref="A26:C26"/>
    <mergeCell ref="D26:F26"/>
  </mergeCells>
  <pageMargins left="0.41" right="0.19" top="0.43" bottom="0.3" header="0.3" footer="0.18"/>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zoomScaleNormal="100" workbookViewId="0">
      <selection activeCell="F15" sqref="F15"/>
    </sheetView>
  </sheetViews>
  <sheetFormatPr defaultColWidth="11.42578125" defaultRowHeight="15" x14ac:dyDescent="0.25"/>
  <cols>
    <col min="1" max="1" width="5.42578125" style="38" customWidth="1"/>
    <col min="2" max="2" width="27.85546875" style="33" customWidth="1"/>
    <col min="3" max="3" width="12" style="33" customWidth="1"/>
    <col min="4" max="4" width="11.28515625" style="33" customWidth="1"/>
    <col min="5" max="5" width="28.42578125" style="33" customWidth="1"/>
    <col min="6" max="6" width="11.7109375" style="38" customWidth="1"/>
    <col min="7" max="16384" width="11.42578125" style="33"/>
  </cols>
  <sheetData>
    <row r="1" spans="1:6" ht="15.75" x14ac:dyDescent="0.25">
      <c r="A1" s="143" t="s">
        <v>393</v>
      </c>
      <c r="B1" s="143"/>
      <c r="C1" s="143"/>
      <c r="D1" s="127" t="s">
        <v>396</v>
      </c>
      <c r="E1" s="127"/>
      <c r="F1" s="127"/>
    </row>
    <row r="2" spans="1:6" ht="31.5" customHeight="1" x14ac:dyDescent="0.25">
      <c r="A2" s="144" t="s">
        <v>395</v>
      </c>
      <c r="B2" s="144"/>
      <c r="C2" s="144"/>
      <c r="D2" s="145" t="s">
        <v>397</v>
      </c>
      <c r="E2" s="145"/>
      <c r="F2" s="145"/>
    </row>
    <row r="3" spans="1:6" ht="17.25" customHeight="1" x14ac:dyDescent="0.25">
      <c r="A3" s="146" t="s">
        <v>394</v>
      </c>
      <c r="B3" s="146"/>
      <c r="C3" s="146"/>
      <c r="D3" s="147" t="s">
        <v>539</v>
      </c>
      <c r="E3" s="147"/>
      <c r="F3" s="147"/>
    </row>
    <row r="4" spans="1:6" ht="21" customHeight="1" x14ac:dyDescent="0.25">
      <c r="A4" s="132" t="s">
        <v>540</v>
      </c>
      <c r="B4" s="132"/>
      <c r="C4" s="132"/>
      <c r="D4" s="132"/>
      <c r="E4" s="132"/>
      <c r="F4" s="132"/>
    </row>
    <row r="5" spans="1:6" ht="3.75" customHeight="1" x14ac:dyDescent="0.25"/>
    <row r="6" spans="1:6" ht="45" customHeight="1" x14ac:dyDescent="0.25">
      <c r="A6" s="31" t="s">
        <v>175</v>
      </c>
      <c r="B6" s="32" t="s">
        <v>205</v>
      </c>
      <c r="C6" s="32" t="s">
        <v>371</v>
      </c>
      <c r="D6" s="32" t="s">
        <v>392</v>
      </c>
      <c r="E6" s="31" t="s">
        <v>361</v>
      </c>
      <c r="F6" s="31" t="s">
        <v>176</v>
      </c>
    </row>
    <row r="7" spans="1:6" ht="29.25" customHeight="1" x14ac:dyDescent="0.25">
      <c r="A7" s="37">
        <f>_xlfn.AGGREGATE(3,3,$C$7:C7)</f>
        <v>1</v>
      </c>
      <c r="B7" s="34" t="str">
        <f>Thuysan!O110</f>
        <v>Tôm sú thương phẩm</v>
      </c>
      <c r="C7" s="34" t="str">
        <f>Thuysan!P110</f>
        <v>83/0823/01</v>
      </c>
      <c r="D7" s="36">
        <f>Thuysan!S110</f>
        <v>1</v>
      </c>
      <c r="E7" s="81" t="str">
        <f>Thuysan!T110</f>
        <v>Azadirachtin</v>
      </c>
      <c r="F7" s="37"/>
    </row>
    <row r="8" spans="1:6" ht="15.75" x14ac:dyDescent="0.25">
      <c r="A8" s="37">
        <f>_xlfn.AGGREGATE(3,3,$C$7:C8)</f>
        <v>2</v>
      </c>
      <c r="B8" s="34" t="str">
        <f>Thuysan!O111</f>
        <v>Tôm chân trắng thương phẩm</v>
      </c>
      <c r="C8" s="34" t="str">
        <f>Thuysan!P111</f>
        <v>83/0823/02</v>
      </c>
      <c r="D8" s="81">
        <f>Thuysan!S111</f>
        <v>1</v>
      </c>
      <c r="E8" s="81" t="str">
        <f>Thuysan!T111</f>
        <v>Azadirachtin</v>
      </c>
      <c r="F8" s="37"/>
    </row>
    <row r="9" spans="1:6" ht="15.75" x14ac:dyDescent="0.25">
      <c r="A9" s="37">
        <f>_xlfn.AGGREGATE(3,3,$C$7:C9)</f>
        <v>3</v>
      </c>
      <c r="B9" s="34" t="str">
        <f>Thuysan!O112</f>
        <v>Tôm sú thương phẩm</v>
      </c>
      <c r="C9" s="34" t="str">
        <f>Thuysan!P112</f>
        <v>83/0823/03</v>
      </c>
      <c r="D9" s="81">
        <f>Thuysan!S112</f>
        <v>1</v>
      </c>
      <c r="E9" s="81" t="str">
        <f>Thuysan!T112</f>
        <v>Nhóm Quinolones</v>
      </c>
      <c r="F9" s="37"/>
    </row>
    <row r="10" spans="1:6" ht="15.75" x14ac:dyDescent="0.25">
      <c r="A10" s="37">
        <f>_xlfn.AGGREGATE(3,3,$C$7:C10)</f>
        <v>4</v>
      </c>
      <c r="B10" s="34" t="str">
        <f>Thuysan!O113</f>
        <v>Tôm chân trắng thương phẩm</v>
      </c>
      <c r="C10" s="34" t="str">
        <f>Thuysan!P113</f>
        <v>83/0823/04</v>
      </c>
      <c r="D10" s="81">
        <f>Thuysan!S113</f>
        <v>1</v>
      </c>
      <c r="E10" s="81" t="str">
        <f>Thuysan!T113</f>
        <v>Nhóm Quinolones</v>
      </c>
      <c r="F10" s="37"/>
    </row>
    <row r="11" spans="1:6" ht="15.75" x14ac:dyDescent="0.25">
      <c r="A11" s="37">
        <f>_xlfn.AGGREGATE(3,3,$C$7:C11)</f>
        <v>5</v>
      </c>
      <c r="B11" s="34" t="str">
        <f>Thuysan!O114</f>
        <v>Cá tra nhỏ</v>
      </c>
      <c r="C11" s="34" t="str">
        <f>Thuysan!P114</f>
        <v>83/0823/05</v>
      </c>
      <c r="D11" s="81">
        <f>Thuysan!S114</f>
        <v>1</v>
      </c>
      <c r="E11" s="81" t="str">
        <f>Thuysan!T114</f>
        <v>-</v>
      </c>
      <c r="F11" s="37"/>
    </row>
    <row r="12" spans="1:6" ht="15.75" x14ac:dyDescent="0.25">
      <c r="A12" s="37">
        <f>_xlfn.AGGREGATE(3,3,$C$7:C12)</f>
        <v>6</v>
      </c>
      <c r="B12" s="34" t="str">
        <f>Thuysan!O115</f>
        <v>Cá tra nhỏ</v>
      </c>
      <c r="C12" s="34" t="str">
        <f>Thuysan!P115</f>
        <v>83/0823/06</v>
      </c>
      <c r="D12" s="81">
        <f>Thuysan!S115</f>
        <v>1</v>
      </c>
      <c r="E12" s="81" t="str">
        <f>Thuysan!T115</f>
        <v>Nitrofurans</v>
      </c>
      <c r="F12" s="37"/>
    </row>
    <row r="13" spans="1:6" ht="30.75" customHeight="1" x14ac:dyDescent="0.25">
      <c r="A13" s="37">
        <f>_xlfn.AGGREGATE(3,3,$C$7:C13)</f>
        <v>7</v>
      </c>
      <c r="B13" s="34" t="str">
        <f>Thuysan!O116</f>
        <v>Nước ương tôm giống</v>
      </c>
      <c r="C13" s="34" t="str">
        <f>Thuysan!P116</f>
        <v>83/0823/07</v>
      </c>
      <c r="D13" s="81">
        <f>Thuysan!S116</f>
        <v>1</v>
      </c>
      <c r="E13" s="81" t="str">
        <f>Thuysan!T116</f>
        <v>Chloramphenicol, Furazolidone</v>
      </c>
      <c r="F13" s="37"/>
    </row>
    <row r="14" spans="1:6" ht="15.75" x14ac:dyDescent="0.25">
      <c r="A14" s="37">
        <f>_xlfn.AGGREGATE(3,3,$C$7:C14)</f>
        <v>8</v>
      </c>
      <c r="B14" s="34" t="str">
        <f>Thuysan!O117</f>
        <v>Nước ương tôm giống</v>
      </c>
      <c r="C14" s="34" t="str">
        <f>Thuysan!P117</f>
        <v>83/0823/08</v>
      </c>
      <c r="D14" s="81">
        <f>Thuysan!S117</f>
        <v>1</v>
      </c>
      <c r="E14" s="81" t="str">
        <f>Thuysan!T117</f>
        <v>Chloramphenicol, Furazolidone</v>
      </c>
      <c r="F14" s="34"/>
    </row>
    <row r="15" spans="1:6" ht="31.5" x14ac:dyDescent="0.25">
      <c r="A15" s="37">
        <f>_xlfn.AGGREGATE(3,3,$C$7:C15)</f>
        <v>9</v>
      </c>
      <c r="B15" s="34" t="str">
        <f>Thuysan!O118</f>
        <v>Nước ương tôm giống</v>
      </c>
      <c r="C15" s="34" t="str">
        <f>Thuysan!P118</f>
        <v>83/0823/09</v>
      </c>
      <c r="D15" s="81">
        <f>Thuysan!S118</f>
        <v>1</v>
      </c>
      <c r="E15" s="81" t="str">
        <f>Thuysan!T118</f>
        <v>Chloramphenicol, Furazolidone</v>
      </c>
      <c r="F15" s="34" t="s">
        <v>353</v>
      </c>
    </row>
    <row r="16" spans="1:6" ht="15.75" x14ac:dyDescent="0.25">
      <c r="A16" s="37">
        <f>_xlfn.AGGREGATE(3,3,$C$7:C16)</f>
        <v>10</v>
      </c>
      <c r="B16" s="34" t="str">
        <f>Thuysan!O119</f>
        <v>Nước ương tôm giống</v>
      </c>
      <c r="C16" s="34" t="str">
        <f>Thuysan!P119</f>
        <v>83/0823/10</v>
      </c>
      <c r="D16" s="81">
        <f>Thuysan!S119</f>
        <v>1</v>
      </c>
      <c r="E16" s="81" t="str">
        <f>Thuysan!T119</f>
        <v>Chloramphenicol, Furazolidone</v>
      </c>
      <c r="F16" s="34"/>
    </row>
    <row r="17" spans="1:6" ht="18.75" customHeight="1" x14ac:dyDescent="0.25">
      <c r="A17" s="37">
        <f>_xlfn.AGGREGATE(3,3,$C$7:C17)</f>
        <v>11</v>
      </c>
      <c r="B17" s="34" t="str">
        <f>Thuysan!O120</f>
        <v>Tôm sú thương phẩm</v>
      </c>
      <c r="C17" s="34" t="str">
        <f>Thuysan!P120</f>
        <v>83/0823/11</v>
      </c>
      <c r="D17" s="81">
        <f>Thuysan!S120</f>
        <v>1</v>
      </c>
      <c r="E17" s="81" t="str">
        <f>Thuysan!T120</f>
        <v>Trimethoprim</v>
      </c>
      <c r="F17" s="37"/>
    </row>
    <row r="18" spans="1:6" ht="18.75" customHeight="1" x14ac:dyDescent="0.25">
      <c r="A18" s="37">
        <f>_xlfn.AGGREGATE(3,3,$C$7:C18)</f>
        <v>12</v>
      </c>
      <c r="B18" s="34" t="str">
        <f>Thuysan!O121</f>
        <v>Tôm chân trắng thương phẩm</v>
      </c>
      <c r="C18" s="34" t="str">
        <f>Thuysan!P121</f>
        <v>83/0823/12</v>
      </c>
      <c r="D18" s="81">
        <f>Thuysan!S121</f>
        <v>1</v>
      </c>
      <c r="E18" s="81" t="str">
        <f>Thuysan!T121</f>
        <v>Erythromycin</v>
      </c>
      <c r="F18" s="37"/>
    </row>
    <row r="19" spans="1:6" ht="18.75" customHeight="1" x14ac:dyDescent="0.25">
      <c r="A19" s="37">
        <f>_xlfn.AGGREGATE(3,3,$C$7:C19)</f>
        <v>13</v>
      </c>
      <c r="B19" s="34" t="str">
        <f>Thuysan!O122</f>
        <v>Tôm sú quảng canh</v>
      </c>
      <c r="C19" s="34" t="str">
        <f>Thuysan!P122</f>
        <v>83/0823/13</v>
      </c>
      <c r="D19" s="81">
        <f>Thuysan!S122</f>
        <v>1</v>
      </c>
      <c r="E19" s="81" t="str">
        <f>Thuysan!T122</f>
        <v>Nhóm Quinolones</v>
      </c>
      <c r="F19" s="37"/>
    </row>
    <row r="20" spans="1:6" ht="15.75" x14ac:dyDescent="0.25">
      <c r="A20" s="37">
        <f>_xlfn.AGGREGATE(3,3,$C$7:C20)</f>
        <v>14</v>
      </c>
      <c r="B20" s="34" t="str">
        <f>Thuysan!O123</f>
        <v>Cá tra thương phẩm</v>
      </c>
      <c r="C20" s="34" t="str">
        <f>Thuysan!P123</f>
        <v>83/0823/14</v>
      </c>
      <c r="D20" s="81">
        <f>Thuysan!S123</f>
        <v>1.5</v>
      </c>
      <c r="E20" s="81" t="str">
        <f>Thuysan!T123</f>
        <v>-</v>
      </c>
      <c r="F20" s="37"/>
    </row>
    <row r="21" spans="1:6" ht="18.75" customHeight="1" x14ac:dyDescent="0.25">
      <c r="A21" s="37">
        <f>_xlfn.AGGREGATE(3,3,$C$7:C21)</f>
        <v>15</v>
      </c>
      <c r="B21" s="34" t="str">
        <f>Thuysan!O124</f>
        <v>Cá tra thương phẩm</v>
      </c>
      <c r="C21" s="34" t="str">
        <f>Thuysan!P124</f>
        <v>83/0823/15</v>
      </c>
      <c r="D21" s="81">
        <f>Thuysan!S124</f>
        <v>1.5</v>
      </c>
      <c r="E21" s="81" t="str">
        <f>Thuysan!T124</f>
        <v>Trifluralin</v>
      </c>
      <c r="F21" s="37"/>
    </row>
    <row r="22" spans="1:6" ht="15.75" x14ac:dyDescent="0.25">
      <c r="A22" s="37">
        <f>_xlfn.AGGREGATE(3,3,$C$7:C22)</f>
        <v>16</v>
      </c>
      <c r="B22" s="34" t="str">
        <f>Thuysan!O125</f>
        <v>Cá tra nhỏ</v>
      </c>
      <c r="C22" s="34" t="str">
        <f>Thuysan!P125</f>
        <v>83/0823/16</v>
      </c>
      <c r="D22" s="81">
        <f>Thuysan!S125</f>
        <v>1</v>
      </c>
      <c r="E22" s="81" t="str">
        <f>Thuysan!T125</f>
        <v>Nitrofurans</v>
      </c>
      <c r="F22" s="37"/>
    </row>
    <row r="23" spans="1:6" ht="15.75" x14ac:dyDescent="0.25">
      <c r="A23" s="37">
        <f>_xlfn.AGGREGATE(3,3,$C$7:C23)</f>
        <v>17</v>
      </c>
      <c r="B23" s="34" t="str">
        <f>Thuysan!O126</f>
        <v>Cá tra nhỏ</v>
      </c>
      <c r="C23" s="34" t="str">
        <f>Thuysan!P126</f>
        <v>83/0823/17</v>
      </c>
      <c r="D23" s="81">
        <f>Thuysan!S126</f>
        <v>1</v>
      </c>
      <c r="E23" s="81" t="str">
        <f>Thuysan!T126</f>
        <v>-</v>
      </c>
      <c r="F23" s="37"/>
    </row>
    <row r="24" spans="1:6" ht="20.25" customHeight="1" x14ac:dyDescent="0.25">
      <c r="A24" s="37">
        <f>_xlfn.AGGREGATE(3,3,$C$7:C24)</f>
        <v>18</v>
      </c>
      <c r="B24" s="34" t="str">
        <f>Thuysan!O127</f>
        <v>Cá tra thương phẩm</v>
      </c>
      <c r="C24" s="34" t="str">
        <f>Thuysan!P127</f>
        <v>83/0823/18</v>
      </c>
      <c r="D24" s="81">
        <f>Thuysan!S127</f>
        <v>1.5</v>
      </c>
      <c r="E24" s="81" t="str">
        <f>Thuysan!T127</f>
        <v>Chloramphenicol</v>
      </c>
      <c r="F24" s="37"/>
    </row>
    <row r="25" spans="1:6" ht="15.75" x14ac:dyDescent="0.25">
      <c r="A25" s="37">
        <f>_xlfn.AGGREGATE(3,3,$C$7:C25)</f>
        <v>19</v>
      </c>
      <c r="B25" s="34" t="str">
        <f>Thuysan!O128</f>
        <v>Cá tra thương phẩm</v>
      </c>
      <c r="C25" s="34" t="str">
        <f>Thuysan!P128</f>
        <v>83/0823/19</v>
      </c>
      <c r="D25" s="81">
        <f>Thuysan!S128</f>
        <v>1.5</v>
      </c>
      <c r="E25" s="81" t="str">
        <f>Thuysan!T128</f>
        <v>Nitrofurans</v>
      </c>
      <c r="F25" s="37"/>
    </row>
    <row r="26" spans="1:6" ht="15.75" x14ac:dyDescent="0.25">
      <c r="A26" s="37">
        <f>_xlfn.AGGREGATE(3,3,$C$7:C26)</f>
        <v>20</v>
      </c>
      <c r="B26" s="34" t="str">
        <f>Thuysan!O129</f>
        <v>Cá tra thương phẩm</v>
      </c>
      <c r="C26" s="34" t="str">
        <f>Thuysan!P129</f>
        <v>83/0823/20</v>
      </c>
      <c r="D26" s="81">
        <f>Thuysan!S129</f>
        <v>1.5</v>
      </c>
      <c r="E26" s="81" t="str">
        <f>Thuysan!T129</f>
        <v>Nhóm Tetracyclines</v>
      </c>
      <c r="F26" s="37"/>
    </row>
    <row r="27" spans="1:6" ht="15.75" x14ac:dyDescent="0.25">
      <c r="A27" s="37">
        <f>_xlfn.AGGREGATE(3,3,$C$7:C27)</f>
        <v>21</v>
      </c>
      <c r="B27" s="34" t="str">
        <f>Thuysan!O130</f>
        <v>Cá tra thương phẩm</v>
      </c>
      <c r="C27" s="34" t="str">
        <f>Thuysan!P130</f>
        <v>83/0823/21</v>
      </c>
      <c r="D27" s="81">
        <f>Thuysan!S130</f>
        <v>1.5</v>
      </c>
      <c r="E27" s="81" t="str">
        <f>Thuysan!T130</f>
        <v>Nhóm Quinolones</v>
      </c>
      <c r="F27" s="37"/>
    </row>
    <row r="28" spans="1:6" ht="15.75" x14ac:dyDescent="0.25">
      <c r="A28" s="37">
        <f>_xlfn.AGGREGATE(3,3,$C$7:C28)</f>
        <v>22</v>
      </c>
      <c r="B28" s="34" t="str">
        <f>Thuysan!O131</f>
        <v>Cá tra thương phẩm</v>
      </c>
      <c r="C28" s="34" t="str">
        <f>Thuysan!P131</f>
        <v>83/0823/22</v>
      </c>
      <c r="D28" s="81">
        <f>Thuysan!S131</f>
        <v>1.5</v>
      </c>
      <c r="E28" s="81" t="str">
        <f>Thuysan!T131</f>
        <v>-</v>
      </c>
      <c r="F28" s="37"/>
    </row>
    <row r="29" spans="1:6" ht="15.75" x14ac:dyDescent="0.25">
      <c r="A29" s="37">
        <f>_xlfn.AGGREGATE(3,3,$C$7:C29)</f>
        <v>23</v>
      </c>
      <c r="B29" s="34" t="str">
        <f>Thuysan!O132</f>
        <v>Cá tra thương phẩm</v>
      </c>
      <c r="C29" s="34" t="str">
        <f>Thuysan!P132</f>
        <v>83/0823/23</v>
      </c>
      <c r="D29" s="82">
        <f>Thuysan!S132</f>
        <v>1.5</v>
      </c>
      <c r="E29" s="82" t="str">
        <f>Thuysan!T132</f>
        <v>Trifluralin</v>
      </c>
      <c r="F29" s="37"/>
    </row>
    <row r="30" spans="1:6" ht="18.75" x14ac:dyDescent="0.25">
      <c r="E30" s="39"/>
      <c r="F30" s="40"/>
    </row>
    <row r="31" spans="1:6" ht="18.75" x14ac:dyDescent="0.25">
      <c r="A31" s="130" t="s">
        <v>541</v>
      </c>
      <c r="B31" s="130"/>
      <c r="C31" s="130"/>
      <c r="D31" s="130" t="s">
        <v>541</v>
      </c>
      <c r="E31" s="130"/>
      <c r="F31" s="130"/>
    </row>
    <row r="32" spans="1:6" ht="18.75" x14ac:dyDescent="0.25">
      <c r="A32" s="131" t="s">
        <v>400</v>
      </c>
      <c r="B32" s="131"/>
      <c r="C32" s="131"/>
      <c r="D32" s="131" t="s">
        <v>399</v>
      </c>
      <c r="E32" s="131"/>
      <c r="F32" s="131"/>
    </row>
    <row r="33" spans="1:6" ht="18.75" x14ac:dyDescent="0.25">
      <c r="A33" s="138" t="s">
        <v>398</v>
      </c>
      <c r="B33" s="138"/>
      <c r="C33" s="138"/>
      <c r="D33" s="138" t="s">
        <v>398</v>
      </c>
      <c r="E33" s="138"/>
      <c r="F33" s="138"/>
    </row>
    <row r="34" spans="1:6" ht="18.75" x14ac:dyDescent="0.25">
      <c r="E34" s="39"/>
      <c r="F34" s="40"/>
    </row>
    <row r="35" spans="1:6" ht="18.75" x14ac:dyDescent="0.25">
      <c r="E35" s="39"/>
      <c r="F35" s="40"/>
    </row>
    <row r="36" spans="1:6" ht="18.75" x14ac:dyDescent="0.25">
      <c r="A36" s="131" t="s">
        <v>364</v>
      </c>
      <c r="B36" s="131"/>
      <c r="C36" s="131"/>
      <c r="D36" s="131"/>
      <c r="E36" s="131"/>
      <c r="F36" s="131"/>
    </row>
    <row r="38" spans="1:6" ht="7.5" customHeight="1" x14ac:dyDescent="0.25"/>
    <row r="41" spans="1:6" ht="18.75" customHeight="1" x14ac:dyDescent="0.25"/>
    <row r="43" spans="1:6" ht="26.25" customHeight="1" x14ac:dyDescent="0.25"/>
    <row r="44" spans="1:6" ht="21.75" customHeight="1" x14ac:dyDescent="0.25"/>
  </sheetData>
  <mergeCells count="15">
    <mergeCell ref="A4:F4"/>
    <mergeCell ref="A1:C1"/>
    <mergeCell ref="D1:F1"/>
    <mergeCell ref="A2:C2"/>
    <mergeCell ref="D2:F2"/>
    <mergeCell ref="A3:C3"/>
    <mergeCell ref="D3:F3"/>
    <mergeCell ref="D31:F31"/>
    <mergeCell ref="D33:F33"/>
    <mergeCell ref="D36:F36"/>
    <mergeCell ref="A31:C31"/>
    <mergeCell ref="A32:C32"/>
    <mergeCell ref="A36:C36"/>
    <mergeCell ref="A33:C33"/>
    <mergeCell ref="D32:F32"/>
  </mergeCells>
  <pageMargins left="0.41" right="0.19" top="0.43" bottom="0.3" header="0.3" footer="0.18"/>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6"/>
  <sheetViews>
    <sheetView workbookViewId="0">
      <selection activeCell="H22" sqref="H22"/>
    </sheetView>
  </sheetViews>
  <sheetFormatPr defaultColWidth="8.85546875" defaultRowHeight="15" x14ac:dyDescent="0.25"/>
  <cols>
    <col min="1" max="1" width="4.7109375" customWidth="1"/>
    <col min="2" max="2" width="14" customWidth="1"/>
    <col min="3" max="3" width="16.42578125" bestFit="1" customWidth="1"/>
    <col min="4" max="4" width="16.42578125" customWidth="1"/>
    <col min="5" max="5" width="18.7109375" customWidth="1"/>
    <col min="6" max="6" width="16.85546875" bestFit="1" customWidth="1"/>
    <col min="7" max="7" width="19.7109375" customWidth="1"/>
    <col min="8" max="8" width="17.7109375" bestFit="1" customWidth="1"/>
    <col min="9" max="9" width="16" bestFit="1" customWidth="1"/>
    <col min="10" max="10" width="17.42578125" bestFit="1" customWidth="1"/>
  </cols>
  <sheetData>
    <row r="2" spans="1:10" x14ac:dyDescent="0.25">
      <c r="A2" s="12"/>
      <c r="B2" s="14" t="s">
        <v>181</v>
      </c>
      <c r="C2" s="14" t="s">
        <v>180</v>
      </c>
      <c r="D2" s="14" t="s">
        <v>179</v>
      </c>
      <c r="E2" s="14" t="s">
        <v>178</v>
      </c>
      <c r="F2" s="14" t="s">
        <v>177</v>
      </c>
      <c r="G2" s="14" t="s">
        <v>182</v>
      </c>
      <c r="H2" s="14" t="s">
        <v>183</v>
      </c>
      <c r="I2" s="14" t="s">
        <v>184</v>
      </c>
      <c r="J2" s="14" t="s">
        <v>185</v>
      </c>
    </row>
    <row r="3" spans="1:10" x14ac:dyDescent="0.25">
      <c r="A3" s="12">
        <v>1</v>
      </c>
      <c r="B3" s="13" t="s">
        <v>13</v>
      </c>
      <c r="C3" s="13" t="s">
        <v>37</v>
      </c>
      <c r="D3" s="13" t="s">
        <v>57</v>
      </c>
      <c r="E3" s="13" t="s">
        <v>79</v>
      </c>
      <c r="F3" s="13" t="s">
        <v>89</v>
      </c>
      <c r="G3" s="13" t="s">
        <v>110</v>
      </c>
      <c r="H3" s="13" t="s">
        <v>123</v>
      </c>
      <c r="I3" s="13" t="s">
        <v>140</v>
      </c>
      <c r="J3" s="13" t="s">
        <v>157</v>
      </c>
    </row>
    <row r="4" spans="1:10" x14ac:dyDescent="0.25">
      <c r="A4" s="12">
        <v>2</v>
      </c>
      <c r="B4" s="13" t="s">
        <v>14</v>
      </c>
      <c r="C4" s="13" t="s">
        <v>38</v>
      </c>
      <c r="D4" s="13" t="s">
        <v>16</v>
      </c>
      <c r="E4" s="13" t="s">
        <v>80</v>
      </c>
      <c r="F4" s="13" t="s">
        <v>90</v>
      </c>
      <c r="G4" s="13" t="s">
        <v>111</v>
      </c>
      <c r="H4" s="13" t="s">
        <v>124</v>
      </c>
      <c r="I4" s="13" t="s">
        <v>141</v>
      </c>
      <c r="J4" s="13" t="s">
        <v>158</v>
      </c>
    </row>
    <row r="5" spans="1:10" x14ac:dyDescent="0.25">
      <c r="A5" s="12">
        <v>3</v>
      </c>
      <c r="B5" s="13" t="s">
        <v>15</v>
      </c>
      <c r="C5" s="13" t="s">
        <v>39</v>
      </c>
      <c r="D5" s="13" t="s">
        <v>58</v>
      </c>
      <c r="E5" s="13" t="s">
        <v>81</v>
      </c>
      <c r="F5" s="13" t="s">
        <v>91</v>
      </c>
      <c r="G5" s="13" t="s">
        <v>112</v>
      </c>
      <c r="H5" s="13" t="s">
        <v>125</v>
      </c>
      <c r="I5" s="13" t="s">
        <v>142</v>
      </c>
      <c r="J5" s="13" t="s">
        <v>159</v>
      </c>
    </row>
    <row r="6" spans="1:10" x14ac:dyDescent="0.25">
      <c r="A6" s="12">
        <v>4</v>
      </c>
      <c r="B6" s="13" t="s">
        <v>16</v>
      </c>
      <c r="C6" s="13" t="s">
        <v>40</v>
      </c>
      <c r="D6" s="13" t="s">
        <v>59</v>
      </c>
      <c r="E6" s="13" t="s">
        <v>82</v>
      </c>
      <c r="F6" s="13" t="s">
        <v>92</v>
      </c>
      <c r="G6" s="13" t="s">
        <v>113</v>
      </c>
      <c r="H6" s="13" t="s">
        <v>126</v>
      </c>
      <c r="I6" s="13" t="s">
        <v>143</v>
      </c>
      <c r="J6" s="13" t="s">
        <v>160</v>
      </c>
    </row>
    <row r="7" spans="1:10" x14ac:dyDescent="0.25">
      <c r="A7" s="12">
        <v>5</v>
      </c>
      <c r="B7" s="13" t="s">
        <v>17</v>
      </c>
      <c r="C7" s="13" t="s">
        <v>41</v>
      </c>
      <c r="D7" s="13" t="s">
        <v>60</v>
      </c>
      <c r="E7" s="13" t="s">
        <v>83</v>
      </c>
      <c r="F7" s="13" t="s">
        <v>93</v>
      </c>
      <c r="G7" s="13" t="s">
        <v>114</v>
      </c>
      <c r="H7" s="13" t="s">
        <v>127</v>
      </c>
      <c r="I7" s="13" t="s">
        <v>125</v>
      </c>
      <c r="J7" s="13" t="s">
        <v>161</v>
      </c>
    </row>
    <row r="8" spans="1:10" x14ac:dyDescent="0.25">
      <c r="A8" s="12">
        <v>6</v>
      </c>
      <c r="B8" s="13" t="s">
        <v>18</v>
      </c>
      <c r="C8" s="13" t="s">
        <v>42</v>
      </c>
      <c r="D8" s="13" t="s">
        <v>61</v>
      </c>
      <c r="E8" s="13" t="s">
        <v>84</v>
      </c>
      <c r="F8" s="13" t="s">
        <v>94</v>
      </c>
      <c r="G8" s="13" t="s">
        <v>115</v>
      </c>
      <c r="H8" s="13" t="s">
        <v>128</v>
      </c>
      <c r="I8" s="13" t="s">
        <v>144</v>
      </c>
      <c r="J8" s="13" t="s">
        <v>162</v>
      </c>
    </row>
    <row r="9" spans="1:10" x14ac:dyDescent="0.25">
      <c r="A9" s="12">
        <v>7</v>
      </c>
      <c r="B9" s="13" t="s">
        <v>19</v>
      </c>
      <c r="C9" s="13" t="s">
        <v>43</v>
      </c>
      <c r="D9" s="13" t="s">
        <v>62</v>
      </c>
      <c r="E9" s="13" t="s">
        <v>85</v>
      </c>
      <c r="F9" s="13" t="s">
        <v>95</v>
      </c>
      <c r="G9" s="13" t="s">
        <v>116</v>
      </c>
      <c r="H9" s="13" t="s">
        <v>129</v>
      </c>
      <c r="I9" s="13" t="s">
        <v>145</v>
      </c>
      <c r="J9" s="13" t="s">
        <v>163</v>
      </c>
    </row>
    <row r="10" spans="1:10" x14ac:dyDescent="0.25">
      <c r="A10" s="12">
        <v>8</v>
      </c>
      <c r="B10" s="13" t="s">
        <v>20</v>
      </c>
      <c r="C10" s="13" t="s">
        <v>44</v>
      </c>
      <c r="D10" s="13" t="s">
        <v>63</v>
      </c>
      <c r="E10" s="13" t="s">
        <v>86</v>
      </c>
      <c r="F10" s="13" t="s">
        <v>96</v>
      </c>
      <c r="G10" s="13" t="s">
        <v>117</v>
      </c>
      <c r="H10" s="13" t="s">
        <v>130</v>
      </c>
      <c r="I10" s="13" t="s">
        <v>146</v>
      </c>
      <c r="J10" s="13" t="s">
        <v>164</v>
      </c>
    </row>
    <row r="11" spans="1:10" x14ac:dyDescent="0.25">
      <c r="A11" s="12">
        <v>9</v>
      </c>
      <c r="B11" s="13" t="s">
        <v>21</v>
      </c>
      <c r="C11" s="13" t="s">
        <v>45</v>
      </c>
      <c r="D11" s="13" t="s">
        <v>65</v>
      </c>
      <c r="E11" s="13" t="s">
        <v>87</v>
      </c>
      <c r="F11" s="13" t="s">
        <v>97</v>
      </c>
      <c r="G11" s="13" t="s">
        <v>118</v>
      </c>
      <c r="H11" s="13" t="s">
        <v>131</v>
      </c>
      <c r="I11" s="13" t="s">
        <v>147</v>
      </c>
      <c r="J11" s="13" t="s">
        <v>165</v>
      </c>
    </row>
    <row r="12" spans="1:10" x14ac:dyDescent="0.25">
      <c r="A12" s="12">
        <v>10</v>
      </c>
      <c r="B12" s="13" t="s">
        <v>22</v>
      </c>
      <c r="C12" s="13" t="s">
        <v>46</v>
      </c>
      <c r="D12" s="13" t="s">
        <v>66</v>
      </c>
      <c r="E12" s="13" t="s">
        <v>36</v>
      </c>
      <c r="F12" s="13" t="s">
        <v>98</v>
      </c>
      <c r="G12" s="13" t="s">
        <v>119</v>
      </c>
      <c r="H12" s="13" t="s">
        <v>132</v>
      </c>
      <c r="I12" s="13" t="s">
        <v>148</v>
      </c>
      <c r="J12" s="13" t="s">
        <v>166</v>
      </c>
    </row>
    <row r="13" spans="1:10" x14ac:dyDescent="0.25">
      <c r="A13" s="12">
        <v>11</v>
      </c>
      <c r="B13" s="13" t="s">
        <v>23</v>
      </c>
      <c r="C13" s="13" t="s">
        <v>47</v>
      </c>
      <c r="D13" s="13" t="s">
        <v>67</v>
      </c>
      <c r="E13" s="13" t="s">
        <v>88</v>
      </c>
      <c r="F13" s="13" t="s">
        <v>99</v>
      </c>
      <c r="G13" s="13" t="s">
        <v>120</v>
      </c>
      <c r="H13" s="13" t="s">
        <v>133</v>
      </c>
      <c r="I13" s="13" t="s">
        <v>149</v>
      </c>
      <c r="J13" s="13" t="s">
        <v>167</v>
      </c>
    </row>
    <row r="14" spans="1:10" x14ac:dyDescent="0.25">
      <c r="A14" s="12">
        <v>12</v>
      </c>
      <c r="B14" s="13" t="s">
        <v>24</v>
      </c>
      <c r="C14" s="13" t="s">
        <v>48</v>
      </c>
      <c r="D14" s="13" t="s">
        <v>68</v>
      </c>
      <c r="E14" s="12"/>
      <c r="F14" s="13" t="s">
        <v>100</v>
      </c>
      <c r="G14" s="13" t="s">
        <v>121</v>
      </c>
      <c r="H14" s="13" t="s">
        <v>134</v>
      </c>
      <c r="I14" s="13" t="s">
        <v>150</v>
      </c>
      <c r="J14" s="13" t="s">
        <v>64</v>
      </c>
    </row>
    <row r="15" spans="1:10" x14ac:dyDescent="0.25">
      <c r="A15" s="12">
        <v>13</v>
      </c>
      <c r="B15" s="13" t="s">
        <v>25</v>
      </c>
      <c r="C15" s="13" t="s">
        <v>49</v>
      </c>
      <c r="D15" s="13" t="s">
        <v>69</v>
      </c>
      <c r="E15" s="12"/>
      <c r="F15" s="13" t="s">
        <v>27</v>
      </c>
      <c r="G15" s="13" t="s">
        <v>122</v>
      </c>
      <c r="H15" s="13" t="s">
        <v>135</v>
      </c>
      <c r="I15" s="13" t="s">
        <v>151</v>
      </c>
      <c r="J15" s="13" t="s">
        <v>168</v>
      </c>
    </row>
    <row r="16" spans="1:10" x14ac:dyDescent="0.25">
      <c r="A16" s="12">
        <v>14</v>
      </c>
      <c r="B16" s="13" t="s">
        <v>26</v>
      </c>
      <c r="C16" s="13" t="s">
        <v>50</v>
      </c>
      <c r="D16" s="13" t="s">
        <v>70</v>
      </c>
      <c r="E16" s="12"/>
      <c r="F16" s="13" t="s">
        <v>101</v>
      </c>
      <c r="G16" s="12"/>
      <c r="H16" s="13" t="s">
        <v>136</v>
      </c>
      <c r="I16" s="13" t="s">
        <v>152</v>
      </c>
      <c r="J16" s="13" t="s">
        <v>169</v>
      </c>
    </row>
    <row r="17" spans="1:10" x14ac:dyDescent="0.25">
      <c r="A17" s="12">
        <v>15</v>
      </c>
      <c r="B17" s="13" t="s">
        <v>27</v>
      </c>
      <c r="C17" s="13" t="s">
        <v>51</v>
      </c>
      <c r="D17" s="13" t="s">
        <v>71</v>
      </c>
      <c r="E17" s="12"/>
      <c r="F17" s="13" t="s">
        <v>102</v>
      </c>
      <c r="G17" s="12"/>
      <c r="H17" s="13" t="s">
        <v>137</v>
      </c>
      <c r="I17" s="13" t="s">
        <v>153</v>
      </c>
      <c r="J17" s="13" t="s">
        <v>170</v>
      </c>
    </row>
    <row r="18" spans="1:10" x14ac:dyDescent="0.25">
      <c r="A18" s="12">
        <v>16</v>
      </c>
      <c r="B18" s="13" t="s">
        <v>28</v>
      </c>
      <c r="C18" s="13" t="s">
        <v>52</v>
      </c>
      <c r="D18" s="13" t="s">
        <v>72</v>
      </c>
      <c r="E18" s="12"/>
      <c r="F18" s="13" t="s">
        <v>103</v>
      </c>
      <c r="G18" s="12"/>
      <c r="H18" s="13" t="s">
        <v>138</v>
      </c>
      <c r="I18" s="13" t="s">
        <v>154</v>
      </c>
      <c r="J18" s="13" t="s">
        <v>171</v>
      </c>
    </row>
    <row r="19" spans="1:10" x14ac:dyDescent="0.25">
      <c r="A19" s="12">
        <v>17</v>
      </c>
      <c r="B19" s="13" t="s">
        <v>29</v>
      </c>
      <c r="C19" s="13" t="s">
        <v>53</v>
      </c>
      <c r="D19" s="13" t="s">
        <v>73</v>
      </c>
      <c r="E19" s="12"/>
      <c r="F19" s="13" t="s">
        <v>104</v>
      </c>
      <c r="G19" s="12"/>
      <c r="H19" s="13" t="s">
        <v>139</v>
      </c>
      <c r="I19" s="13" t="s">
        <v>155</v>
      </c>
      <c r="J19" s="13" t="s">
        <v>172</v>
      </c>
    </row>
    <row r="20" spans="1:10" x14ac:dyDescent="0.25">
      <c r="A20" s="12">
        <v>18</v>
      </c>
      <c r="B20" s="13" t="s">
        <v>30</v>
      </c>
      <c r="C20" s="13" t="s">
        <v>54</v>
      </c>
      <c r="D20" s="13" t="s">
        <v>74</v>
      </c>
      <c r="E20" s="12"/>
      <c r="F20" s="13" t="s">
        <v>105</v>
      </c>
      <c r="G20" s="12"/>
      <c r="H20" s="12"/>
      <c r="I20" s="13" t="s">
        <v>156</v>
      </c>
      <c r="J20" s="12"/>
    </row>
    <row r="21" spans="1:10" x14ac:dyDescent="0.25">
      <c r="A21" s="12">
        <v>19</v>
      </c>
      <c r="B21" s="13" t="s">
        <v>31</v>
      </c>
      <c r="C21" s="13" t="s">
        <v>55</v>
      </c>
      <c r="D21" s="13" t="s">
        <v>75</v>
      </c>
      <c r="E21" s="12"/>
      <c r="F21" s="13" t="s">
        <v>106</v>
      </c>
      <c r="G21" s="12"/>
      <c r="H21" s="12"/>
      <c r="I21" s="12"/>
      <c r="J21" s="12"/>
    </row>
    <row r="22" spans="1:10" x14ac:dyDescent="0.25">
      <c r="A22" s="12">
        <v>20</v>
      </c>
      <c r="B22" s="13" t="s">
        <v>32</v>
      </c>
      <c r="C22" s="13" t="s">
        <v>56</v>
      </c>
      <c r="D22" s="13" t="s">
        <v>76</v>
      </c>
      <c r="E22" s="12"/>
      <c r="F22" s="13" t="s">
        <v>107</v>
      </c>
      <c r="G22" s="12"/>
      <c r="H22" s="12"/>
      <c r="I22" s="12"/>
      <c r="J22" s="12"/>
    </row>
    <row r="23" spans="1:10" x14ac:dyDescent="0.25">
      <c r="A23" s="12">
        <v>21</v>
      </c>
      <c r="B23" s="13" t="s">
        <v>33</v>
      </c>
      <c r="C23" s="12"/>
      <c r="D23" s="13" t="s">
        <v>77</v>
      </c>
      <c r="E23" s="12"/>
      <c r="F23" s="13" t="s">
        <v>108</v>
      </c>
      <c r="G23" s="12"/>
      <c r="H23" s="12"/>
      <c r="I23" s="12"/>
      <c r="J23" s="12"/>
    </row>
    <row r="24" spans="1:10" x14ac:dyDescent="0.25">
      <c r="A24" s="12">
        <v>22</v>
      </c>
      <c r="B24" s="13" t="s">
        <v>34</v>
      </c>
      <c r="C24" s="12"/>
      <c r="D24" s="13" t="s">
        <v>78</v>
      </c>
      <c r="E24" s="12"/>
      <c r="F24" s="13" t="s">
        <v>109</v>
      </c>
      <c r="G24" s="12"/>
      <c r="H24" s="12"/>
      <c r="I24" s="12"/>
      <c r="J24" s="12"/>
    </row>
    <row r="25" spans="1:10" x14ac:dyDescent="0.25">
      <c r="A25" s="12">
        <v>23</v>
      </c>
      <c r="B25" s="13" t="s">
        <v>35</v>
      </c>
      <c r="C25" s="12"/>
      <c r="D25" s="12"/>
      <c r="E25" s="12"/>
      <c r="F25" s="12"/>
      <c r="G25" s="12"/>
      <c r="H25" s="12"/>
      <c r="I25" s="12"/>
      <c r="J25" s="12"/>
    </row>
    <row r="26" spans="1:10" x14ac:dyDescent="0.25">
      <c r="A26" s="12">
        <v>24</v>
      </c>
      <c r="B26" s="13" t="s">
        <v>36</v>
      </c>
      <c r="C26" s="12"/>
      <c r="D26" s="12"/>
      <c r="E26" s="12"/>
      <c r="F26" s="12"/>
      <c r="G26" s="12"/>
      <c r="H26" s="12"/>
      <c r="I26" s="12"/>
      <c r="J26" s="12"/>
    </row>
  </sheetData>
  <sheetProtection password="CF2A" sheet="1"/>
  <pageMargins left="0.2" right="0.22" top="0.74"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51</vt:i4>
      </vt:variant>
    </vt:vector>
  </HeadingPairs>
  <TitlesOfParts>
    <vt:vector size="91" baseType="lpstr">
      <vt:lpstr>Thuysan</vt:lpstr>
      <vt:lpstr>CS</vt:lpstr>
      <vt:lpstr>List+TK</vt:lpstr>
      <vt:lpstr>T12.QD </vt:lpstr>
      <vt:lpstr>T11.QD</vt:lpstr>
      <vt:lpstr>T10.QD </vt:lpstr>
      <vt:lpstr>T9.QD</vt:lpstr>
      <vt:lpstr>T8.QD </vt:lpstr>
      <vt:lpstr>T7.QD </vt:lpstr>
      <vt:lpstr>T6.QD </vt:lpstr>
      <vt:lpstr>T5.QD</vt:lpstr>
      <vt:lpstr>T4.QD</vt:lpstr>
      <vt:lpstr>T3.QD</vt:lpstr>
      <vt:lpstr>T2.QD </vt:lpstr>
      <vt:lpstr>T8.QD</vt:lpstr>
      <vt:lpstr>T12.TT</vt:lpstr>
      <vt:lpstr>T11.TT </vt:lpstr>
      <vt:lpstr>T10.TT</vt:lpstr>
      <vt:lpstr>T9.TT bs KLN</vt:lpstr>
      <vt:lpstr>T9.TT</vt:lpstr>
      <vt:lpstr>T7.TT</vt:lpstr>
      <vt:lpstr>T6.TT</vt:lpstr>
      <vt:lpstr>T5.TT</vt:lpstr>
      <vt:lpstr>T4.TT</vt:lpstr>
      <vt:lpstr>T3.TT</vt:lpstr>
      <vt:lpstr>T2.TT</vt:lpstr>
      <vt:lpstr>T8.TT</vt:lpstr>
      <vt:lpstr>T12.BB</vt:lpstr>
      <vt:lpstr>T11.BB </vt:lpstr>
      <vt:lpstr>T10.BB</vt:lpstr>
      <vt:lpstr>T9.BBbs KLN </vt:lpstr>
      <vt:lpstr>T9.BB </vt:lpstr>
      <vt:lpstr>T7.BB </vt:lpstr>
      <vt:lpstr>T6.BB </vt:lpstr>
      <vt:lpstr>T5.BB</vt:lpstr>
      <vt:lpstr>T4.BB</vt:lpstr>
      <vt:lpstr>T3.BB</vt:lpstr>
      <vt:lpstr>T2.BB</vt:lpstr>
      <vt:lpstr>T8.BB</vt:lpstr>
      <vt:lpstr>Xa</vt:lpstr>
      <vt:lpstr>BĐ</vt:lpstr>
      <vt:lpstr>BT</vt:lpstr>
      <vt:lpstr>CL</vt:lpstr>
      <vt:lpstr>Coso</vt:lpstr>
      <vt:lpstr>CT</vt:lpstr>
      <vt:lpstr>Chitieu</vt:lpstr>
      <vt:lpstr>Ghichu</vt:lpstr>
      <vt:lpstr>GT</vt:lpstr>
      <vt:lpstr>Huyen</vt:lpstr>
      <vt:lpstr>MCB</vt:lpstr>
      <vt:lpstr>MCN</vt:lpstr>
      <vt:lpstr>Nguoilay</vt:lpstr>
      <vt:lpstr>T10.BB!Print_Titles</vt:lpstr>
      <vt:lpstr>'T10.QD '!Print_Titles</vt:lpstr>
      <vt:lpstr>T10.TT!Print_Titles</vt:lpstr>
      <vt:lpstr>'T11.BB '!Print_Titles</vt:lpstr>
      <vt:lpstr>T11.QD!Print_Titles</vt:lpstr>
      <vt:lpstr>'T11.TT '!Print_Titles</vt:lpstr>
      <vt:lpstr>T12.BB!Print_Titles</vt:lpstr>
      <vt:lpstr>'T12.QD '!Print_Titles</vt:lpstr>
      <vt:lpstr>T12.TT!Print_Titles</vt:lpstr>
      <vt:lpstr>T2.BB!Print_Titles</vt:lpstr>
      <vt:lpstr>'T2.QD '!Print_Titles</vt:lpstr>
      <vt:lpstr>T2.TT!Print_Titles</vt:lpstr>
      <vt:lpstr>T3.BB!Print_Titles</vt:lpstr>
      <vt:lpstr>T3.QD!Print_Titles</vt:lpstr>
      <vt:lpstr>T3.TT!Print_Titles</vt:lpstr>
      <vt:lpstr>T4.BB!Print_Titles</vt:lpstr>
      <vt:lpstr>T4.QD!Print_Titles</vt:lpstr>
      <vt:lpstr>T4.TT!Print_Titles</vt:lpstr>
      <vt:lpstr>T5.BB!Print_Titles</vt:lpstr>
      <vt:lpstr>T5.QD!Print_Titles</vt:lpstr>
      <vt:lpstr>T5.TT!Print_Titles</vt:lpstr>
      <vt:lpstr>'T6.BB '!Print_Titles</vt:lpstr>
      <vt:lpstr>'T6.QD '!Print_Titles</vt:lpstr>
      <vt:lpstr>T6.TT!Print_Titles</vt:lpstr>
      <vt:lpstr>'T7.BB '!Print_Titles</vt:lpstr>
      <vt:lpstr>'T7.QD '!Print_Titles</vt:lpstr>
      <vt:lpstr>T7.TT!Print_Titles</vt:lpstr>
      <vt:lpstr>T8.BB!Print_Titles</vt:lpstr>
      <vt:lpstr>T8.QD!Print_Titles</vt:lpstr>
      <vt:lpstr>'T8.QD '!Print_Titles</vt:lpstr>
      <vt:lpstr>T8.TT!Print_Titles</vt:lpstr>
      <vt:lpstr>'T9.BB '!Print_Titles</vt:lpstr>
      <vt:lpstr>'T9.BBbs KLN '!Print_Titles</vt:lpstr>
      <vt:lpstr>T9.QD!Print_Titles</vt:lpstr>
      <vt:lpstr>T9.TT!Print_Titles</vt:lpstr>
      <vt:lpstr>'T9.TT bs KLN'!Print_Titles</vt:lpstr>
      <vt:lpstr>Tenmau</vt:lpstr>
      <vt:lpstr>TP</vt:lpstr>
      <vt:lpstr>TPBT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Amin</cp:lastModifiedBy>
  <cp:lastPrinted>2024-04-11T00:04:26Z</cp:lastPrinted>
  <dcterms:created xsi:type="dcterms:W3CDTF">2015-10-20T01:24:36Z</dcterms:created>
  <dcterms:modified xsi:type="dcterms:W3CDTF">2024-04-11T00:04:44Z</dcterms:modified>
</cp:coreProperties>
</file>