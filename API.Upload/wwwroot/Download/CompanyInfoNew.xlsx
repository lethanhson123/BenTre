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GK\Code\BenTre2024\API.Upload\wwwroot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O3" i="1"/>
  <c r="AG2" i="1"/>
  <c r="AF2" i="1"/>
  <c r="AE2" i="1"/>
  <c r="AD2" i="1"/>
  <c r="AC2" i="1"/>
  <c r="AB2" i="1"/>
  <c r="AA2" i="1"/>
  <c r="Z2" i="1"/>
  <c r="AL1" i="1"/>
  <c r="AK1" i="1"/>
  <c r="AJ1" i="1"/>
  <c r="AI1" i="1"/>
  <c r="AH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<sst xmlns="http://schemas.openxmlformats.org/spreadsheetml/2006/main" count="39" uniqueCount="34">
  <si>
    <t>STT</t>
  </si>
  <si>
    <t>Qui mô</t>
  </si>
  <si>
    <t>Số ĐKKD</t>
  </si>
  <si>
    <t>Ngày cấp ĐKKD</t>
  </si>
  <si>
    <t>Số cấp</t>
  </si>
  <si>
    <t>Nhóm</t>
  </si>
  <si>
    <t>Tình trạng</t>
  </si>
  <si>
    <t>MS</t>
  </si>
  <si>
    <t>Tên cơ sở</t>
  </si>
  <si>
    <t>Họ và tên
chủ cơ sở</t>
  </si>
  <si>
    <t>Loại hình</t>
  </si>
  <si>
    <t>Sản phẩm</t>
  </si>
  <si>
    <t>Điện thoại</t>
  </si>
  <si>
    <t>Địa chỉ</t>
  </si>
  <si>
    <t xml:space="preserve">Huyện </t>
  </si>
  <si>
    <t>Xã/Phường/TT</t>
  </si>
  <si>
    <t>Số, Đường, Ấp, Kp.</t>
  </si>
  <si>
    <t>Công suất thiết kế (tấn/tháng)</t>
  </si>
  <si>
    <t>Sản lượng (tấn/tháng)</t>
  </si>
  <si>
    <t>Thị trường tiêu thụ</t>
  </si>
  <si>
    <t>Lao động  (người)</t>
  </si>
  <si>
    <t>Chương trình QLCL</t>
  </si>
  <si>
    <t>Ng</t>
  </si>
  <si>
    <t>XL</t>
  </si>
  <si>
    <t>Lần</t>
  </si>
  <si>
    <t>Th</t>
  </si>
  <si>
    <t>ĐK</t>
  </si>
  <si>
    <t>HH</t>
  </si>
  <si>
    <t>Ghi chú</t>
  </si>
  <si>
    <t>Ghi chú khác</t>
  </si>
  <si>
    <r>
      <t>Diện tích (m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</si>
  <si>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t>N</t>
  </si>
  <si>
    <t>Ă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</si>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</sst>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2"/>
      <color rgb="FFFF0000"/>
      <name val="Times New Roman"/>
      <family val="1"/>
    </font>
    <font>
      <sz val="12"/>
      <color rgb="FFC00000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C00000"/>
      <name val="Times New Roman"/>
      <family val="1"/>
      <charset val="163"/>
    </font>
    <font>
      <b/>
      <vertAlign val="superscript"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1" fontId="5" fillId="3" borderId="0" xfId="0" applyNumberFormat="1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200"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1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tabSelected="1" topLeftCell="M1" workbookViewId="0">
      <selection activeCell="V9" sqref="V9"/>
    </sheetView>
  </sheetViews>
  <sheetFormatPr defaultRowHeight="15.75" x14ac:dyDescent="0.25"/>
  <cols>
    <col min="1" max="16384" width="9.140625" style="5"/>
  </cols>
  <sheetData>
    <row r="1" spans="1:38" x14ac:dyDescent="0.25">
      <c r="A1" s="1"/>
      <c r="B1" s="2">
        <f>SUBTOTAL(3,B$4:B$1048576)</f>
        <v>0</v>
      </c>
      <c r="C1" s="2">
        <f>SUBTOTAL(3,C$4:C$1048576)</f>
        <v>0</v>
      </c>
      <c r="D1" s="2">
        <f>SUBTOTAL(3,D$4:D$1048576)</f>
        <v>0</v>
      </c>
      <c r="E1" s="2">
        <f>SUBTOTAL(3,E$4:E$1048576)</f>
        <v>0</v>
      </c>
      <c r="F1" s="2">
        <f>SUBTOTAL(3,F$4:F$1048576)</f>
        <v>0</v>
      </c>
      <c r="G1" s="2">
        <f>SUBTOTAL(3,G$4:G$1048576)</f>
        <v>0</v>
      </c>
      <c r="H1" s="2">
        <f>SUBTOTAL(3,H$4:H$1048576)</f>
        <v>0</v>
      </c>
      <c r="I1" s="2">
        <f>SUBTOTAL(3,I$4:I$1048576)</f>
        <v>0</v>
      </c>
      <c r="J1" s="2">
        <f>SUBTOTAL(3,J$4:J$1048576)</f>
        <v>0</v>
      </c>
      <c r="K1" s="2">
        <f>SUBTOTAL(3,K$4:K$1048576)</f>
        <v>0</v>
      </c>
      <c r="L1" s="2">
        <f>SUBTOTAL(3,L$4:L$1048576)</f>
        <v>0</v>
      </c>
      <c r="M1" s="2">
        <f>SUBTOTAL(3,M$4:M$1048576)</f>
        <v>0</v>
      </c>
      <c r="N1" s="2">
        <f>SUBTOTAL(3,N$4:N$1048576)</f>
        <v>0</v>
      </c>
      <c r="O1" s="2">
        <f>SUBTOTAL(3,O$4:O$1048576)</f>
        <v>0</v>
      </c>
      <c r="P1" s="2">
        <f>SUBTOTAL(3,P$4:P$1048576)</f>
        <v>0</v>
      </c>
      <c r="Q1" s="2">
        <f>SUBTOTAL(3,Q$4:Q$1048576)</f>
        <v>0</v>
      </c>
      <c r="R1" s="2">
        <f>SUBTOTAL(3,R$4:R$1048576)</f>
        <v>0</v>
      </c>
      <c r="S1" s="2">
        <f>SUBTOTAL(3,S$4:S$1048576)</f>
        <v>0</v>
      </c>
      <c r="T1" s="2">
        <f>SUBTOTAL(3,T$4:T$1048576)</f>
        <v>0</v>
      </c>
      <c r="U1" s="2">
        <f>SUBTOTAL(3,U$4:U$1048576)</f>
        <v>0</v>
      </c>
      <c r="V1" s="2">
        <f>SUBTOTAL(3,V$4:V$1048576)</f>
        <v>0</v>
      </c>
      <c r="W1" s="2">
        <f>SUBTOTAL(3,W$4:W$1048576)</f>
        <v>0</v>
      </c>
      <c r="X1" s="2">
        <f>SUBTOTAL(3,X$4:X$1048576)</f>
        <v>0</v>
      </c>
      <c r="Y1" s="2">
        <f>SUBTOTAL(3,Y$4:Y$1048576)</f>
        <v>0</v>
      </c>
      <c r="Z1" s="3"/>
      <c r="AA1" s="4" t="s">
        <v>31</v>
      </c>
      <c r="AB1" s="3" t="s">
        <v>32</v>
      </c>
      <c r="AC1" s="3" t="s">
        <v>33</v>
      </c>
      <c r="AD1" s="3"/>
      <c r="AE1" s="3"/>
      <c r="AF1" s="3"/>
      <c r="AG1" s="3"/>
      <c r="AH1" s="2">
        <f>SUBTOTAL(3,AH$4:AH$1048576)</f>
        <v>0</v>
      </c>
      <c r="AI1" s="2">
        <f>SUBTOTAL(3,AI$4:AI$1048576)</f>
        <v>0</v>
      </c>
      <c r="AJ1" s="2">
        <f>SUBTOTAL(3,AJ$4:AJ$1048576)</f>
        <v>0</v>
      </c>
      <c r="AK1" s="2">
        <f>SUBTOTAL(3,AK$4:AK$1048576)</f>
        <v>0</v>
      </c>
      <c r="AL1" s="2">
        <f>SUBTOTAL(3,AL$4:AL$1048576)</f>
        <v>0</v>
      </c>
    </row>
    <row r="2" spans="1:38" x14ac:dyDescent="0.25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>
        <f>SUBTOTAL(3,Z$4:Z$1048576)</f>
        <v>0</v>
      </c>
      <c r="AA2" s="7">
        <f>SUBTOTAL(3,AA$4:AA$1048576)</f>
        <v>0</v>
      </c>
      <c r="AB2" s="7">
        <f>SUBTOTAL(3,AB$4:AB$1048576)</f>
        <v>0</v>
      </c>
      <c r="AC2" s="7">
        <f>SUBTOTAL(3,AC$4:AC$1048576)</f>
        <v>0</v>
      </c>
      <c r="AD2" s="7">
        <f>SUBTOTAL(3,AD$4:AD$1048576)</f>
        <v>0</v>
      </c>
      <c r="AE2" s="7">
        <f>SUBTOTAL(3,AE$4:AE$1048576)</f>
        <v>0</v>
      </c>
      <c r="AF2" s="7">
        <f>SUBTOTAL(3,AF$4:AF$1048576)</f>
        <v>0</v>
      </c>
      <c r="AG2" s="7">
        <f>SUBTOTAL(3,AG$4:AG$1048576)</f>
        <v>0</v>
      </c>
      <c r="AH2" s="6"/>
      <c r="AI2" s="6"/>
      <c r="AJ2" s="6"/>
      <c r="AK2" s="6"/>
      <c r="AL2" s="6"/>
    </row>
    <row r="3" spans="1:38" ht="39.950000000000003" customHeight="1" x14ac:dyDescent="0.25">
      <c r="A3" s="8" t="s">
        <v>0</v>
      </c>
      <c r="B3" s="9" t="s">
        <v>1</v>
      </c>
      <c r="C3" s="9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12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13" t="s">
        <v>12</v>
      </c>
      <c r="N3" s="11" t="s">
        <v>13</v>
      </c>
      <c r="O3" s="11" t="str">
        <f t="shared" ref="O3:P3" si="0">AH3</f>
        <v>ĐK</v>
      </c>
      <c r="P3" s="11" t="str">
        <f t="shared" si="0"/>
        <v>HH</v>
      </c>
      <c r="Q3" s="8" t="s">
        <v>14</v>
      </c>
      <c r="R3" s="8" t="s">
        <v>15</v>
      </c>
      <c r="S3" s="8" t="s">
        <v>16</v>
      </c>
      <c r="T3" s="14" t="s">
        <v>17</v>
      </c>
      <c r="U3" s="14" t="s">
        <v>18</v>
      </c>
      <c r="V3" s="8" t="s">
        <v>19</v>
      </c>
      <c r="W3" s="14" t="s">
        <v>30</v>
      </c>
      <c r="X3" s="14" t="s">
        <v>20</v>
      </c>
      <c r="Y3" s="8" t="s">
        <v>21</v>
      </c>
      <c r="Z3" s="15" t="s">
        <v>24</v>
      </c>
      <c r="AA3" s="18" t="s">
        <v>22</v>
      </c>
      <c r="AB3" s="16" t="s">
        <v>25</v>
      </c>
      <c r="AC3" s="16" t="s">
        <v>23</v>
      </c>
      <c r="AD3" s="19" t="s">
        <v>24</v>
      </c>
      <c r="AE3" s="20" t="s">
        <v>22</v>
      </c>
      <c r="AF3" s="17" t="s">
        <v>25</v>
      </c>
      <c r="AG3" s="17" t="s">
        <v>23</v>
      </c>
      <c r="AH3" s="21" t="s">
        <v>26</v>
      </c>
      <c r="AI3" s="21" t="s">
        <v>27</v>
      </c>
      <c r="AJ3" s="22" t="s">
        <v>6</v>
      </c>
      <c r="AK3" s="23" t="s">
        <v>28</v>
      </c>
      <c r="AL3" s="24" t="s">
        <v>29</v>
      </c>
    </row>
  </sheetData>
  <conditionalFormatting sqref="A1:S3 T1:Y1 AC1 AH1:AL3 AC3 T3:Y3 T2:AG2">
    <cfRule type="expression" dxfId="99" priority="86" stopIfTrue="1">
      <formula>$G1="HĐ"</formula>
    </cfRule>
  </conditionalFormatting>
  <conditionalFormatting sqref="I1:I3">
    <cfRule type="duplicateValues" dxfId="98" priority="85"/>
  </conditionalFormatting>
  <conditionalFormatting sqref="J1:J3">
    <cfRule type="duplicateValues" dxfId="97" priority="100"/>
  </conditionalFormatting>
  <conditionalFormatting sqref="A1:S3 T1:Y1 AC1 AH1:AL3 AC3 T3:Y3 T2:AG2">
    <cfRule type="expression" dxfId="96" priority="87" stopIfTrue="1">
      <formula>$G1="HĐ,ĐK"</formula>
    </cfRule>
    <cfRule type="expression" dxfId="95" priority="88" stopIfTrue="1">
      <formula>$G1="HĐ,CL"</formula>
    </cfRule>
    <cfRule type="expression" dxfId="94" priority="89" stopIfTrue="1">
      <formula>$G1="TN"</formula>
    </cfRule>
    <cfRule type="expression" dxfId="93" priority="90" stopIfTrue="1">
      <formula>$G1="HH"</formula>
    </cfRule>
    <cfRule type="expression" dxfId="92" priority="91" stopIfTrue="1">
      <formula>$G1="HH-TB"</formula>
    </cfRule>
    <cfRule type="expression" dxfId="91" priority="92" stopIfTrue="1">
      <formula>$G1="CNK"</formula>
    </cfRule>
    <cfRule type="expression" dxfId="90" priority="93" stopIfTrue="1">
      <formula>$G1="Chuyển"</formula>
    </cfRule>
    <cfRule type="expression" dxfId="89" priority="94" stopIfTrue="1">
      <formula>$G1="Nghỉ"</formula>
    </cfRule>
    <cfRule type="expression" dxfId="88" priority="95" stopIfTrue="1">
      <formula>$G1="TK.C"</formula>
    </cfRule>
    <cfRule type="expression" dxfId="87" priority="96" stopIfTrue="1">
      <formula>$G1="Loại C"</formula>
    </cfRule>
    <cfRule type="expression" dxfId="86" priority="97" stopIfTrue="1">
      <formula>$G1="Nhỏ lẻ"</formula>
    </cfRule>
    <cfRule type="expression" dxfId="85" priority="98" stopIfTrue="1">
      <formula>$G1="Xem lại"</formula>
    </cfRule>
    <cfRule type="expression" dxfId="84" priority="99" stopIfTrue="1">
      <formula>$G1="Đg KT"</formula>
    </cfRule>
  </conditionalFormatting>
  <conditionalFormatting sqref="Z1 Z3">
    <cfRule type="expression" dxfId="83" priority="71" stopIfTrue="1">
      <formula>$G1="HĐ"</formula>
    </cfRule>
  </conditionalFormatting>
  <conditionalFormatting sqref="Z1 Z3">
    <cfRule type="expression" dxfId="82" priority="72" stopIfTrue="1">
      <formula>$G1="HĐ,ĐK"</formula>
    </cfRule>
    <cfRule type="expression" dxfId="81" priority="73" stopIfTrue="1">
      <formula>$G1="HĐ,CL"</formula>
    </cfRule>
    <cfRule type="expression" dxfId="80" priority="74" stopIfTrue="1">
      <formula>$G1="TN"</formula>
    </cfRule>
    <cfRule type="expression" dxfId="79" priority="75" stopIfTrue="1">
      <formula>$G1="HH"</formula>
    </cfRule>
    <cfRule type="expression" dxfId="78" priority="76" stopIfTrue="1">
      <formula>$G1="HH-TB"</formula>
    </cfRule>
    <cfRule type="expression" dxfId="77" priority="77" stopIfTrue="1">
      <formula>$G1="CNK"</formula>
    </cfRule>
    <cfRule type="expression" dxfId="76" priority="78" stopIfTrue="1">
      <formula>$G1="Chuyển"</formula>
    </cfRule>
    <cfRule type="expression" dxfId="75" priority="79" stopIfTrue="1">
      <formula>$G1="Nghỉ"</formula>
    </cfRule>
    <cfRule type="expression" dxfId="74" priority="80" stopIfTrue="1">
      <formula>$G1="TK.C"</formula>
    </cfRule>
    <cfRule type="expression" dxfId="73" priority="81" stopIfTrue="1">
      <formula>$G1="Loại C"</formula>
    </cfRule>
    <cfRule type="expression" dxfId="72" priority="82" stopIfTrue="1">
      <formula>$G1="Nhỏ lẻ"</formula>
    </cfRule>
    <cfRule type="expression" dxfId="71" priority="83" stopIfTrue="1">
      <formula>$G1="Xem lại"</formula>
    </cfRule>
    <cfRule type="expression" dxfId="70" priority="84" stopIfTrue="1">
      <formula>$G1="Đg KT"</formula>
    </cfRule>
  </conditionalFormatting>
  <conditionalFormatting sqref="AA1:AB1 AA3:AB3">
    <cfRule type="expression" dxfId="69" priority="57" stopIfTrue="1">
      <formula>$G1="HĐ"</formula>
    </cfRule>
  </conditionalFormatting>
  <conditionalFormatting sqref="AA1:AB1 AA3:AB3">
    <cfRule type="expression" dxfId="68" priority="58" stopIfTrue="1">
      <formula>$G1="HĐ,ĐK"</formula>
    </cfRule>
    <cfRule type="expression" dxfId="67" priority="59" stopIfTrue="1">
      <formula>$G1="HĐ,CL"</formula>
    </cfRule>
    <cfRule type="expression" dxfId="66" priority="60" stopIfTrue="1">
      <formula>$G1="TN"</formula>
    </cfRule>
    <cfRule type="expression" dxfId="65" priority="61" stopIfTrue="1">
      <formula>$G1="HH"</formula>
    </cfRule>
    <cfRule type="expression" dxfId="64" priority="62" stopIfTrue="1">
      <formula>$G1="HH-TB"</formula>
    </cfRule>
    <cfRule type="expression" dxfId="63" priority="63" stopIfTrue="1">
      <formula>$G1="CNK"</formula>
    </cfRule>
    <cfRule type="expression" dxfId="62" priority="64" stopIfTrue="1">
      <formula>$G1="Chuyển"</formula>
    </cfRule>
    <cfRule type="expression" dxfId="61" priority="65" stopIfTrue="1">
      <formula>$G1="Nghỉ"</formula>
    </cfRule>
    <cfRule type="expression" dxfId="60" priority="66" stopIfTrue="1">
      <formula>$G1="TK.C"</formula>
    </cfRule>
    <cfRule type="expression" dxfId="59" priority="67" stopIfTrue="1">
      <formula>$G1="Loại C"</formula>
    </cfRule>
    <cfRule type="expression" dxfId="58" priority="68" stopIfTrue="1">
      <formula>$G1="Nhỏ lẻ"</formula>
    </cfRule>
    <cfRule type="expression" dxfId="57" priority="69" stopIfTrue="1">
      <formula>$G1="Xem lại"</formula>
    </cfRule>
    <cfRule type="expression" dxfId="56" priority="70" stopIfTrue="1">
      <formula>$G1="Đg KT"</formula>
    </cfRule>
  </conditionalFormatting>
  <conditionalFormatting sqref="AD1:AG1">
    <cfRule type="expression" dxfId="55" priority="43" stopIfTrue="1">
      <formula>$G1="HĐ"</formula>
    </cfRule>
  </conditionalFormatting>
  <conditionalFormatting sqref="AD1:AG1">
    <cfRule type="expression" dxfId="54" priority="44" stopIfTrue="1">
      <formula>$G1="HĐ,ĐK"</formula>
    </cfRule>
    <cfRule type="expression" dxfId="53" priority="45" stopIfTrue="1">
      <formula>$G1="HĐ,CL"</formula>
    </cfRule>
    <cfRule type="expression" dxfId="52" priority="46" stopIfTrue="1">
      <formula>$G1="TN"</formula>
    </cfRule>
    <cfRule type="expression" dxfId="51" priority="47" stopIfTrue="1">
      <formula>$G1="HH"</formula>
    </cfRule>
    <cfRule type="expression" dxfId="50" priority="48" stopIfTrue="1">
      <formula>$G1="HH-TB"</formula>
    </cfRule>
    <cfRule type="expression" dxfId="49" priority="49" stopIfTrue="1">
      <formula>$G1="CNK"</formula>
    </cfRule>
    <cfRule type="expression" dxfId="48" priority="50" stopIfTrue="1">
      <formula>$G1="Chuyển"</formula>
    </cfRule>
    <cfRule type="expression" dxfId="47" priority="51" stopIfTrue="1">
      <formula>$G1="Nghỉ"</formula>
    </cfRule>
    <cfRule type="expression" dxfId="46" priority="52" stopIfTrue="1">
      <formula>$G1="TK.C"</formula>
    </cfRule>
    <cfRule type="expression" dxfId="45" priority="53" stopIfTrue="1">
      <formula>$G1="Loại C"</formula>
    </cfRule>
    <cfRule type="expression" dxfId="44" priority="54" stopIfTrue="1">
      <formula>$G1="Nhỏ lẻ"</formula>
    </cfRule>
    <cfRule type="expression" dxfId="43" priority="55" stopIfTrue="1">
      <formula>$G1="Xem lại"</formula>
    </cfRule>
    <cfRule type="expression" dxfId="42" priority="56" stopIfTrue="1">
      <formula>$G1="Đg KT"</formula>
    </cfRule>
  </conditionalFormatting>
  <conditionalFormatting sqref="AG3">
    <cfRule type="expression" dxfId="41" priority="29" stopIfTrue="1">
      <formula>$G3="HĐ"</formula>
    </cfRule>
  </conditionalFormatting>
  <conditionalFormatting sqref="AG3">
    <cfRule type="expression" dxfId="40" priority="30" stopIfTrue="1">
      <formula>$G3="HĐ,ĐK"</formula>
    </cfRule>
    <cfRule type="expression" dxfId="39" priority="31" stopIfTrue="1">
      <formula>$G3="HĐ,CL"</formula>
    </cfRule>
    <cfRule type="expression" dxfId="38" priority="32" stopIfTrue="1">
      <formula>$G3="TN"</formula>
    </cfRule>
    <cfRule type="expression" dxfId="37" priority="33" stopIfTrue="1">
      <formula>$G3="HH"</formula>
    </cfRule>
    <cfRule type="expression" dxfId="36" priority="34" stopIfTrue="1">
      <formula>$G3="HH-TB"</formula>
    </cfRule>
    <cfRule type="expression" dxfId="35" priority="35" stopIfTrue="1">
      <formula>$G3="CNK"</formula>
    </cfRule>
    <cfRule type="expression" dxfId="34" priority="36" stopIfTrue="1">
      <formula>$G3="Chuyển"</formula>
    </cfRule>
    <cfRule type="expression" dxfId="33" priority="37" stopIfTrue="1">
      <formula>$G3="Nghỉ"</formula>
    </cfRule>
    <cfRule type="expression" dxfId="32" priority="38" stopIfTrue="1">
      <formula>$G3="TK.C"</formula>
    </cfRule>
    <cfRule type="expression" dxfId="31" priority="39" stopIfTrue="1">
      <formula>$G3="Loại C"</formula>
    </cfRule>
    <cfRule type="expression" dxfId="30" priority="40" stopIfTrue="1">
      <formula>$G3="Nhỏ lẻ"</formula>
    </cfRule>
    <cfRule type="expression" dxfId="29" priority="41" stopIfTrue="1">
      <formula>$G3="Xem lại"</formula>
    </cfRule>
    <cfRule type="expression" dxfId="28" priority="42" stopIfTrue="1">
      <formula>$G3="Đg KT"</formula>
    </cfRule>
  </conditionalFormatting>
  <conditionalFormatting sqref="AD3">
    <cfRule type="expression" dxfId="27" priority="15" stopIfTrue="1">
      <formula>$G3="HĐ"</formula>
    </cfRule>
  </conditionalFormatting>
  <conditionalFormatting sqref="AD3">
    <cfRule type="expression" dxfId="26" priority="16" stopIfTrue="1">
      <formula>$G3="HĐ,ĐK"</formula>
    </cfRule>
    <cfRule type="expression" dxfId="25" priority="17" stopIfTrue="1">
      <formula>$G3="HĐ,CL"</formula>
    </cfRule>
    <cfRule type="expression" dxfId="24" priority="18" stopIfTrue="1">
      <formula>$G3="TN"</formula>
    </cfRule>
    <cfRule type="expression" dxfId="23" priority="19" stopIfTrue="1">
      <formula>$G3="HH"</formula>
    </cfRule>
    <cfRule type="expression" dxfId="22" priority="20" stopIfTrue="1">
      <formula>$G3="HH-TB"</formula>
    </cfRule>
    <cfRule type="expression" dxfId="21" priority="21" stopIfTrue="1">
      <formula>$G3="CNK"</formula>
    </cfRule>
    <cfRule type="expression" dxfId="20" priority="22" stopIfTrue="1">
      <formula>$G3="Chuyển"</formula>
    </cfRule>
    <cfRule type="expression" dxfId="19" priority="23" stopIfTrue="1">
      <formula>$G3="Nghỉ"</formula>
    </cfRule>
    <cfRule type="expression" dxfId="18" priority="24" stopIfTrue="1">
      <formula>$G3="TK.C"</formula>
    </cfRule>
    <cfRule type="expression" dxfId="17" priority="25" stopIfTrue="1">
      <formula>$G3="Loại C"</formula>
    </cfRule>
    <cfRule type="expression" dxfId="16" priority="26" stopIfTrue="1">
      <formula>$G3="Nhỏ lẻ"</formula>
    </cfRule>
    <cfRule type="expression" dxfId="15" priority="27" stopIfTrue="1">
      <formula>$G3="Xem lại"</formula>
    </cfRule>
    <cfRule type="expression" dxfId="14" priority="28" stopIfTrue="1">
      <formula>$G3="Đg KT"</formula>
    </cfRule>
  </conditionalFormatting>
  <conditionalFormatting sqref="AE3:AF3">
    <cfRule type="expression" dxfId="13" priority="1" stopIfTrue="1">
      <formula>$G3="HĐ"</formula>
    </cfRule>
  </conditionalFormatting>
  <conditionalFormatting sqref="AE3:AF3">
    <cfRule type="expression" dxfId="12" priority="2" stopIfTrue="1">
      <formula>$G3="HĐ,ĐK"</formula>
    </cfRule>
    <cfRule type="expression" dxfId="11" priority="3" stopIfTrue="1">
      <formula>$G3="HĐ,CL"</formula>
    </cfRule>
    <cfRule type="expression" dxfId="10" priority="4" stopIfTrue="1">
      <formula>$G3="TN"</formula>
    </cfRule>
    <cfRule type="expression" dxfId="9" priority="5" stopIfTrue="1">
      <formula>$G3="HH"</formula>
    </cfRule>
    <cfRule type="expression" dxfId="8" priority="6" stopIfTrue="1">
      <formula>$G3="HH-TB"</formula>
    </cfRule>
    <cfRule type="expression" dxfId="7" priority="7" stopIfTrue="1">
      <formula>$G3="CNK"</formula>
    </cfRule>
    <cfRule type="expression" dxfId="6" priority="8" stopIfTrue="1">
      <formula>$G3="Chuyển"</formula>
    </cfRule>
    <cfRule type="expression" dxfId="5" priority="9" stopIfTrue="1">
      <formula>$G3="Nghỉ"</formula>
    </cfRule>
    <cfRule type="expression" dxfId="4" priority="10" stopIfTrue="1">
      <formula>$G3="TK.C"</formula>
    </cfRule>
    <cfRule type="expression" dxfId="3" priority="11" stopIfTrue="1">
      <formula>$G3="Loại C"</formula>
    </cfRule>
    <cfRule type="expression" dxfId="2" priority="12" stopIfTrue="1">
      <formula>$G3="Nhỏ lẻ"</formula>
    </cfRule>
    <cfRule type="expression" dxfId="1" priority="13" stopIfTrue="1">
      <formula>$G3="Xem lại"</formula>
    </cfRule>
    <cfRule type="expression" dxfId="0" priority="14" stopIfTrue="1">
      <formula>$G3="Đg KT"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2024-03-05T04:16:02Z</dcterms:created>
  <dcterms:modified xsi:type="dcterms:W3CDTF">2024-03-05T05:01:01Z</dcterms:modified>
</cp:coreProperties>
</file>