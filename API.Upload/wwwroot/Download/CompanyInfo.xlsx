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GK\Code\BenTre2024\API.Upload\wwwroot\Download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O3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ED1" i="1"/>
  <c r="EC1" i="1"/>
  <c r="EB1" i="1"/>
  <c r="EA1" i="1"/>
  <c r="D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<sst xmlns="http://schemas.openxmlformats.org/spreadsheetml/2006/main" count="132" uniqueCount="34">
  <si>
    <t>STT</t>
  </si>
  <si>
    <t>Qui mô</t>
  </si>
  <si>
    <t>Số ĐKKD</t>
  </si>
  <si>
    <t>Ngày cấp ĐKKD</t>
  </si>
  <si>
    <t>Số cấp</t>
  </si>
  <si>
    <t>Nhóm</t>
  </si>
  <si>
    <t>Tình trạng</t>
  </si>
  <si>
    <t>MS</t>
  </si>
  <si>
    <t>Tên cơ sở</t>
  </si>
  <si>
    <t>Họ và tên
chủ cơ sở</t>
  </si>
  <si>
    <t>Loại hình</t>
  </si>
  <si>
    <t>Sản phẩm</t>
  </si>
  <si>
    <t>Điện thoại</t>
  </si>
  <si>
    <t>Địa chỉ</t>
  </si>
  <si>
    <t xml:space="preserve">Huyện </t>
  </si>
  <si>
    <t>Xã/Phường/TT</t>
  </si>
  <si>
    <t>Số, Đường, Ấp, Kp.</t>
  </si>
  <si>
    <t>Công suất thiết kế (tấn/tháng)</t>
  </si>
  <si>
    <t>Sản lượng (tấn/tháng)</t>
  </si>
  <si>
    <t>Thị trường tiêu thụ</t>
  </si>
  <si>
    <t>Lao động  (người)</t>
  </si>
  <si>
    <t>Chương trình QLCL</t>
  </si>
  <si>
    <t>Lần 1</t>
  </si>
  <si>
    <t>Ng</t>
  </si>
  <si>
    <t>Thg</t>
  </si>
  <si>
    <t>XL</t>
  </si>
  <si>
    <t>Lần 2</t>
  </si>
  <si>
    <t>Lần</t>
  </si>
  <si>
    <t>Th</t>
  </si>
  <si>
    <t>ĐK</t>
  </si>
  <si>
    <t>HH</t>
  </si>
  <si>
    <t>Ghi chú</t>
  </si>
  <si>
    <t>Ghi chú khác</t>
  </si>
  <si>
    <r>
      <t>Diện tích (m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</si>
</sst>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dd/mm"/>
    <numFmt numFmtId="166" formatCode="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2"/>
      <color rgb="FFFF0000"/>
      <name val="Times New Roman"/>
      <family val="1"/>
    </font>
    <font>
      <sz val="12"/>
      <color rgb="FFC00000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rgb="FFC00000"/>
      <name val="Times New Roman"/>
      <family val="1"/>
      <charset val="163"/>
    </font>
    <font>
      <b/>
      <vertAlign val="superscript"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1" fontId="5" fillId="2" borderId="0" xfId="0" applyNumberFormat="1" applyFont="1" applyFill="1" applyAlignment="1">
      <alignment vertical="center"/>
    </xf>
    <xf numFmtId="1" fontId="5" fillId="3" borderId="0" xfId="0" applyNumberFormat="1" applyFont="1" applyFill="1" applyAlignment="1">
      <alignment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0" borderId="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49" fontId="5" fillId="0" borderId="2" xfId="2" applyNumberFormat="1" applyFont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 wrapText="1"/>
    </xf>
    <xf numFmtId="165" fontId="5" fillId="5" borderId="1" xfId="2" applyNumberFormat="1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165" fontId="5" fillId="6" borderId="1" xfId="2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166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166" fontId="5" fillId="6" borderId="1" xfId="0" applyNumberFormat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200"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499984740745262"/>
        </patternFill>
      </fill>
    </dxf>
    <dxf>
      <font>
        <color theme="1"/>
      </font>
      <fill>
        <patternFill>
          <bgColor theme="4" tint="-0.24994659260841701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theme="1"/>
      </font>
      <fill>
        <patternFill patternType="none">
          <bgColor indexed="65"/>
        </patternFill>
      </fill>
    </dxf>
    <dxf>
      <font>
        <color theme="1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3"/>
  <sheetViews>
    <sheetView tabSelected="1" topLeftCell="N1" workbookViewId="0">
      <selection activeCell="N4" sqref="A4:XFD4"/>
    </sheetView>
  </sheetViews>
  <sheetFormatPr defaultRowHeight="15.75" x14ac:dyDescent="0.25"/>
  <cols>
    <col min="1" max="16384" width="9.140625" style="13"/>
  </cols>
  <sheetData>
    <row r="1" spans="1:134" x14ac:dyDescent="0.25">
      <c r="A1" s="1"/>
      <c r="B1" s="2">
        <f t="shared" ref="B1:Y1" si="0">SUBTOTAL(3,B$4:B$1048576)</f>
        <v>0</v>
      </c>
      <c r="C1" s="2">
        <f t="shared" si="0"/>
        <v>0</v>
      </c>
      <c r="D1" s="2">
        <f t="shared" si="0"/>
        <v>0</v>
      </c>
      <c r="E1" s="2">
        <f t="shared" si="0"/>
        <v>0</v>
      </c>
      <c r="F1" s="2">
        <f t="shared" si="0"/>
        <v>0</v>
      </c>
      <c r="G1" s="2">
        <f t="shared" si="0"/>
        <v>0</v>
      </c>
      <c r="H1" s="2">
        <f t="shared" si="0"/>
        <v>0</v>
      </c>
      <c r="I1" s="2">
        <f t="shared" si="0"/>
        <v>0</v>
      </c>
      <c r="J1" s="2">
        <f t="shared" si="0"/>
        <v>0</v>
      </c>
      <c r="K1" s="2">
        <f t="shared" si="0"/>
        <v>0</v>
      </c>
      <c r="L1" s="2">
        <f t="shared" si="0"/>
        <v>0</v>
      </c>
      <c r="M1" s="2">
        <f t="shared" si="0"/>
        <v>0</v>
      </c>
      <c r="N1" s="2">
        <f t="shared" si="0"/>
        <v>0</v>
      </c>
      <c r="O1" s="2">
        <f t="shared" si="0"/>
        <v>0</v>
      </c>
      <c r="P1" s="2">
        <f t="shared" si="0"/>
        <v>0</v>
      </c>
      <c r="Q1" s="2">
        <f t="shared" si="0"/>
        <v>0</v>
      </c>
      <c r="R1" s="2">
        <f t="shared" si="0"/>
        <v>0</v>
      </c>
      <c r="S1" s="2">
        <f t="shared" si="0"/>
        <v>0</v>
      </c>
      <c r="T1" s="2">
        <f t="shared" si="0"/>
        <v>0</v>
      </c>
      <c r="U1" s="2">
        <f t="shared" si="0"/>
        <v>0</v>
      </c>
      <c r="V1" s="2">
        <f t="shared" si="0"/>
        <v>0</v>
      </c>
      <c r="W1" s="2">
        <f t="shared" si="0"/>
        <v>0</v>
      </c>
      <c r="X1" s="2">
        <f t="shared" si="0"/>
        <v>0</v>
      </c>
      <c r="Y1" s="2">
        <f t="shared" si="0"/>
        <v>0</v>
      </c>
      <c r="Z1" s="3"/>
      <c r="AA1" s="3">
        <v>2</v>
      </c>
      <c r="AB1" s="3">
        <v>0</v>
      </c>
      <c r="AC1" s="3">
        <v>1</v>
      </c>
      <c r="AD1" s="3">
        <v>3</v>
      </c>
      <c r="AE1" s="3"/>
      <c r="AF1" s="3"/>
      <c r="AG1" s="3"/>
      <c r="AH1" s="4"/>
      <c r="AI1" s="4">
        <v>2</v>
      </c>
      <c r="AJ1" s="4">
        <v>0</v>
      </c>
      <c r="AK1" s="4">
        <v>1</v>
      </c>
      <c r="AL1" s="4">
        <v>4</v>
      </c>
      <c r="AM1" s="4"/>
      <c r="AN1" s="4"/>
      <c r="AO1" s="4"/>
      <c r="AP1" s="3"/>
      <c r="AQ1" s="3">
        <v>2</v>
      </c>
      <c r="AR1" s="3">
        <v>0</v>
      </c>
      <c r="AS1" s="3">
        <v>1</v>
      </c>
      <c r="AT1" s="3">
        <v>5</v>
      </c>
      <c r="AU1" s="3"/>
      <c r="AV1" s="3"/>
      <c r="AW1" s="3"/>
      <c r="AX1" s="4"/>
      <c r="AY1" s="4">
        <v>2</v>
      </c>
      <c r="AZ1" s="4">
        <v>0</v>
      </c>
      <c r="BA1" s="4">
        <v>1</v>
      </c>
      <c r="BB1" s="4">
        <v>6</v>
      </c>
      <c r="BC1" s="4"/>
      <c r="BD1" s="4"/>
      <c r="BE1" s="4"/>
      <c r="BF1" s="3"/>
      <c r="BG1" s="3">
        <v>2</v>
      </c>
      <c r="BH1" s="3">
        <v>0</v>
      </c>
      <c r="BI1" s="3">
        <v>1</v>
      </c>
      <c r="BJ1" s="3">
        <v>7</v>
      </c>
      <c r="BK1" s="3"/>
      <c r="BL1" s="3"/>
      <c r="BM1" s="3"/>
      <c r="BN1" s="5"/>
      <c r="BO1" s="6">
        <v>2</v>
      </c>
      <c r="BP1" s="6">
        <v>0</v>
      </c>
      <c r="BQ1" s="6">
        <v>1</v>
      </c>
      <c r="BR1" s="6">
        <v>8</v>
      </c>
      <c r="BS1" s="6"/>
      <c r="BT1" s="6"/>
      <c r="BU1" s="6"/>
      <c r="BV1" s="7"/>
      <c r="BW1" s="8">
        <v>2</v>
      </c>
      <c r="BX1" s="8">
        <v>0</v>
      </c>
      <c r="BY1" s="8">
        <v>1</v>
      </c>
      <c r="BZ1" s="8">
        <v>9</v>
      </c>
      <c r="CA1" s="8"/>
      <c r="CB1" s="8"/>
      <c r="CC1" s="8"/>
      <c r="CD1" s="5"/>
      <c r="CE1" s="6">
        <v>2</v>
      </c>
      <c r="CF1" s="6">
        <v>0</v>
      </c>
      <c r="CG1" s="6">
        <v>2</v>
      </c>
      <c r="CH1" s="6">
        <v>0</v>
      </c>
      <c r="CI1" s="6"/>
      <c r="CJ1" s="6"/>
      <c r="CK1" s="6"/>
      <c r="CL1" s="8"/>
      <c r="CM1" s="9">
        <v>2</v>
      </c>
      <c r="CN1" s="8">
        <v>0</v>
      </c>
      <c r="CO1" s="8">
        <v>2</v>
      </c>
      <c r="CP1" s="8">
        <v>1</v>
      </c>
      <c r="CQ1" s="8"/>
      <c r="CR1" s="8"/>
      <c r="CS1" s="8"/>
      <c r="CT1" s="6"/>
      <c r="CU1" s="10">
        <v>2</v>
      </c>
      <c r="CV1" s="6">
        <v>0</v>
      </c>
      <c r="CW1" s="6">
        <v>2</v>
      </c>
      <c r="CX1" s="6">
        <v>2</v>
      </c>
      <c r="CY1" s="6"/>
      <c r="CZ1" s="6"/>
      <c r="DA1" s="6"/>
      <c r="DB1" s="8"/>
      <c r="DC1" s="9">
        <v>2</v>
      </c>
      <c r="DD1" s="8">
        <v>0</v>
      </c>
      <c r="DE1" s="8">
        <v>2</v>
      </c>
      <c r="DF1" s="8">
        <v>3</v>
      </c>
      <c r="DG1" s="8"/>
      <c r="DH1" s="8"/>
      <c r="DI1" s="8"/>
      <c r="DJ1" s="6"/>
      <c r="DK1" s="10">
        <v>2</v>
      </c>
      <c r="DL1" s="6">
        <v>0</v>
      </c>
      <c r="DM1" s="6">
        <v>2</v>
      </c>
      <c r="DN1" s="6">
        <v>4</v>
      </c>
      <c r="DO1" s="6"/>
      <c r="DP1" s="6"/>
      <c r="DQ1" s="6"/>
      <c r="DR1" s="11"/>
      <c r="DS1" s="12">
        <v>2</v>
      </c>
      <c r="DT1" s="11">
        <v>0</v>
      </c>
      <c r="DU1" s="11">
        <v>2</v>
      </c>
      <c r="DV1" s="11">
        <v>4</v>
      </c>
      <c r="DW1" s="11"/>
      <c r="DX1" s="11"/>
      <c r="DY1" s="11"/>
      <c r="DZ1" s="2">
        <f>SUBTOTAL(3,DZ$4:DZ$1048576)</f>
        <v>0</v>
      </c>
      <c r="EA1" s="2">
        <f>SUBTOTAL(3,EA$4:EA$1048576)</f>
        <v>0</v>
      </c>
      <c r="EB1" s="2">
        <f>SUBTOTAL(3,EB$4:EB$1048576)</f>
        <v>0</v>
      </c>
      <c r="EC1" s="2">
        <f>SUBTOTAL(3,EC$4:EC$1048576)</f>
        <v>0</v>
      </c>
      <c r="ED1" s="2">
        <f>SUBTOTAL(3,ED$4:ED$1048576)</f>
        <v>0</v>
      </c>
    </row>
    <row r="2" spans="1:134" x14ac:dyDescent="0.25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>
        <f t="shared" ref="Z2:CK2" si="1">SUBTOTAL(3,Z$4:Z$1048576)</f>
        <v>0</v>
      </c>
      <c r="AA2" s="15">
        <f t="shared" si="1"/>
        <v>0</v>
      </c>
      <c r="AB2" s="15">
        <f t="shared" si="1"/>
        <v>0</v>
      </c>
      <c r="AC2" s="15">
        <f t="shared" si="1"/>
        <v>0</v>
      </c>
      <c r="AD2" s="15">
        <f t="shared" si="1"/>
        <v>0</v>
      </c>
      <c r="AE2" s="15">
        <f t="shared" si="1"/>
        <v>0</v>
      </c>
      <c r="AF2" s="15">
        <f t="shared" si="1"/>
        <v>0</v>
      </c>
      <c r="AG2" s="15">
        <f t="shared" si="1"/>
        <v>0</v>
      </c>
      <c r="AH2" s="16">
        <f t="shared" si="1"/>
        <v>0</v>
      </c>
      <c r="AI2" s="16">
        <f t="shared" si="1"/>
        <v>0</v>
      </c>
      <c r="AJ2" s="16">
        <f t="shared" si="1"/>
        <v>0</v>
      </c>
      <c r="AK2" s="16">
        <f t="shared" si="1"/>
        <v>0</v>
      </c>
      <c r="AL2" s="16">
        <f t="shared" si="1"/>
        <v>0</v>
      </c>
      <c r="AM2" s="16">
        <f t="shared" si="1"/>
        <v>0</v>
      </c>
      <c r="AN2" s="16">
        <f t="shared" si="1"/>
        <v>0</v>
      </c>
      <c r="AO2" s="16">
        <f t="shared" si="1"/>
        <v>0</v>
      </c>
      <c r="AP2" s="15">
        <f t="shared" si="1"/>
        <v>0</v>
      </c>
      <c r="AQ2" s="15">
        <f t="shared" si="1"/>
        <v>0</v>
      </c>
      <c r="AR2" s="15">
        <f t="shared" si="1"/>
        <v>0</v>
      </c>
      <c r="AS2" s="15">
        <f t="shared" si="1"/>
        <v>0</v>
      </c>
      <c r="AT2" s="15">
        <f t="shared" si="1"/>
        <v>0</v>
      </c>
      <c r="AU2" s="15">
        <f t="shared" si="1"/>
        <v>0</v>
      </c>
      <c r="AV2" s="15">
        <f t="shared" si="1"/>
        <v>0</v>
      </c>
      <c r="AW2" s="15">
        <f t="shared" si="1"/>
        <v>0</v>
      </c>
      <c r="AX2" s="16">
        <f t="shared" si="1"/>
        <v>0</v>
      </c>
      <c r="AY2" s="16">
        <f t="shared" si="1"/>
        <v>0</v>
      </c>
      <c r="AZ2" s="16">
        <f t="shared" si="1"/>
        <v>0</v>
      </c>
      <c r="BA2" s="16">
        <f t="shared" si="1"/>
        <v>0</v>
      </c>
      <c r="BB2" s="16">
        <f t="shared" si="1"/>
        <v>0</v>
      </c>
      <c r="BC2" s="16">
        <f t="shared" si="1"/>
        <v>0</v>
      </c>
      <c r="BD2" s="16">
        <f t="shared" si="1"/>
        <v>0</v>
      </c>
      <c r="BE2" s="16">
        <f t="shared" si="1"/>
        <v>0</v>
      </c>
      <c r="BF2" s="15">
        <f t="shared" si="1"/>
        <v>0</v>
      </c>
      <c r="BG2" s="15">
        <f t="shared" si="1"/>
        <v>0</v>
      </c>
      <c r="BH2" s="15">
        <f t="shared" si="1"/>
        <v>0</v>
      </c>
      <c r="BI2" s="15">
        <f t="shared" si="1"/>
        <v>0</v>
      </c>
      <c r="BJ2" s="15">
        <f t="shared" si="1"/>
        <v>0</v>
      </c>
      <c r="BK2" s="15">
        <f t="shared" si="1"/>
        <v>0</v>
      </c>
      <c r="BL2" s="15">
        <f t="shared" si="1"/>
        <v>0</v>
      </c>
      <c r="BM2" s="15">
        <f t="shared" si="1"/>
        <v>0</v>
      </c>
      <c r="BN2" s="16">
        <f t="shared" si="1"/>
        <v>0</v>
      </c>
      <c r="BO2" s="16">
        <f t="shared" si="1"/>
        <v>0</v>
      </c>
      <c r="BP2" s="16">
        <f t="shared" si="1"/>
        <v>0</v>
      </c>
      <c r="BQ2" s="16">
        <f t="shared" si="1"/>
        <v>0</v>
      </c>
      <c r="BR2" s="16">
        <f t="shared" si="1"/>
        <v>0</v>
      </c>
      <c r="BS2" s="16">
        <f t="shared" si="1"/>
        <v>0</v>
      </c>
      <c r="BT2" s="16">
        <f t="shared" si="1"/>
        <v>0</v>
      </c>
      <c r="BU2" s="16">
        <f t="shared" si="1"/>
        <v>0</v>
      </c>
      <c r="BV2" s="15">
        <f t="shared" si="1"/>
        <v>0</v>
      </c>
      <c r="BW2" s="15">
        <f t="shared" si="1"/>
        <v>0</v>
      </c>
      <c r="BX2" s="15">
        <f t="shared" si="1"/>
        <v>0</v>
      </c>
      <c r="BY2" s="15">
        <f t="shared" si="1"/>
        <v>0</v>
      </c>
      <c r="BZ2" s="15">
        <f t="shared" si="1"/>
        <v>0</v>
      </c>
      <c r="CA2" s="15">
        <f t="shared" si="1"/>
        <v>0</v>
      </c>
      <c r="CB2" s="15">
        <f t="shared" si="1"/>
        <v>0</v>
      </c>
      <c r="CC2" s="15">
        <f t="shared" si="1"/>
        <v>0</v>
      </c>
      <c r="CD2" s="16">
        <f t="shared" si="1"/>
        <v>0</v>
      </c>
      <c r="CE2" s="16">
        <f t="shared" si="1"/>
        <v>0</v>
      </c>
      <c r="CF2" s="16">
        <f t="shared" si="1"/>
        <v>0</v>
      </c>
      <c r="CG2" s="16">
        <f t="shared" si="1"/>
        <v>0</v>
      </c>
      <c r="CH2" s="16">
        <f t="shared" si="1"/>
        <v>0</v>
      </c>
      <c r="CI2" s="16">
        <f t="shared" si="1"/>
        <v>0</v>
      </c>
      <c r="CJ2" s="16">
        <f t="shared" si="1"/>
        <v>0</v>
      </c>
      <c r="CK2" s="16">
        <f t="shared" si="1"/>
        <v>0</v>
      </c>
      <c r="CL2" s="15">
        <f t="shared" ref="CL2:DY2" si="2">SUBTOTAL(3,CL$4:CL$1048576)</f>
        <v>0</v>
      </c>
      <c r="CM2" s="15">
        <f t="shared" si="2"/>
        <v>0</v>
      </c>
      <c r="CN2" s="15">
        <f t="shared" si="2"/>
        <v>0</v>
      </c>
      <c r="CO2" s="15">
        <f t="shared" si="2"/>
        <v>0</v>
      </c>
      <c r="CP2" s="15">
        <f t="shared" si="2"/>
        <v>0</v>
      </c>
      <c r="CQ2" s="15">
        <f t="shared" si="2"/>
        <v>0</v>
      </c>
      <c r="CR2" s="15">
        <f t="shared" si="2"/>
        <v>0</v>
      </c>
      <c r="CS2" s="15">
        <f t="shared" si="2"/>
        <v>0</v>
      </c>
      <c r="CT2" s="16">
        <f t="shared" si="2"/>
        <v>0</v>
      </c>
      <c r="CU2" s="16">
        <f t="shared" si="2"/>
        <v>0</v>
      </c>
      <c r="CV2" s="16">
        <f t="shared" si="2"/>
        <v>0</v>
      </c>
      <c r="CW2" s="16">
        <f t="shared" si="2"/>
        <v>0</v>
      </c>
      <c r="CX2" s="16">
        <f t="shared" si="2"/>
        <v>0</v>
      </c>
      <c r="CY2" s="16">
        <f t="shared" si="2"/>
        <v>0</v>
      </c>
      <c r="CZ2" s="16">
        <f t="shared" si="2"/>
        <v>0</v>
      </c>
      <c r="DA2" s="16">
        <f t="shared" si="2"/>
        <v>0</v>
      </c>
      <c r="DB2" s="15">
        <f t="shared" si="2"/>
        <v>0</v>
      </c>
      <c r="DC2" s="15">
        <f t="shared" si="2"/>
        <v>0</v>
      </c>
      <c r="DD2" s="15">
        <f t="shared" si="2"/>
        <v>0</v>
      </c>
      <c r="DE2" s="15">
        <f t="shared" si="2"/>
        <v>0</v>
      </c>
      <c r="DF2" s="15">
        <f t="shared" si="2"/>
        <v>0</v>
      </c>
      <c r="DG2" s="15">
        <f t="shared" si="2"/>
        <v>0</v>
      </c>
      <c r="DH2" s="15">
        <f t="shared" si="2"/>
        <v>0</v>
      </c>
      <c r="DI2" s="15">
        <f t="shared" si="2"/>
        <v>0</v>
      </c>
      <c r="DJ2" s="15">
        <f t="shared" si="2"/>
        <v>0</v>
      </c>
      <c r="DK2" s="15">
        <f t="shared" si="2"/>
        <v>0</v>
      </c>
      <c r="DL2" s="15">
        <f t="shared" si="2"/>
        <v>0</v>
      </c>
      <c r="DM2" s="15">
        <f t="shared" si="2"/>
        <v>0</v>
      </c>
      <c r="DN2" s="15">
        <f t="shared" si="2"/>
        <v>0</v>
      </c>
      <c r="DO2" s="15">
        <f t="shared" si="2"/>
        <v>0</v>
      </c>
      <c r="DP2" s="15">
        <f t="shared" si="2"/>
        <v>0</v>
      </c>
      <c r="DQ2" s="15">
        <f t="shared" si="2"/>
        <v>0</v>
      </c>
      <c r="DR2" s="15">
        <f t="shared" si="2"/>
        <v>0</v>
      </c>
      <c r="DS2" s="15">
        <f t="shared" si="2"/>
        <v>0</v>
      </c>
      <c r="DT2" s="15">
        <f t="shared" si="2"/>
        <v>0</v>
      </c>
      <c r="DU2" s="15">
        <f t="shared" si="2"/>
        <v>0</v>
      </c>
      <c r="DV2" s="15">
        <f t="shared" si="2"/>
        <v>0</v>
      </c>
      <c r="DW2" s="15">
        <f t="shared" si="2"/>
        <v>0</v>
      </c>
      <c r="DX2" s="15">
        <f t="shared" si="2"/>
        <v>0</v>
      </c>
      <c r="DY2" s="15">
        <f t="shared" si="2"/>
        <v>0</v>
      </c>
      <c r="DZ2" s="14"/>
      <c r="EA2" s="14"/>
      <c r="EB2" s="14"/>
      <c r="EC2" s="14"/>
      <c r="ED2" s="14"/>
    </row>
    <row r="3" spans="1:134" ht="39.950000000000003" customHeight="1" x14ac:dyDescent="0.25">
      <c r="A3" s="17" t="s">
        <v>0</v>
      </c>
      <c r="B3" s="18" t="s">
        <v>1</v>
      </c>
      <c r="C3" s="18" t="s">
        <v>2</v>
      </c>
      <c r="D3" s="18" t="s">
        <v>3</v>
      </c>
      <c r="E3" s="19" t="s">
        <v>4</v>
      </c>
      <c r="F3" s="18" t="s">
        <v>5</v>
      </c>
      <c r="G3" s="20" t="s">
        <v>6</v>
      </c>
      <c r="H3" s="21" t="s">
        <v>7</v>
      </c>
      <c r="I3" s="17" t="s">
        <v>8</v>
      </c>
      <c r="J3" s="17" t="s">
        <v>9</v>
      </c>
      <c r="K3" s="17" t="s">
        <v>10</v>
      </c>
      <c r="L3" s="17" t="s">
        <v>11</v>
      </c>
      <c r="M3" s="22" t="s">
        <v>12</v>
      </c>
      <c r="N3" s="20" t="s">
        <v>13</v>
      </c>
      <c r="O3" s="20" t="str">
        <f t="shared" ref="O3:P3" si="3">DZ3</f>
        <v>ĐK</v>
      </c>
      <c r="P3" s="20" t="str">
        <f t="shared" si="3"/>
        <v>HH</v>
      </c>
      <c r="Q3" s="17" t="s">
        <v>14</v>
      </c>
      <c r="R3" s="17" t="s">
        <v>15</v>
      </c>
      <c r="S3" s="17" t="s">
        <v>16</v>
      </c>
      <c r="T3" s="23" t="s">
        <v>17</v>
      </c>
      <c r="U3" s="23" t="s">
        <v>18</v>
      </c>
      <c r="V3" s="17" t="s">
        <v>19</v>
      </c>
      <c r="W3" s="23" t="s">
        <v>33</v>
      </c>
      <c r="X3" s="23" t="s">
        <v>20</v>
      </c>
      <c r="Y3" s="17" t="s">
        <v>21</v>
      </c>
      <c r="Z3" s="24" t="s">
        <v>22</v>
      </c>
      <c r="AA3" s="25" t="s">
        <v>23</v>
      </c>
      <c r="AB3" s="25" t="s">
        <v>24</v>
      </c>
      <c r="AC3" s="25" t="s">
        <v>25</v>
      </c>
      <c r="AD3" s="26" t="s">
        <v>26</v>
      </c>
      <c r="AE3" s="27" t="s">
        <v>23</v>
      </c>
      <c r="AF3" s="27" t="s">
        <v>24</v>
      </c>
      <c r="AG3" s="26" t="s">
        <v>25</v>
      </c>
      <c r="AH3" s="24" t="s">
        <v>22</v>
      </c>
      <c r="AI3" s="25" t="s">
        <v>23</v>
      </c>
      <c r="AJ3" s="25" t="s">
        <v>24</v>
      </c>
      <c r="AK3" s="25" t="s">
        <v>25</v>
      </c>
      <c r="AL3" s="26" t="s">
        <v>26</v>
      </c>
      <c r="AM3" s="27" t="s">
        <v>23</v>
      </c>
      <c r="AN3" s="27" t="s">
        <v>24</v>
      </c>
      <c r="AO3" s="26" t="s">
        <v>25</v>
      </c>
      <c r="AP3" s="24" t="s">
        <v>22</v>
      </c>
      <c r="AQ3" s="25" t="s">
        <v>23</v>
      </c>
      <c r="AR3" s="25" t="s">
        <v>24</v>
      </c>
      <c r="AS3" s="25" t="s">
        <v>25</v>
      </c>
      <c r="AT3" s="26" t="s">
        <v>26</v>
      </c>
      <c r="AU3" s="27" t="s">
        <v>23</v>
      </c>
      <c r="AV3" s="27" t="s">
        <v>24</v>
      </c>
      <c r="AW3" s="26" t="s">
        <v>25</v>
      </c>
      <c r="AX3" s="24" t="s">
        <v>22</v>
      </c>
      <c r="AY3" s="25" t="s">
        <v>23</v>
      </c>
      <c r="AZ3" s="25" t="s">
        <v>24</v>
      </c>
      <c r="BA3" s="25" t="s">
        <v>25</v>
      </c>
      <c r="BB3" s="26" t="s">
        <v>26</v>
      </c>
      <c r="BC3" s="27" t="s">
        <v>23</v>
      </c>
      <c r="BD3" s="27" t="s">
        <v>24</v>
      </c>
      <c r="BE3" s="26" t="s">
        <v>25</v>
      </c>
      <c r="BF3" s="24" t="s">
        <v>22</v>
      </c>
      <c r="BG3" s="25" t="s">
        <v>23</v>
      </c>
      <c r="BH3" s="25" t="s">
        <v>24</v>
      </c>
      <c r="BI3" s="25" t="s">
        <v>25</v>
      </c>
      <c r="BJ3" s="26" t="s">
        <v>26</v>
      </c>
      <c r="BK3" s="27" t="s">
        <v>23</v>
      </c>
      <c r="BL3" s="27" t="s">
        <v>24</v>
      </c>
      <c r="BM3" s="26" t="s">
        <v>25</v>
      </c>
      <c r="BN3" s="28" t="s">
        <v>22</v>
      </c>
      <c r="BO3" s="29" t="s">
        <v>23</v>
      </c>
      <c r="BP3" s="30" t="s">
        <v>24</v>
      </c>
      <c r="BQ3" s="30" t="s">
        <v>25</v>
      </c>
      <c r="BR3" s="31" t="s">
        <v>26</v>
      </c>
      <c r="BS3" s="31" t="s">
        <v>23</v>
      </c>
      <c r="BT3" s="31" t="s">
        <v>24</v>
      </c>
      <c r="BU3" s="31" t="s">
        <v>25</v>
      </c>
      <c r="BV3" s="28" t="s">
        <v>22</v>
      </c>
      <c r="BW3" s="29" t="s">
        <v>23</v>
      </c>
      <c r="BX3" s="30" t="s">
        <v>24</v>
      </c>
      <c r="BY3" s="30" t="s">
        <v>25</v>
      </c>
      <c r="BZ3" s="31" t="s">
        <v>26</v>
      </c>
      <c r="CA3" s="31" t="s">
        <v>23</v>
      </c>
      <c r="CB3" s="31" t="s">
        <v>24</v>
      </c>
      <c r="CC3" s="31" t="s">
        <v>25</v>
      </c>
      <c r="CD3" s="28" t="s">
        <v>22</v>
      </c>
      <c r="CE3" s="29" t="s">
        <v>23</v>
      </c>
      <c r="CF3" s="30" t="s">
        <v>24</v>
      </c>
      <c r="CG3" s="30" t="s">
        <v>25</v>
      </c>
      <c r="CH3" s="31" t="s">
        <v>26</v>
      </c>
      <c r="CI3" s="31" t="s">
        <v>23</v>
      </c>
      <c r="CJ3" s="31" t="s">
        <v>24</v>
      </c>
      <c r="CK3" s="31" t="s">
        <v>25</v>
      </c>
      <c r="CL3" s="28" t="s">
        <v>22</v>
      </c>
      <c r="CM3" s="32" t="s">
        <v>23</v>
      </c>
      <c r="CN3" s="30" t="s">
        <v>24</v>
      </c>
      <c r="CO3" s="30" t="s">
        <v>25</v>
      </c>
      <c r="CP3" s="33" t="s">
        <v>26</v>
      </c>
      <c r="CQ3" s="34" t="s">
        <v>23</v>
      </c>
      <c r="CR3" s="31" t="s">
        <v>24</v>
      </c>
      <c r="CS3" s="31" t="s">
        <v>25</v>
      </c>
      <c r="CT3" s="28" t="s">
        <v>22</v>
      </c>
      <c r="CU3" s="32" t="s">
        <v>23</v>
      </c>
      <c r="CV3" s="30" t="s">
        <v>24</v>
      </c>
      <c r="CW3" s="30" t="s">
        <v>25</v>
      </c>
      <c r="CX3" s="33" t="s">
        <v>26</v>
      </c>
      <c r="CY3" s="34" t="s">
        <v>23</v>
      </c>
      <c r="CZ3" s="31" t="s">
        <v>24</v>
      </c>
      <c r="DA3" s="31" t="s">
        <v>25</v>
      </c>
      <c r="DB3" s="28" t="s">
        <v>22</v>
      </c>
      <c r="DC3" s="32" t="s">
        <v>23</v>
      </c>
      <c r="DD3" s="30" t="s">
        <v>24</v>
      </c>
      <c r="DE3" s="30" t="s">
        <v>25</v>
      </c>
      <c r="DF3" s="33" t="s">
        <v>26</v>
      </c>
      <c r="DG3" s="34" t="s">
        <v>23</v>
      </c>
      <c r="DH3" s="31" t="s">
        <v>24</v>
      </c>
      <c r="DI3" s="31" t="s">
        <v>25</v>
      </c>
      <c r="DJ3" s="28" t="s">
        <v>22</v>
      </c>
      <c r="DK3" s="32" t="s">
        <v>23</v>
      </c>
      <c r="DL3" s="30" t="s">
        <v>24</v>
      </c>
      <c r="DM3" s="30" t="s">
        <v>25</v>
      </c>
      <c r="DN3" s="33" t="s">
        <v>26</v>
      </c>
      <c r="DO3" s="34" t="s">
        <v>23</v>
      </c>
      <c r="DP3" s="31" t="s">
        <v>24</v>
      </c>
      <c r="DQ3" s="31" t="s">
        <v>25</v>
      </c>
      <c r="DR3" s="28" t="s">
        <v>27</v>
      </c>
      <c r="DS3" s="32" t="s">
        <v>23</v>
      </c>
      <c r="DT3" s="30" t="s">
        <v>28</v>
      </c>
      <c r="DU3" s="30" t="s">
        <v>25</v>
      </c>
      <c r="DV3" s="33" t="s">
        <v>27</v>
      </c>
      <c r="DW3" s="35" t="s">
        <v>23</v>
      </c>
      <c r="DX3" s="31" t="s">
        <v>28</v>
      </c>
      <c r="DY3" s="31" t="s">
        <v>25</v>
      </c>
      <c r="DZ3" s="36" t="s">
        <v>29</v>
      </c>
      <c r="EA3" s="36" t="s">
        <v>30</v>
      </c>
      <c r="EB3" s="37" t="s">
        <v>6</v>
      </c>
      <c r="EC3" s="38" t="s">
        <v>31</v>
      </c>
      <c r="ED3" s="39" t="s">
        <v>32</v>
      </c>
    </row>
  </sheetData>
  <conditionalFormatting sqref="A1:S3 T1:DQ1 DU1 DZ1:ED3 DU3 T3:DQ3 T2:DY2">
    <cfRule type="expression" dxfId="199" priority="86" stopIfTrue="1">
      <formula>$G1="HĐ"</formula>
    </cfRule>
  </conditionalFormatting>
  <conditionalFormatting sqref="I1:I3">
    <cfRule type="duplicateValues" dxfId="197" priority="85"/>
  </conditionalFormatting>
  <conditionalFormatting sqref="J1:J3">
    <cfRule type="duplicateValues" dxfId="195" priority="100"/>
  </conditionalFormatting>
  <conditionalFormatting sqref="A1:S3 T1:DQ1 DU1 DZ1:ED3 DU3 T3:DQ3 T2:DY2">
    <cfRule type="expression" dxfId="193" priority="87" stopIfTrue="1">
      <formula>$G1="HĐ,ĐK"</formula>
    </cfRule>
    <cfRule type="expression" dxfId="192" priority="88" stopIfTrue="1">
      <formula>$G1="HĐ,CL"</formula>
    </cfRule>
    <cfRule type="expression" dxfId="191" priority="89" stopIfTrue="1">
      <formula>$G1="TN"</formula>
    </cfRule>
    <cfRule type="expression" dxfId="190" priority="90" stopIfTrue="1">
      <formula>$G1="HH"</formula>
    </cfRule>
    <cfRule type="expression" dxfId="189" priority="91" stopIfTrue="1">
      <formula>$G1="HH-TB"</formula>
    </cfRule>
    <cfRule type="expression" dxfId="188" priority="92" stopIfTrue="1">
      <formula>$G1="CNK"</formula>
    </cfRule>
    <cfRule type="expression" dxfId="187" priority="93" stopIfTrue="1">
      <formula>$G1="Chuyển"</formula>
    </cfRule>
    <cfRule type="expression" dxfId="186" priority="94" stopIfTrue="1">
      <formula>$G1="Nghỉ"</formula>
    </cfRule>
    <cfRule type="expression" dxfId="185" priority="95" stopIfTrue="1">
      <formula>$G1="TK.C"</formula>
    </cfRule>
    <cfRule type="expression" dxfId="184" priority="96" stopIfTrue="1">
      <formula>$G1="Loại C"</formula>
    </cfRule>
    <cfRule type="expression" dxfId="183" priority="97" stopIfTrue="1">
      <formula>$G1="Nhỏ lẻ"</formula>
    </cfRule>
    <cfRule type="expression" dxfId="182" priority="98" stopIfTrue="1">
      <formula>$G1="Xem lại"</formula>
    </cfRule>
    <cfRule type="expression" dxfId="181" priority="99" stopIfTrue="1">
      <formula>$G1="Đg KT"</formula>
    </cfRule>
  </conditionalFormatting>
  <conditionalFormatting sqref="DR1 DR3">
    <cfRule type="expression" dxfId="167" priority="71" stopIfTrue="1">
      <formula>$G1="HĐ"</formula>
    </cfRule>
  </conditionalFormatting>
  <conditionalFormatting sqref="DR1 DR3">
    <cfRule type="expression" dxfId="165" priority="72" stopIfTrue="1">
      <formula>$G1="HĐ,ĐK"</formula>
    </cfRule>
    <cfRule type="expression" dxfId="164" priority="73" stopIfTrue="1">
      <formula>$G1="HĐ,CL"</formula>
    </cfRule>
    <cfRule type="expression" dxfId="163" priority="74" stopIfTrue="1">
      <formula>$G1="TN"</formula>
    </cfRule>
    <cfRule type="expression" dxfId="162" priority="75" stopIfTrue="1">
      <formula>$G1="HH"</formula>
    </cfRule>
    <cfRule type="expression" dxfId="161" priority="76" stopIfTrue="1">
      <formula>$G1="HH-TB"</formula>
    </cfRule>
    <cfRule type="expression" dxfId="160" priority="77" stopIfTrue="1">
      <formula>$G1="CNK"</formula>
    </cfRule>
    <cfRule type="expression" dxfId="159" priority="78" stopIfTrue="1">
      <formula>$G1="Chuyển"</formula>
    </cfRule>
    <cfRule type="expression" dxfId="158" priority="79" stopIfTrue="1">
      <formula>$G1="Nghỉ"</formula>
    </cfRule>
    <cfRule type="expression" dxfId="157" priority="80" stopIfTrue="1">
      <formula>$G1="TK.C"</formula>
    </cfRule>
    <cfRule type="expression" dxfId="156" priority="81" stopIfTrue="1">
      <formula>$G1="Loại C"</formula>
    </cfRule>
    <cfRule type="expression" dxfId="155" priority="82" stopIfTrue="1">
      <formula>$G1="Nhỏ lẻ"</formula>
    </cfRule>
    <cfRule type="expression" dxfId="154" priority="83" stopIfTrue="1">
      <formula>$G1="Xem lại"</formula>
    </cfRule>
    <cfRule type="expression" dxfId="153" priority="84" stopIfTrue="1">
      <formula>$G1="Đg KT"</formula>
    </cfRule>
  </conditionalFormatting>
  <conditionalFormatting sqref="DS1:DT1 DS3:DT3">
    <cfRule type="expression" dxfId="139" priority="57" stopIfTrue="1">
      <formula>$G1="HĐ"</formula>
    </cfRule>
  </conditionalFormatting>
  <conditionalFormatting sqref="DS1:DT1 DS3:DT3">
    <cfRule type="expression" dxfId="137" priority="58" stopIfTrue="1">
      <formula>$G1="HĐ,ĐK"</formula>
    </cfRule>
    <cfRule type="expression" dxfId="136" priority="59" stopIfTrue="1">
      <formula>$G1="HĐ,CL"</formula>
    </cfRule>
    <cfRule type="expression" dxfId="135" priority="60" stopIfTrue="1">
      <formula>$G1="TN"</formula>
    </cfRule>
    <cfRule type="expression" dxfId="134" priority="61" stopIfTrue="1">
      <formula>$G1="HH"</formula>
    </cfRule>
    <cfRule type="expression" dxfId="133" priority="62" stopIfTrue="1">
      <formula>$G1="HH-TB"</formula>
    </cfRule>
    <cfRule type="expression" dxfId="132" priority="63" stopIfTrue="1">
      <formula>$G1="CNK"</formula>
    </cfRule>
    <cfRule type="expression" dxfId="131" priority="64" stopIfTrue="1">
      <formula>$G1="Chuyển"</formula>
    </cfRule>
    <cfRule type="expression" dxfId="130" priority="65" stopIfTrue="1">
      <formula>$G1="Nghỉ"</formula>
    </cfRule>
    <cfRule type="expression" dxfId="129" priority="66" stopIfTrue="1">
      <formula>$G1="TK.C"</formula>
    </cfRule>
    <cfRule type="expression" dxfId="128" priority="67" stopIfTrue="1">
      <formula>$G1="Loại C"</formula>
    </cfRule>
    <cfRule type="expression" dxfId="127" priority="68" stopIfTrue="1">
      <formula>$G1="Nhỏ lẻ"</formula>
    </cfRule>
    <cfRule type="expression" dxfId="126" priority="69" stopIfTrue="1">
      <formula>$G1="Xem lại"</formula>
    </cfRule>
    <cfRule type="expression" dxfId="125" priority="70" stopIfTrue="1">
      <formula>$G1="Đg KT"</formula>
    </cfRule>
  </conditionalFormatting>
  <conditionalFormatting sqref="DV1:DY1">
    <cfRule type="expression" dxfId="111" priority="43" stopIfTrue="1">
      <formula>$G1="HĐ"</formula>
    </cfRule>
  </conditionalFormatting>
  <conditionalFormatting sqref="DV1:DY1">
    <cfRule type="expression" dxfId="109" priority="44" stopIfTrue="1">
      <formula>$G1="HĐ,ĐK"</formula>
    </cfRule>
    <cfRule type="expression" dxfId="108" priority="45" stopIfTrue="1">
      <formula>$G1="HĐ,CL"</formula>
    </cfRule>
    <cfRule type="expression" dxfId="107" priority="46" stopIfTrue="1">
      <formula>$G1="TN"</formula>
    </cfRule>
    <cfRule type="expression" dxfId="106" priority="47" stopIfTrue="1">
      <formula>$G1="HH"</formula>
    </cfRule>
    <cfRule type="expression" dxfId="105" priority="48" stopIfTrue="1">
      <formula>$G1="HH-TB"</formula>
    </cfRule>
    <cfRule type="expression" dxfId="104" priority="49" stopIfTrue="1">
      <formula>$G1="CNK"</formula>
    </cfRule>
    <cfRule type="expression" dxfId="103" priority="50" stopIfTrue="1">
      <formula>$G1="Chuyển"</formula>
    </cfRule>
    <cfRule type="expression" dxfId="102" priority="51" stopIfTrue="1">
      <formula>$G1="Nghỉ"</formula>
    </cfRule>
    <cfRule type="expression" dxfId="101" priority="52" stopIfTrue="1">
      <formula>$G1="TK.C"</formula>
    </cfRule>
    <cfRule type="expression" dxfId="100" priority="53" stopIfTrue="1">
      <formula>$G1="Loại C"</formula>
    </cfRule>
    <cfRule type="expression" dxfId="99" priority="54" stopIfTrue="1">
      <formula>$G1="Nhỏ lẻ"</formula>
    </cfRule>
    <cfRule type="expression" dxfId="98" priority="55" stopIfTrue="1">
      <formula>$G1="Xem lại"</formula>
    </cfRule>
    <cfRule type="expression" dxfId="97" priority="56" stopIfTrue="1">
      <formula>$G1="Đg KT"</formula>
    </cfRule>
  </conditionalFormatting>
  <conditionalFormatting sqref="DY3">
    <cfRule type="expression" dxfId="83" priority="29" stopIfTrue="1">
      <formula>$G3="HĐ"</formula>
    </cfRule>
  </conditionalFormatting>
  <conditionalFormatting sqref="DY3">
    <cfRule type="expression" dxfId="81" priority="30" stopIfTrue="1">
      <formula>$G3="HĐ,ĐK"</formula>
    </cfRule>
    <cfRule type="expression" dxfId="80" priority="31" stopIfTrue="1">
      <formula>$G3="HĐ,CL"</formula>
    </cfRule>
    <cfRule type="expression" dxfId="79" priority="32" stopIfTrue="1">
      <formula>$G3="TN"</formula>
    </cfRule>
    <cfRule type="expression" dxfId="78" priority="33" stopIfTrue="1">
      <formula>$G3="HH"</formula>
    </cfRule>
    <cfRule type="expression" dxfId="77" priority="34" stopIfTrue="1">
      <formula>$G3="HH-TB"</formula>
    </cfRule>
    <cfRule type="expression" dxfId="76" priority="35" stopIfTrue="1">
      <formula>$G3="CNK"</formula>
    </cfRule>
    <cfRule type="expression" dxfId="75" priority="36" stopIfTrue="1">
      <formula>$G3="Chuyển"</formula>
    </cfRule>
    <cfRule type="expression" dxfId="74" priority="37" stopIfTrue="1">
      <formula>$G3="Nghỉ"</formula>
    </cfRule>
    <cfRule type="expression" dxfId="73" priority="38" stopIfTrue="1">
      <formula>$G3="TK.C"</formula>
    </cfRule>
    <cfRule type="expression" dxfId="72" priority="39" stopIfTrue="1">
      <formula>$G3="Loại C"</formula>
    </cfRule>
    <cfRule type="expression" dxfId="71" priority="40" stopIfTrue="1">
      <formula>$G3="Nhỏ lẻ"</formula>
    </cfRule>
    <cfRule type="expression" dxfId="70" priority="41" stopIfTrue="1">
      <formula>$G3="Xem lại"</formula>
    </cfRule>
    <cfRule type="expression" dxfId="69" priority="42" stopIfTrue="1">
      <formula>$G3="Đg KT"</formula>
    </cfRule>
  </conditionalFormatting>
  <conditionalFormatting sqref="DV3">
    <cfRule type="expression" dxfId="55" priority="15" stopIfTrue="1">
      <formula>$G3="HĐ"</formula>
    </cfRule>
  </conditionalFormatting>
  <conditionalFormatting sqref="DV3">
    <cfRule type="expression" dxfId="53" priority="16" stopIfTrue="1">
      <formula>$G3="HĐ,ĐK"</formula>
    </cfRule>
    <cfRule type="expression" dxfId="52" priority="17" stopIfTrue="1">
      <formula>$G3="HĐ,CL"</formula>
    </cfRule>
    <cfRule type="expression" dxfId="51" priority="18" stopIfTrue="1">
      <formula>$G3="TN"</formula>
    </cfRule>
    <cfRule type="expression" dxfId="50" priority="19" stopIfTrue="1">
      <formula>$G3="HH"</formula>
    </cfRule>
    <cfRule type="expression" dxfId="49" priority="20" stopIfTrue="1">
      <formula>$G3="HH-TB"</formula>
    </cfRule>
    <cfRule type="expression" dxfId="48" priority="21" stopIfTrue="1">
      <formula>$G3="CNK"</formula>
    </cfRule>
    <cfRule type="expression" dxfId="47" priority="22" stopIfTrue="1">
      <formula>$G3="Chuyển"</formula>
    </cfRule>
    <cfRule type="expression" dxfId="46" priority="23" stopIfTrue="1">
      <formula>$G3="Nghỉ"</formula>
    </cfRule>
    <cfRule type="expression" dxfId="45" priority="24" stopIfTrue="1">
      <formula>$G3="TK.C"</formula>
    </cfRule>
    <cfRule type="expression" dxfId="44" priority="25" stopIfTrue="1">
      <formula>$G3="Loại C"</formula>
    </cfRule>
    <cfRule type="expression" dxfId="43" priority="26" stopIfTrue="1">
      <formula>$G3="Nhỏ lẻ"</formula>
    </cfRule>
    <cfRule type="expression" dxfId="42" priority="27" stopIfTrue="1">
      <formula>$G3="Xem lại"</formula>
    </cfRule>
    <cfRule type="expression" dxfId="41" priority="28" stopIfTrue="1">
      <formula>$G3="Đg KT"</formula>
    </cfRule>
  </conditionalFormatting>
  <conditionalFormatting sqref="DW3:DX3">
    <cfRule type="expression" dxfId="27" priority="1" stopIfTrue="1">
      <formula>$G3="HĐ"</formula>
    </cfRule>
  </conditionalFormatting>
  <conditionalFormatting sqref="DW3:DX3">
    <cfRule type="expression" dxfId="25" priority="2" stopIfTrue="1">
      <formula>$G3="HĐ,ĐK"</formula>
    </cfRule>
    <cfRule type="expression" dxfId="24" priority="3" stopIfTrue="1">
      <formula>$G3="HĐ,CL"</formula>
    </cfRule>
    <cfRule type="expression" dxfId="23" priority="4" stopIfTrue="1">
      <formula>$G3="TN"</formula>
    </cfRule>
    <cfRule type="expression" dxfId="22" priority="5" stopIfTrue="1">
      <formula>$G3="HH"</formula>
    </cfRule>
    <cfRule type="expression" dxfId="21" priority="6" stopIfTrue="1">
      <formula>$G3="HH-TB"</formula>
    </cfRule>
    <cfRule type="expression" dxfId="20" priority="7" stopIfTrue="1">
      <formula>$G3="CNK"</formula>
    </cfRule>
    <cfRule type="expression" dxfId="19" priority="8" stopIfTrue="1">
      <formula>$G3="Chuyển"</formula>
    </cfRule>
    <cfRule type="expression" dxfId="18" priority="9" stopIfTrue="1">
      <formula>$G3="Nghỉ"</formula>
    </cfRule>
    <cfRule type="expression" dxfId="17" priority="10" stopIfTrue="1">
      <formula>$G3="TK.C"</formula>
    </cfRule>
    <cfRule type="expression" dxfId="16" priority="11" stopIfTrue="1">
      <formula>$G3="Loại C"</formula>
    </cfRule>
    <cfRule type="expression" dxfId="15" priority="12" stopIfTrue="1">
      <formula>$G3="Nhỏ lẻ"</formula>
    </cfRule>
    <cfRule type="expression" dxfId="14" priority="13" stopIfTrue="1">
      <formula>$G3="Xem lại"</formula>
    </cfRule>
    <cfRule type="expression" dxfId="13" priority="14" stopIfTrue="1">
      <formula>$G3="Đg KT"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2024-03-05T04:16:02Z</dcterms:created>
  <dcterms:modified xsi:type="dcterms:W3CDTF">2024-03-05T04:59:02Z</dcterms:modified>
</cp:coreProperties>
</file>