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Code\BenTre2024\TaiLieu\BIỂU MẪU\II. Giám sát dư lượng\"/>
    </mc:Choice>
  </mc:AlternateContent>
  <bookViews>
    <workbookView xWindow="0" yWindow="0" windowWidth="28800" windowHeight="12315" tabRatio="618"/>
  </bookViews>
  <sheets>
    <sheet name="KHDL 2024" sheetId="1" r:id="rId1"/>
    <sheet name="KHDL_2023" sheetId="41" state="hidden" r:id="rId2"/>
    <sheet name="Gioihan" sheetId="44" state="hidden" r:id="rId3"/>
    <sheet name="Don vi" sheetId="35" state="hidden" r:id="rId4"/>
  </sheets>
  <externalReferences>
    <externalReference r:id="rId5"/>
  </externalReferences>
  <definedNames>
    <definedName name="_Fill" hidden="1">#REF!</definedName>
    <definedName name="_xlnm._FilterDatabase" localSheetId="0" hidden="1">'KHDL 2024'!$A$5:$AZ$139</definedName>
    <definedName name="_xlnm._FilterDatabase" localSheetId="1" hidden="1">KHDL_2023!$A$2:$AX$932</definedName>
    <definedName name="gcm">'[1]gia vt,nc,may'!$H$7:$I$17</definedName>
    <definedName name="gnc">'[1]gia vt,nc,may'!$E$7:$F$12</definedName>
    <definedName name="gvt">'[1]gia vt,nc,may'!$B$7:$C$159</definedName>
    <definedName name="HTML_CodePage" hidden="1">1252</definedName>
    <definedName name="HTML_Control" hidden="1">{"'Bieu 3 - 99'!$A$3:$BE$164"}</definedName>
    <definedName name="HTML_Description" hidden="1">""</definedName>
    <definedName name="HTML_Email" hidden="1">""</definedName>
    <definedName name="HTML_Header" hidden="1">"Bieu 3 - 99"</definedName>
    <definedName name="HTML_LastUpdate" hidden="1">"17-Apr-99"</definedName>
    <definedName name="HTML_LineAfter" hidden="1">FALSE</definedName>
    <definedName name="HTML_LineBefore" hidden="1">FALSE</definedName>
    <definedName name="HTML_Name" hidden="1">"Le Ba Anh"</definedName>
    <definedName name="HTML_OBDlg2" hidden="1">TRUE</definedName>
    <definedName name="HTML_OBDlg4" hidden="1">TRUE</definedName>
    <definedName name="HTML_OS" hidden="1">0</definedName>
    <definedName name="HTML_PathFile" hidden="1">"C:\# le ba anh\MyHTML.htm"</definedName>
    <definedName name="HTML_Title" hidden="1">"Book2"</definedName>
    <definedName name="_xlnm.Print_Titles" localSheetId="0">'KHDL 2024'!$2:$5</definedName>
    <definedName name="_xlnm.Print_Titles" localSheetId="1">KHDL_2023!$2:$2</definedName>
    <definedName name="_xlnm.Print_Titles">#N/A</definedName>
    <definedName name="V4T01">#REF!</definedName>
    <definedName name="V4T02">#REF!</definedName>
    <definedName name="V4T03">#REF!</definedName>
    <definedName name="V4T04">#REF!</definedName>
    <definedName name="V4T05">#REF!</definedName>
    <definedName name="V4T06">#REF!</definedName>
    <definedName name="V4T07">#REF!</definedName>
    <definedName name="V4T08">#REF!</definedName>
    <definedName name="V4T09">#REF!</definedName>
    <definedName name="V4T10">#REF!</definedName>
    <definedName name="V4T11">#REF!</definedName>
    <definedName name="V4T12">#REF!</definedName>
    <definedName name="V5T01">#REF!</definedName>
    <definedName name="V5T02">#REF!</definedName>
    <definedName name="V5T03">#REF!</definedName>
    <definedName name="V5T04">#REF!</definedName>
    <definedName name="V5T05">#REF!</definedName>
    <definedName name="V5T06">#REF!</definedName>
    <definedName name="V5T07">#REF!</definedName>
    <definedName name="V5T08">#REF!</definedName>
    <definedName name="V5T09">#REF!</definedName>
    <definedName name="V5T10">#REF!</definedName>
    <definedName name="V5T11">#REF!</definedName>
    <definedName name="V5T12">#REF!</definedName>
    <definedName name="V6T01">#REF!</definedName>
    <definedName name="V6T02">#REF!</definedName>
    <definedName name="V6T03">#REF!</definedName>
    <definedName name="V6T04">#REF!</definedName>
    <definedName name="V6T05">#REF!</definedName>
    <definedName name="V6T06">#REF!</definedName>
    <definedName name="V6T07">#REF!</definedName>
    <definedName name="V6T08">#REF!</definedName>
    <definedName name="V6T09">#REF!</definedName>
    <definedName name="V6T10">#REF!</definedName>
    <definedName name="V6T11">#REF!</definedName>
    <definedName name="V6T12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1" l="1"/>
  <c r="L66" i="1"/>
  <c r="M66" i="1"/>
  <c r="N66" i="1"/>
  <c r="O66" i="1"/>
  <c r="P66" i="1"/>
  <c r="Q66" i="1"/>
  <c r="R66" i="1"/>
  <c r="S66" i="1"/>
  <c r="J29" i="1"/>
  <c r="K29" i="1"/>
  <c r="L29" i="1"/>
  <c r="M29" i="1"/>
  <c r="N29" i="1"/>
  <c r="O29" i="1"/>
  <c r="P29" i="1"/>
  <c r="Q29" i="1"/>
  <c r="R29" i="1"/>
  <c r="S29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J66" i="1"/>
  <c r="I66" i="1"/>
  <c r="H66" i="1"/>
  <c r="G66" i="1"/>
  <c r="F66" i="1"/>
  <c r="E66" i="1"/>
  <c r="T65" i="1"/>
  <c r="U65" i="1" s="1"/>
  <c r="T64" i="1"/>
  <c r="U64" i="1" s="1"/>
  <c r="T63" i="1"/>
  <c r="U63" i="1" s="1"/>
  <c r="T62" i="1"/>
  <c r="T66" i="1" l="1"/>
  <c r="U62" i="1"/>
  <c r="U66" i="1" s="1"/>
  <c r="T80" i="1" l="1"/>
  <c r="U80" i="1" s="1"/>
  <c r="T74" i="1"/>
  <c r="U74" i="1" s="1"/>
  <c r="T75" i="1"/>
  <c r="U75" i="1" s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T60" i="1"/>
  <c r="U60" i="1" s="1"/>
  <c r="T59" i="1"/>
  <c r="U59" i="1" s="1"/>
  <c r="T58" i="1"/>
  <c r="U58" i="1" s="1"/>
  <c r="T57" i="1"/>
  <c r="U57" i="1" s="1"/>
  <c r="T56" i="1"/>
  <c r="U56" i="1" s="1"/>
  <c r="T55" i="1"/>
  <c r="U55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32" i="1"/>
  <c r="U32" i="1" s="1"/>
  <c r="T25" i="1"/>
  <c r="U25" i="1" s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T21" i="1"/>
  <c r="U21" i="1" s="1"/>
  <c r="T20" i="1"/>
  <c r="U20" i="1" s="1"/>
  <c r="T19" i="1"/>
  <c r="U19" i="1" s="1"/>
  <c r="T18" i="1"/>
  <c r="U18" i="1" s="1"/>
  <c r="T17" i="1"/>
  <c r="T24" i="1"/>
  <c r="T11" i="1"/>
  <c r="U11" i="1" s="1"/>
  <c r="U24" i="1" l="1"/>
  <c r="T61" i="1"/>
  <c r="U49" i="1"/>
  <c r="U61" i="1" s="1"/>
  <c r="T22" i="1"/>
  <c r="U17" i="1"/>
  <c r="U22" i="1" s="1"/>
  <c r="T132" i="1" l="1"/>
  <c r="T133" i="1"/>
  <c r="T134" i="1"/>
  <c r="T135" i="1"/>
  <c r="T136" i="1"/>
  <c r="T137" i="1"/>
  <c r="T138" i="1"/>
  <c r="T139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T120" i="1"/>
  <c r="T121" i="1"/>
  <c r="T122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T108" i="1"/>
  <c r="T109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T84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T4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AZ70" i="1" l="1"/>
  <c r="AV70" i="1"/>
  <c r="AR70" i="1"/>
  <c r="AN70" i="1"/>
  <c r="AJ70" i="1"/>
  <c r="AF70" i="1"/>
  <c r="AB70" i="1"/>
  <c r="X70" i="1"/>
  <c r="AY70" i="1"/>
  <c r="AU70" i="1"/>
  <c r="AQ70" i="1"/>
  <c r="AM70" i="1"/>
  <c r="AI70" i="1"/>
  <c r="AE70" i="1"/>
  <c r="AA70" i="1"/>
  <c r="W70" i="1"/>
  <c r="AX70" i="1"/>
  <c r="AT70" i="1"/>
  <c r="AP70" i="1"/>
  <c r="AL70" i="1"/>
  <c r="AH70" i="1"/>
  <c r="AD70" i="1"/>
  <c r="Z70" i="1"/>
  <c r="AW70" i="1"/>
  <c r="AS70" i="1"/>
  <c r="AO70" i="1"/>
  <c r="AK70" i="1"/>
  <c r="AG70" i="1"/>
  <c r="AC70" i="1"/>
  <c r="Y70" i="1"/>
  <c r="AK30" i="1"/>
  <c r="AS30" i="1"/>
  <c r="AC30" i="1"/>
  <c r="AV30" i="1"/>
  <c r="AN30" i="1"/>
  <c r="AF30" i="1"/>
  <c r="X30" i="1"/>
  <c r="AZ30" i="1"/>
  <c r="AR30" i="1"/>
  <c r="AJ30" i="1"/>
  <c r="AB30" i="1"/>
  <c r="AY30" i="1"/>
  <c r="AQ30" i="1"/>
  <c r="AI30" i="1"/>
  <c r="AA30" i="1"/>
  <c r="AX30" i="1"/>
  <c r="AP30" i="1"/>
  <c r="AH30" i="1"/>
  <c r="Z30" i="1"/>
  <c r="AW30" i="1"/>
  <c r="AO30" i="1"/>
  <c r="AG30" i="1"/>
  <c r="Y30" i="1"/>
  <c r="AU30" i="1"/>
  <c r="AM30" i="1"/>
  <c r="AE30" i="1"/>
  <c r="W30" i="1"/>
  <c r="AT30" i="1"/>
  <c r="AL30" i="1"/>
  <c r="AD30" i="1"/>
  <c r="U120" i="1"/>
  <c r="U134" i="1"/>
  <c r="U47" i="1"/>
  <c r="U137" i="1"/>
  <c r="U109" i="1"/>
  <c r="U122" i="1"/>
  <c r="U136" i="1"/>
  <c r="U132" i="1"/>
  <c r="U138" i="1"/>
  <c r="U84" i="1"/>
  <c r="U133" i="1"/>
  <c r="U108" i="1"/>
  <c r="U121" i="1"/>
  <c r="U139" i="1"/>
  <c r="U135" i="1"/>
  <c r="AZ88" i="1"/>
  <c r="AV88" i="1"/>
  <c r="AR88" i="1"/>
  <c r="AN88" i="1"/>
  <c r="X88" i="1"/>
  <c r="AY88" i="1"/>
  <c r="AU88" i="1"/>
  <c r="AQ88" i="1"/>
  <c r="AM88" i="1"/>
  <c r="AI88" i="1"/>
  <c r="AE88" i="1"/>
  <c r="AA88" i="1"/>
  <c r="W88" i="1"/>
  <c r="AH88" i="1"/>
  <c r="AD88" i="1"/>
  <c r="Z88" i="1"/>
  <c r="AT88" i="1"/>
  <c r="AP88" i="1"/>
  <c r="AW88" i="1"/>
  <c r="AS88" i="1"/>
  <c r="AO88" i="1"/>
  <c r="AK88" i="1"/>
  <c r="AG88" i="1"/>
  <c r="AC88" i="1"/>
  <c r="Y88" i="1"/>
  <c r="AJ88" i="1"/>
  <c r="AF88" i="1"/>
  <c r="AB88" i="1"/>
  <c r="AX88" i="1"/>
  <c r="AL88" i="1"/>
  <c r="D2" i="35" l="1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T76" i="1" l="1"/>
  <c r="T8" i="1"/>
  <c r="U8" i="1" l="1"/>
  <c r="U76" i="1"/>
  <c r="T95" i="1" l="1"/>
  <c r="T94" i="1"/>
  <c r="T85" i="1"/>
  <c r="T83" i="1"/>
  <c r="T82" i="1"/>
  <c r="T46" i="1"/>
  <c r="T34" i="1"/>
  <c r="T35" i="1"/>
  <c r="T36" i="1"/>
  <c r="T27" i="1"/>
  <c r="T13" i="1"/>
  <c r="T14" i="1"/>
  <c r="T15" i="1"/>
  <c r="U13" i="1" l="1"/>
  <c r="U34" i="1"/>
  <c r="U27" i="1"/>
  <c r="U46" i="1"/>
  <c r="U85" i="1"/>
  <c r="U83" i="1"/>
  <c r="U15" i="1"/>
  <c r="U36" i="1"/>
  <c r="U94" i="1"/>
  <c r="U14" i="1"/>
  <c r="U35" i="1"/>
  <c r="U82" i="1"/>
  <c r="U95" i="1"/>
  <c r="G9" i="1" l="1"/>
  <c r="G16" i="1"/>
  <c r="G29" i="1"/>
  <c r="G37" i="1"/>
  <c r="G48" i="1"/>
  <c r="G69" i="1"/>
  <c r="G78" i="1"/>
  <c r="G87" i="1"/>
  <c r="G98" i="1"/>
  <c r="G111" i="1"/>
  <c r="G125" i="1"/>
  <c r="H9" i="1"/>
  <c r="H16" i="1"/>
  <c r="H29" i="1"/>
  <c r="H37" i="1"/>
  <c r="H48" i="1"/>
  <c r="H69" i="1"/>
  <c r="H78" i="1"/>
  <c r="H87" i="1"/>
  <c r="H98" i="1"/>
  <c r="H111" i="1"/>
  <c r="H125" i="1"/>
  <c r="T118" i="1"/>
  <c r="T72" i="1"/>
  <c r="T73" i="1"/>
  <c r="T77" i="1"/>
  <c r="T6" i="1"/>
  <c r="T7" i="1"/>
  <c r="T10" i="1"/>
  <c r="T12" i="1"/>
  <c r="T23" i="1"/>
  <c r="T26" i="1"/>
  <c r="T28" i="1"/>
  <c r="T31" i="1"/>
  <c r="T33" i="1"/>
  <c r="T38" i="1"/>
  <c r="T67" i="1"/>
  <c r="T68" i="1"/>
  <c r="T71" i="1"/>
  <c r="T79" i="1"/>
  <c r="T81" i="1"/>
  <c r="T86" i="1"/>
  <c r="T89" i="1"/>
  <c r="T90" i="1"/>
  <c r="T91" i="1"/>
  <c r="T92" i="1"/>
  <c r="T93" i="1"/>
  <c r="T96" i="1"/>
  <c r="T97" i="1"/>
  <c r="T99" i="1"/>
  <c r="T100" i="1"/>
  <c r="T101" i="1"/>
  <c r="T102" i="1"/>
  <c r="T103" i="1"/>
  <c r="T104" i="1"/>
  <c r="T105" i="1"/>
  <c r="T106" i="1"/>
  <c r="T107" i="1"/>
  <c r="T110" i="1"/>
  <c r="T112" i="1"/>
  <c r="T113" i="1"/>
  <c r="T114" i="1"/>
  <c r="T115" i="1"/>
  <c r="T116" i="1"/>
  <c r="T117" i="1"/>
  <c r="T119" i="1"/>
  <c r="T123" i="1"/>
  <c r="T124" i="1"/>
  <c r="T126" i="1"/>
  <c r="T127" i="1"/>
  <c r="T128" i="1"/>
  <c r="T129" i="1"/>
  <c r="T130" i="1"/>
  <c r="T131" i="1"/>
  <c r="I48" i="1"/>
  <c r="J48" i="1"/>
  <c r="K48" i="1"/>
  <c r="L48" i="1"/>
  <c r="M48" i="1"/>
  <c r="N48" i="1"/>
  <c r="O48" i="1"/>
  <c r="P48" i="1"/>
  <c r="Q48" i="1"/>
  <c r="R48" i="1"/>
  <c r="S48" i="1"/>
  <c r="F125" i="1"/>
  <c r="I125" i="1"/>
  <c r="J125" i="1"/>
  <c r="K125" i="1"/>
  <c r="L125" i="1"/>
  <c r="M125" i="1"/>
  <c r="N125" i="1"/>
  <c r="O125" i="1"/>
  <c r="P125" i="1"/>
  <c r="Q125" i="1"/>
  <c r="R125" i="1"/>
  <c r="S125" i="1"/>
  <c r="V125" i="1"/>
  <c r="E125" i="1"/>
  <c r="F111" i="1"/>
  <c r="I111" i="1"/>
  <c r="J111" i="1"/>
  <c r="K111" i="1"/>
  <c r="L111" i="1"/>
  <c r="M111" i="1"/>
  <c r="N111" i="1"/>
  <c r="O111" i="1"/>
  <c r="P111" i="1"/>
  <c r="Q111" i="1"/>
  <c r="R111" i="1"/>
  <c r="S111" i="1"/>
  <c r="V111" i="1"/>
  <c r="E111" i="1"/>
  <c r="F98" i="1"/>
  <c r="I98" i="1"/>
  <c r="J98" i="1"/>
  <c r="K98" i="1"/>
  <c r="L98" i="1"/>
  <c r="M98" i="1"/>
  <c r="N98" i="1"/>
  <c r="O98" i="1"/>
  <c r="P98" i="1"/>
  <c r="Q98" i="1"/>
  <c r="R98" i="1"/>
  <c r="S98" i="1"/>
  <c r="V98" i="1"/>
  <c r="E98" i="1"/>
  <c r="F87" i="1"/>
  <c r="I87" i="1"/>
  <c r="J87" i="1"/>
  <c r="K87" i="1"/>
  <c r="L87" i="1"/>
  <c r="M87" i="1"/>
  <c r="N87" i="1"/>
  <c r="O87" i="1"/>
  <c r="P87" i="1"/>
  <c r="Q87" i="1"/>
  <c r="R87" i="1"/>
  <c r="S87" i="1"/>
  <c r="V87" i="1"/>
  <c r="E87" i="1"/>
  <c r="F78" i="1"/>
  <c r="I78" i="1"/>
  <c r="J78" i="1"/>
  <c r="K78" i="1"/>
  <c r="L78" i="1"/>
  <c r="M78" i="1"/>
  <c r="N78" i="1"/>
  <c r="O78" i="1"/>
  <c r="P78" i="1"/>
  <c r="Q78" i="1"/>
  <c r="R78" i="1"/>
  <c r="S78" i="1"/>
  <c r="V78" i="1"/>
  <c r="E78" i="1"/>
  <c r="F69" i="1"/>
  <c r="I69" i="1"/>
  <c r="J69" i="1"/>
  <c r="K69" i="1"/>
  <c r="L69" i="1"/>
  <c r="M69" i="1"/>
  <c r="N69" i="1"/>
  <c r="O69" i="1"/>
  <c r="P69" i="1"/>
  <c r="Q69" i="1"/>
  <c r="R69" i="1"/>
  <c r="S69" i="1"/>
  <c r="V69" i="1"/>
  <c r="E69" i="1"/>
  <c r="F48" i="1"/>
  <c r="V48" i="1"/>
  <c r="E48" i="1"/>
  <c r="F37" i="1"/>
  <c r="I37" i="1"/>
  <c r="J37" i="1"/>
  <c r="K37" i="1"/>
  <c r="L37" i="1"/>
  <c r="M37" i="1"/>
  <c r="N37" i="1"/>
  <c r="O37" i="1"/>
  <c r="P37" i="1"/>
  <c r="Q37" i="1"/>
  <c r="R37" i="1"/>
  <c r="S37" i="1"/>
  <c r="V37" i="1"/>
  <c r="E37" i="1"/>
  <c r="F29" i="1"/>
  <c r="I29" i="1"/>
  <c r="V29" i="1"/>
  <c r="E29" i="1"/>
  <c r="F16" i="1"/>
  <c r="I16" i="1"/>
  <c r="J16" i="1"/>
  <c r="K16" i="1"/>
  <c r="L16" i="1"/>
  <c r="M16" i="1"/>
  <c r="N16" i="1"/>
  <c r="O16" i="1"/>
  <c r="P16" i="1"/>
  <c r="Q16" i="1"/>
  <c r="R16" i="1"/>
  <c r="S16" i="1"/>
  <c r="V16" i="1"/>
  <c r="E16" i="1"/>
  <c r="F9" i="1"/>
  <c r="I9" i="1"/>
  <c r="J9" i="1"/>
  <c r="K9" i="1"/>
  <c r="L9" i="1"/>
  <c r="M9" i="1"/>
  <c r="N9" i="1"/>
  <c r="O9" i="1"/>
  <c r="P9" i="1"/>
  <c r="Q9" i="1"/>
  <c r="R9" i="1"/>
  <c r="S9" i="1"/>
  <c r="V9" i="1"/>
  <c r="E9" i="1"/>
  <c r="Q30" i="1" l="1"/>
  <c r="L70" i="1"/>
  <c r="M30" i="1"/>
  <c r="L30" i="1"/>
  <c r="P70" i="1"/>
  <c r="P30" i="1"/>
  <c r="S70" i="1"/>
  <c r="K70" i="1"/>
  <c r="O30" i="1"/>
  <c r="K30" i="1"/>
  <c r="R70" i="1"/>
  <c r="N70" i="1"/>
  <c r="J70" i="1"/>
  <c r="O70" i="1"/>
  <c r="R30" i="1"/>
  <c r="N30" i="1"/>
  <c r="J30" i="1"/>
  <c r="Q70" i="1"/>
  <c r="M70" i="1"/>
  <c r="E70" i="1"/>
  <c r="I70" i="1"/>
  <c r="H70" i="1"/>
  <c r="V70" i="1"/>
  <c r="F70" i="1"/>
  <c r="G70" i="1"/>
  <c r="I30" i="1"/>
  <c r="F30" i="1"/>
  <c r="G30" i="1"/>
  <c r="H30" i="1"/>
  <c r="E30" i="1"/>
  <c r="V30" i="1"/>
  <c r="S30" i="1"/>
  <c r="U129" i="1"/>
  <c r="U116" i="1"/>
  <c r="U101" i="1"/>
  <c r="U79" i="1"/>
  <c r="U33" i="1"/>
  <c r="U77" i="1"/>
  <c r="U128" i="1"/>
  <c r="U123" i="1"/>
  <c r="U115" i="1"/>
  <c r="U110" i="1"/>
  <c r="U104" i="1"/>
  <c r="U100" i="1"/>
  <c r="U93" i="1"/>
  <c r="U89" i="1"/>
  <c r="U71" i="1"/>
  <c r="U31" i="1"/>
  <c r="U12" i="1"/>
  <c r="U73" i="1"/>
  <c r="U124" i="1"/>
  <c r="U105" i="1"/>
  <c r="U90" i="1"/>
  <c r="U67" i="1"/>
  <c r="U6" i="1"/>
  <c r="U131" i="1"/>
  <c r="U127" i="1"/>
  <c r="U119" i="1"/>
  <c r="U114" i="1"/>
  <c r="U107" i="1"/>
  <c r="U103" i="1"/>
  <c r="U99" i="1"/>
  <c r="U92" i="1"/>
  <c r="U86" i="1"/>
  <c r="U28" i="1"/>
  <c r="U10" i="1"/>
  <c r="U72" i="1"/>
  <c r="U112" i="1"/>
  <c r="U96" i="1"/>
  <c r="U23" i="1"/>
  <c r="U130" i="1"/>
  <c r="U126" i="1"/>
  <c r="U117" i="1"/>
  <c r="U113" i="1"/>
  <c r="U106" i="1"/>
  <c r="U102" i="1"/>
  <c r="U97" i="1"/>
  <c r="U91" i="1"/>
  <c r="U81" i="1"/>
  <c r="U68" i="1"/>
  <c r="U38" i="1"/>
  <c r="U26" i="1"/>
  <c r="U7" i="1"/>
  <c r="U118" i="1"/>
  <c r="V88" i="1"/>
  <c r="I88" i="1"/>
  <c r="P88" i="1"/>
  <c r="F88" i="1"/>
  <c r="O88" i="1"/>
  <c r="N88" i="1"/>
  <c r="L88" i="1"/>
  <c r="U111" i="1" a="1"/>
  <c r="U111" i="1" s="1"/>
  <c r="U98" i="1" a="1"/>
  <c r="U98" i="1" s="1"/>
  <c r="E88" i="1"/>
  <c r="K88" i="1"/>
  <c r="H88" i="1"/>
  <c r="Q88" i="1"/>
  <c r="G88" i="1"/>
  <c r="J88" i="1"/>
  <c r="S88" i="1"/>
  <c r="T48" i="1"/>
  <c r="T87" i="1"/>
  <c r="T16" i="1"/>
  <c r="T111" i="1"/>
  <c r="T37" i="1"/>
  <c r="T98" i="1"/>
  <c r="T78" i="1"/>
  <c r="T29" i="1"/>
  <c r="T125" i="1"/>
  <c r="T69" i="1"/>
  <c r="T9" i="1"/>
  <c r="U125" i="1" a="1"/>
  <c r="U125" i="1" s="1"/>
  <c r="R88" i="1"/>
  <c r="M88" i="1"/>
  <c r="T70" i="1" l="1"/>
  <c r="T30" i="1"/>
  <c r="U9" i="1"/>
  <c r="U87" i="1"/>
  <c r="U29" i="1"/>
  <c r="U37" i="1"/>
  <c r="U16" i="1"/>
  <c r="U48" i="1"/>
  <c r="U69" i="1"/>
  <c r="U78" i="1"/>
  <c r="T88" i="1"/>
  <c r="U88" i="1" a="1"/>
  <c r="U88" i="1" s="1"/>
  <c r="U70" i="1" l="1"/>
  <c r="U30" i="1"/>
</calcChain>
</file>

<file path=xl/connections.xml><?xml version="1.0" encoding="utf-8"?>
<connections xmlns="http://schemas.openxmlformats.org/spreadsheetml/2006/main">
  <connection id="1" keepAlive="1" name="Query - BC_thang" description="Connection to the 'BC_thang' query in the workbook." type="5" refreshedVersion="8" background="1" saveData="1">
    <dbPr connection="Provider=Microsoft.Mashup.OleDb.1;Data Source=$Workbook$;Location=BC_thang;Extended Properties=&quot;&quot;" command="SELECT * FROM [BC_thang]"/>
  </connection>
  <connection id="2" keepAlive="1" name="Query - Chitieu" description="Connection to the 'Chitieu' query in the workbook." type="5" refreshedVersion="0" background="1">
    <dbPr connection="Provider=Microsoft.Mashup.OleDb.1;Data Source=$Workbook$;Location=Chitieu;Extended Properties=&quot;&quot;" command="SELECT * FROM [Chitieu]"/>
  </connection>
  <connection id="3" keepAlive="1" name="Query - Doituong" description="Connection to the 'Doituong' query in the workbook." type="5" refreshedVersion="0" background="1">
    <dbPr connection="Provider=Microsoft.Mashup.OleDb.1;Data Source=$Workbook$;Location=Doituong;Extended Properties=&quot;&quot;" command="SELECT * FROM [Doituong]"/>
  </connection>
  <connection id="4" keepAlive="1" name="Query - Kehoach_2023" description="Connection to the 'Kehoach_2023' query in the workbook." type="5" refreshedVersion="0" background="1">
    <dbPr connection="Provider=Microsoft.Mashup.OleDb.1;Data Source=$Workbook$;Location=Kehoach_2023;Extended Properties=&quot;&quot;" command="SELECT * FROM [Kehoach_2023]"/>
  </connection>
  <connection id="5" keepAlive="1" name="Query - MauPH" description="Connection to the 'MauPH' query in the workbook." type="5" refreshedVersion="0" background="1">
    <dbPr connection="Provider=Microsoft.Mashup.OleDb.1;Data Source=$Workbook$;Location=MauPH;Extended Properties=&quot;&quot;" command="SELECT * FROM [MauPH]"/>
  </connection>
  <connection id="6" keepAlive="1" name="Query - MauPH (2)" description="Connection to the 'MauPH (2)' query in the workbook." type="5" refreshedVersion="8" background="1">
    <dbPr connection="Provider=Microsoft.Mashup.OleDb.1;Data Source=$Workbook$;Location=&quot;MauPH (2)&quot;;Extended Properties=&quot;&quot;" command="SELECT * FROM [MauPH (2)]"/>
  </connection>
  <connection id="7" keepAlive="1" name="Query - MauPH (3)" description="Connection to the 'MauPH (3)' query in the workbook." type="5" refreshedVersion="8" background="1">
    <dbPr connection="Provider=Microsoft.Mashup.OleDb.1;Data Source=$Workbook$;Location=&quot;MauPH (3)&quot;;Extended Properties=&quot;&quot;" command="SELECT * FROM [MauPH (3)]"/>
  </connection>
  <connection id="8" keepAlive="1" name="Query - Tenmau" description="Connection to the 'Tenmau' query in the workbook." type="5" refreshedVersion="0" background="1">
    <dbPr connection="Provider=Microsoft.Mashup.OleDb.1;Data Source=$Workbook$;Location=Tenmau;Extended Properties=&quot;&quot;" command="SELECT * FROM [Tenmau]"/>
  </connection>
  <connection id="9" keepAlive="1" name="Query - Tentinh" description="Connection to the 'Tentinh' query in the workbook." type="5" refreshedVersion="0" background="1">
    <dbPr connection="Provider=Microsoft.Mashup.OleDb.1;Data Source=$Workbook$;Location=Tentinh;Extended Properties=&quot;&quot;" command="SELECT * FROM [Tentinh]"/>
  </connection>
  <connection id="10" keepAlive="1" name="Query - Thongke" description="Connection to the 'Thongke' query in the workbook." type="5" refreshedVersion="0" background="1">
    <dbPr connection="Provider=Microsoft.Mashup.OleDb.1;Data Source=$Workbook$;Location=Thongke;Extended Properties=&quot;&quot;" command="SELECT * FROM [Thongke]"/>
  </connection>
  <connection id="11" keepAlive="1" name="Query - Thongke (2)" description="Connection to the 'Thongke (2)' query in the workbook." type="5" refreshedVersion="8" background="1">
    <dbPr connection="Provider=Microsoft.Mashup.OleDb.1;Data Source=$Workbook$;Location=&quot;Thongke (2)&quot;;Extended Properties=&quot;&quot;" command="SELECT * FROM [Thongke (2)]"/>
  </connection>
  <connection id="12" keepAlive="1" name="Query - ThuchienDL" description="Connection to the 'ThuchienDL' query in the workbook." type="5" refreshedVersion="0" background="1">
    <dbPr connection="Provider=Microsoft.Mashup.OleDb.1;Data Source=$Workbook$;Location=ThuchienDL;Extended Properties=&quot;&quot;" command="SELECT * FROM [ThuchienDL]"/>
  </connection>
  <connection id="13" keepAlive="1" name="Query - Vungnuoi" description="Connection to the 'Vungnuoi' query in the workbook." type="5" refreshedVersion="0" background="1">
    <dbPr connection="Provider=Microsoft.Mashup.OleDb.1;Data Source=$Workbook$;Location=Vungnuoi;Extended Properties=&quot;&quot;" command="SELECT * FROM [Vungnuoi]"/>
  </connection>
</connections>
</file>

<file path=xl/sharedStrings.xml><?xml version="1.0" encoding="utf-8"?>
<sst xmlns="http://schemas.openxmlformats.org/spreadsheetml/2006/main" count="6219" uniqueCount="445">
  <si>
    <t>PHỤ LỤC 1. KẾ HOẠCH LẤY MẪU KIỂM SOÁT DƯ LƯỢNG (THỦY SẢN NUÔI) NĂM 2023 KHU VỰC NAM BỘ</t>
  </si>
  <si>
    <t>Tỉnh/Tp</t>
  </si>
  <si>
    <t>Tên vùng nuôi</t>
  </si>
  <si>
    <t>Mã số vùng nuôi</t>
  </si>
  <si>
    <t>Đối tượng lấy mẫu</t>
  </si>
  <si>
    <t>Sản lượng thủy sản nuôi (tấn)</t>
  </si>
  <si>
    <t>Giai đoạn</t>
  </si>
  <si>
    <t>Tháng</t>
  </si>
  <si>
    <t>Cộng</t>
  </si>
  <si>
    <t xml:space="preserve"> Có CĂTB</t>
  </si>
  <si>
    <t xml:space="preserve"> Không CĂTB</t>
  </si>
  <si>
    <t>CAP</t>
  </si>
  <si>
    <t>NF</t>
  </si>
  <si>
    <t>TC</t>
  </si>
  <si>
    <t>SUL</t>
  </si>
  <si>
    <t>QUI</t>
  </si>
  <si>
    <t>Flor</t>
  </si>
  <si>
    <t>Orme</t>
  </si>
  <si>
    <t>Fosfo</t>
  </si>
  <si>
    <t>Eryth</t>
  </si>
  <si>
    <t>Azadi</t>
  </si>
  <si>
    <t>Amox</t>
  </si>
  <si>
    <t>Levami</t>
  </si>
  <si>
    <t>Fenben</t>
  </si>
  <si>
    <t>Tp. HCM</t>
  </si>
  <si>
    <t>Cần Giờ</t>
  </si>
  <si>
    <t>79/01</t>
  </si>
  <si>
    <t>Tôm sú</t>
  </si>
  <si>
    <t>TS TP</t>
  </si>
  <si>
    <t>TS QC</t>
  </si>
  <si>
    <t>Tôm sú quảng canh</t>
  </si>
  <si>
    <t>Cộng</t>
  </si>
  <si>
    <t>Tôm chân trắng</t>
  </si>
  <si>
    <t>TCT nhỏ</t>
  </si>
  <si>
    <t>TCT TP</t>
  </si>
  <si>
    <t>Tổng</t>
  </si>
  <si>
    <t>Nhà Bè</t>
  </si>
  <si>
    <t>79/02</t>
  </si>
  <si>
    <t>Bình Thuận</t>
  </si>
  <si>
    <t>Tuy Phong</t>
  </si>
  <si>
    <t>60/01</t>
  </si>
  <si>
    <t>60/02</t>
  </si>
  <si>
    <t>Hàm Thuận Bắc</t>
  </si>
  <si>
    <t>60/03</t>
  </si>
  <si>
    <t>Hàm Thuận Nam</t>
  </si>
  <si>
    <t>60/04</t>
  </si>
  <si>
    <t>Hàm Tân</t>
  </si>
  <si>
    <t>60/05</t>
  </si>
  <si>
    <t>BR-VT</t>
  </si>
  <si>
    <t>Phước Bửu</t>
  </si>
  <si>
    <t>77/01</t>
  </si>
  <si>
    <t>Lộc An</t>
  </si>
  <si>
    <t>77/04</t>
  </si>
  <si>
    <t>Tiền Giang</t>
  </si>
  <si>
    <t>Gò Công Đông</t>
  </si>
  <si>
    <t>82/01</t>
  </si>
  <si>
    <t>Tân Phú Đông</t>
  </si>
  <si>
    <t>82/02</t>
  </si>
  <si>
    <t>Tx. Gò Công</t>
  </si>
  <si>
    <t>82/03</t>
  </si>
  <si>
    <t>T.X Gò Công</t>
  </si>
  <si>
    <t>Gò Công Tây</t>
  </si>
  <si>
    <t>82/04</t>
  </si>
  <si>
    <t>Cai Lậy</t>
  </si>
  <si>
    <t>82/05</t>
  </si>
  <si>
    <t>Cá tra</t>
  </si>
  <si>
    <t>Cá tra TP</t>
  </si>
  <si>
    <t>Cá tra nhỏ</t>
  </si>
  <si>
    <t>Cá rô phi đỏ</t>
  </si>
  <si>
    <t>CRPĐ TP</t>
  </si>
  <si>
    <t>Cái Bè</t>
  </si>
  <si>
    <t>82/06</t>
  </si>
  <si>
    <t>CRPĐ nhỏ</t>
  </si>
  <si>
    <t>Mỹ Tho</t>
  </si>
  <si>
    <t>82/07</t>
  </si>
  <si>
    <t>Cá trê</t>
  </si>
  <si>
    <t>Cá trê TP</t>
  </si>
  <si>
    <t>Tân Phước</t>
  </si>
  <si>
    <t>82/08</t>
  </si>
  <si>
    <t>Long An</t>
  </si>
  <si>
    <t>Cần Giuộc</t>
  </si>
  <si>
    <t>80/01</t>
  </si>
  <si>
    <t>Cần Đước</t>
  </si>
  <si>
    <t>80/02</t>
  </si>
  <si>
    <t>Tân Hưng-Kiến Tường</t>
  </si>
  <si>
    <t>80/03</t>
  </si>
  <si>
    <t>Tân Thạnh-Thạnh Hóa</t>
  </si>
  <si>
    <t>80/04</t>
  </si>
  <si>
    <t>Cá thát lát</t>
  </si>
  <si>
    <t>CTL TP</t>
  </si>
  <si>
    <t>Thủ Thừa</t>
  </si>
  <si>
    <t>80/05</t>
  </si>
  <si>
    <t>Cá rô đồng</t>
  </si>
  <si>
    <t>CRĐ TP</t>
  </si>
  <si>
    <t>Cá lóc</t>
  </si>
  <si>
    <t>Cá lóc TP</t>
  </si>
  <si>
    <t>Đồng Nai</t>
  </si>
  <si>
    <t>Long Thành</t>
  </si>
  <si>
    <t>75/01</t>
  </si>
  <si>
    <t>Nhơn Trạch</t>
  </si>
  <si>
    <t>75/02</t>
  </si>
  <si>
    <t>Bến Tre</t>
  </si>
  <si>
    <t>Ba Tri</t>
  </si>
  <si>
    <t>83/01</t>
  </si>
  <si>
    <t>TS nhỏ</t>
  </si>
  <si>
    <t>Bình Đại</t>
  </si>
  <si>
    <t>83/02</t>
  </si>
  <si>
    <t>Thạnh Phú</t>
  </si>
  <si>
    <t>83/03</t>
  </si>
  <si>
    <t>Mỏ Cày</t>
  </si>
  <si>
    <t>83/04</t>
  </si>
  <si>
    <t>Châu Thành</t>
  </si>
  <si>
    <t>83/05</t>
  </si>
  <si>
    <t>Giồng Trôm</t>
  </si>
  <si>
    <t>83/06</t>
  </si>
  <si>
    <t>Chợ Lách</t>
  </si>
  <si>
    <t>83/07</t>
  </si>
  <si>
    <t>Tây Ninh</t>
  </si>
  <si>
    <t>Trảng Bàng</t>
  </si>
  <si>
    <t>72/01</t>
  </si>
  <si>
    <t>Dương Minh Châu</t>
  </si>
  <si>
    <t>72/02</t>
  </si>
  <si>
    <t>Cá trê nhỏ</t>
  </si>
  <si>
    <t>Sóc Trăng</t>
  </si>
  <si>
    <t>Vĩnh Châu</t>
  </si>
  <si>
    <t>94/01</t>
  </si>
  <si>
    <t>Long Phú</t>
  </si>
  <si>
    <t>94/02</t>
  </si>
  <si>
    <t>Mỹ Xuyên</t>
  </si>
  <si>
    <t>94/03</t>
  </si>
  <si>
    <t>Cù Lao Dung</t>
  </si>
  <si>
    <t>94/04</t>
  </si>
  <si>
    <t>Kế Sách</t>
  </si>
  <si>
    <t>94/05</t>
  </si>
  <si>
    <t>Trần Đề</t>
  </si>
  <si>
    <t>94/06</t>
  </si>
  <si>
    <t>Bạc Liêu</t>
  </si>
  <si>
    <t>Tp.Bạc Liêu</t>
  </si>
  <si>
    <t>95/01</t>
  </si>
  <si>
    <t>Vĩnh Lợi - Hòa Bình</t>
  </si>
  <si>
    <t>95/02</t>
  </si>
  <si>
    <t>Đông Hải</t>
  </si>
  <si>
    <t>95/03</t>
  </si>
  <si>
    <t>Giá Rai</t>
  </si>
  <si>
    <t>95/04</t>
  </si>
  <si>
    <t>95/05</t>
  </si>
  <si>
    <t>Cà Mau</t>
  </si>
  <si>
    <t>Đầm Dơi</t>
  </si>
  <si>
    <t>96/01</t>
  </si>
  <si>
    <t>Cái Nước-Phú Tân</t>
  </si>
  <si>
    <t>96/02</t>
  </si>
  <si>
    <t>Ngọc Hiển-Năm Căn</t>
  </si>
  <si>
    <t>96/03</t>
  </si>
  <si>
    <t>Trần Văn Thời</t>
  </si>
  <si>
    <t>96/04</t>
  </si>
  <si>
    <t>Tp. Cà Mau</t>
  </si>
  <si>
    <t>96/05</t>
  </si>
  <si>
    <t>Thới Bình- U Minh</t>
  </si>
  <si>
    <t>96/06</t>
  </si>
  <si>
    <t>An Giang</t>
  </si>
  <si>
    <t>Châu Đốc</t>
  </si>
  <si>
    <t>89/01</t>
  </si>
  <si>
    <t>Cá lóc nhỏ</t>
  </si>
  <si>
    <t>An Phú</t>
  </si>
  <si>
    <t>89/02</t>
  </si>
  <si>
    <t>Long Xuyên</t>
  </si>
  <si>
    <t>89/03</t>
  </si>
  <si>
    <t>Phú Tân</t>
  </si>
  <si>
    <t>89/04</t>
  </si>
  <si>
    <t>Chợ Mới</t>
  </si>
  <si>
    <t>89/05</t>
  </si>
  <si>
    <t>Thoại Sơn</t>
  </si>
  <si>
    <t>89/06</t>
  </si>
  <si>
    <t>Cần Thơ</t>
  </si>
  <si>
    <t>Thốt Nốt</t>
  </si>
  <si>
    <t>92/01</t>
  </si>
  <si>
    <t>Ô Môn</t>
  </si>
  <si>
    <t>92/02</t>
  </si>
  <si>
    <t>Cá nheo Mỹ</t>
  </si>
  <si>
    <t>Cá nheo nhỏ</t>
  </si>
  <si>
    <t>Cá nheo TP</t>
  </si>
  <si>
    <t>Đồng Tháp</t>
  </si>
  <si>
    <t>Hồng Ngự</t>
  </si>
  <si>
    <t>87/01</t>
  </si>
  <si>
    <t>Lai Vung</t>
  </si>
  <si>
    <t>87/02</t>
  </si>
  <si>
    <t>Cao Lãnh</t>
  </si>
  <si>
    <t>87/03</t>
  </si>
  <si>
    <t>87/04</t>
  </si>
  <si>
    <t>Tam Nông</t>
  </si>
  <si>
    <t>87/05</t>
  </si>
  <si>
    <t>Hậu Giang</t>
  </si>
  <si>
    <t>Phụng Hiệp</t>
  </si>
  <si>
    <t>93/01</t>
  </si>
  <si>
    <t>Vị Thủy</t>
  </si>
  <si>
    <t>93/02</t>
  </si>
  <si>
    <t>CTL nhỏ</t>
  </si>
  <si>
    <t>Kiên Giang</t>
  </si>
  <si>
    <t>Kiên Lương</t>
  </si>
  <si>
    <t>91/01</t>
  </si>
  <si>
    <t>An Minh</t>
  </si>
  <si>
    <t>91/02</t>
  </si>
  <si>
    <t>Vĩnh Thuận</t>
  </si>
  <si>
    <t>91/03</t>
  </si>
  <si>
    <t>Trà Vinh</t>
  </si>
  <si>
    <t>Duyên Hải</t>
  </si>
  <si>
    <t>84/01</t>
  </si>
  <si>
    <t>Trà Cú</t>
  </si>
  <si>
    <t>84/02</t>
  </si>
  <si>
    <t>84/03</t>
  </si>
  <si>
    <t>Cầu Kè</t>
  </si>
  <si>
    <t>84/04</t>
  </si>
  <si>
    <t>Tp. Trà Vinh</t>
  </si>
  <si>
    <t>84/05</t>
  </si>
  <si>
    <t>TX Trà Vinh</t>
  </si>
  <si>
    <t>Vĩnh Long</t>
  </si>
  <si>
    <t>Tp. Vĩnh Long</t>
  </si>
  <si>
    <t>86/01</t>
  </si>
  <si>
    <t>Bình Minh</t>
  </si>
  <si>
    <t>86/02</t>
  </si>
  <si>
    <t>Trà Ôn</t>
  </si>
  <si>
    <t>86/03</t>
  </si>
  <si>
    <t>Mang Thít</t>
  </si>
  <si>
    <t>86/04</t>
  </si>
  <si>
    <t>A1c</t>
  </si>
  <si>
    <t>Methyltestosterone</t>
  </si>
  <si>
    <t>Chloramphenicol</t>
  </si>
  <si>
    <t>Florfenicol</t>
  </si>
  <si>
    <t>Trimethoprim</t>
  </si>
  <si>
    <t>Ormetoprim</t>
  </si>
  <si>
    <t>Erythromycin</t>
  </si>
  <si>
    <t>Amoxicillin</t>
  </si>
  <si>
    <t>Fosfomycin</t>
  </si>
  <si>
    <t>Azadirachtin</t>
  </si>
  <si>
    <t>A3f</t>
  </si>
  <si>
    <t>Ivermectin, Praziquantel, Trichlorfon, Avermectin B1a (Abamectin B1a)</t>
  </si>
  <si>
    <t>Levamisol</t>
  </si>
  <si>
    <t>Fenbendazole</t>
  </si>
  <si>
    <t>Trifluralin</t>
  </si>
  <si>
    <t>KLN</t>
  </si>
  <si>
    <t>A3a</t>
  </si>
  <si>
    <t>AOZ</t>
  </si>
  <si>
    <t>Nhóm Nitrofurans</t>
  </si>
  <si>
    <t>Nhóm Nitroimidazoles</t>
  </si>
  <si>
    <t>Nhóm Tetracylines</t>
  </si>
  <si>
    <t>Nhóm Sulfonamides</t>
  </si>
  <si>
    <t>Nhóm Quinolones</t>
  </si>
  <si>
    <t>Nhóm thuốc trừ sâu</t>
  </si>
  <si>
    <t>Nhóm kim loại nặng (Pb, Cd, Hg)</t>
  </si>
  <si>
    <t>Dioxin và PCBs</t>
  </si>
  <si>
    <t>Đơn vị cấp trên</t>
  </si>
  <si>
    <t>T01</t>
  </si>
  <si>
    <t>Cá tra thương phẩm</t>
  </si>
  <si>
    <t>Cá rô phi đỏ thương phẩm</t>
  </si>
  <si>
    <t>Cá trê thương phẩm</t>
  </si>
  <si>
    <t>T02</t>
  </si>
  <si>
    <t>Tôm chân trắng nhỏ</t>
  </si>
  <si>
    <t>Tôm chân trắng thương phẩm</t>
  </si>
  <si>
    <t>Tôm sú thương phẩm</t>
  </si>
  <si>
    <t>Cá rô phi đỏ nhỏ</t>
  </si>
  <si>
    <t>Cá lóc thương phẩm</t>
  </si>
  <si>
    <t>T03</t>
  </si>
  <si>
    <t>Nước ương tôm giống</t>
  </si>
  <si>
    <t>Tôm sú nhỏ</t>
  </si>
  <si>
    <t>Cá thát lát thương phẩm</t>
  </si>
  <si>
    <t>T04</t>
  </si>
  <si>
    <t>Bắc Bình</t>
  </si>
  <si>
    <t>T05</t>
  </si>
  <si>
    <t>Cá nheo thương phẩm</t>
  </si>
  <si>
    <t>T06</t>
  </si>
  <si>
    <t>Cá rô đồng thương phẩm</t>
  </si>
  <si>
    <t>Cá thát lát nhỏ</t>
  </si>
  <si>
    <t>T07</t>
  </si>
  <si>
    <t>T08</t>
  </si>
  <si>
    <t>T09</t>
  </si>
  <si>
    <t>T10</t>
  </si>
  <si>
    <t>T11</t>
  </si>
  <si>
    <t>T12</t>
  </si>
  <si>
    <t>Tên mẫu</t>
  </si>
  <si>
    <t>Chỉ tiêu, nhóm chỉ tiêu</t>
  </si>
  <si>
    <t>Chi cục Quản lý chất lượng nông lâm sản và thủy sản Tp.Cần Thơ</t>
  </si>
  <si>
    <t>Chi cục Chăn nuôi, Thú y và Thủy sản Đồng Tháp</t>
  </si>
  <si>
    <t>Chi cục Quản lý chất lượng nông lâm sản và thủy sản Bạc Liêu</t>
  </si>
  <si>
    <t>Chi cục Quản lý chất lượng nông lâm sản và thủy sản An Giang</t>
  </si>
  <si>
    <t>Chi cục Kiểm lâm và Quản lý chất lượng nông lâm thủy sản Vĩnh Long</t>
  </si>
  <si>
    <t>Chi cục Quản lý chất lượng nông lâm sản và thủy sản Tiền Giang</t>
  </si>
  <si>
    <t>Mã đơn vị</t>
  </si>
  <si>
    <t>Tên đơn vị</t>
  </si>
  <si>
    <t>Địa chỉ E-mail</t>
  </si>
  <si>
    <t>Chi cục Chăn nuôi và Thú y Tây Ninh</t>
  </si>
  <si>
    <t>Chi cục Quản lý chất lượng nông lâm sản và thủy sản Bến Tre</t>
  </si>
  <si>
    <t>Chi cục Quản lý chất lượng nông lâm sản và thủy sản Sóc Trăng</t>
  </si>
  <si>
    <t>Chi cục Thủy sản Cà Mau</t>
  </si>
  <si>
    <t>Chi cục Quản lý chất lượng nông lâm sản và thủy sản Trà Vinh</t>
  </si>
  <si>
    <t>Chi cục Thủy sản Tp.Hồ Chí Minh</t>
  </si>
  <si>
    <t>Chi cục Quản lý chất lượng nông lâm sản và thủy sản Bình Thuận</t>
  </si>
  <si>
    <t>Chi cục Trồng trọt và Quản lý Chất lượng nông sản Long An</t>
  </si>
  <si>
    <t>Chi cục Phát triển nông thôn và Quản lý chất lượng nông lâm thủy sản Đồng Nai</t>
  </si>
  <si>
    <t>Chi cục Quản lý chất lượng nông lâm sản và thủy sản Hậu Giang</t>
  </si>
  <si>
    <t>Chi cục Quản lý chất lượng nông lâm sản và thủy sản Kiên Giang</t>
  </si>
  <si>
    <t>Chi cục Quản lý chất lượng nông lâm sản và thủy sản Bà Rịa-Vũng Tàu</t>
  </si>
  <si>
    <t>SL TS nuôi (Có CĂTB)</t>
  </si>
  <si>
    <t>SL TS nuôi (Không CĂTB)</t>
  </si>
  <si>
    <t>01. Methyltestosterone</t>
  </si>
  <si>
    <t>02. Chloramphenicol</t>
  </si>
  <si>
    <t>03. Nhóm Nitrofurans</t>
  </si>
  <si>
    <t>04. Nhóm Nitroimidazoles</t>
  </si>
  <si>
    <t>05. Nhóm Tetracylines</t>
  </si>
  <si>
    <t>06. Nhóm Sulfonamides</t>
  </si>
  <si>
    <t>07. Nhóm Quinolones</t>
  </si>
  <si>
    <t>08. Florfenicol</t>
  </si>
  <si>
    <t>09. Trimethoprim</t>
  </si>
  <si>
    <t>10. Ormetoprim</t>
  </si>
  <si>
    <t>11. Fosfomycin</t>
  </si>
  <si>
    <t>12. Erythromycin</t>
  </si>
  <si>
    <t>13. Azadirachtin</t>
  </si>
  <si>
    <t>14. Amoxicillin</t>
  </si>
  <si>
    <t>15. Ivermectin
Praziquantel
Trichlorfon
Avermectin B1a (Abamectin B1a)</t>
  </si>
  <si>
    <t>16. Trifluralin</t>
  </si>
  <si>
    <t>17. Levamisol</t>
  </si>
  <si>
    <t>18. Fenbendazole</t>
  </si>
  <si>
    <t>19. Nhóm thuốc trừ sâu</t>
  </si>
  <si>
    <t>20. Chlorpyrifos;
Fipronil</t>
  </si>
  <si>
    <t>21. Nhóm kim loại nặng (Pb, Cd, Hg)</t>
  </si>
  <si>
    <t>22. Malachite Green;
Leuco Malachite Green</t>
  </si>
  <si>
    <t>23. Malachite Green;
Leuco Malachite Green;
Crystal Violet,
Leuco Crystal Violet</t>
  </si>
  <si>
    <t>24. AOZ</t>
  </si>
  <si>
    <t>01. Tp. HCM</t>
  </si>
  <si>
    <t>02. Bình Thuận</t>
  </si>
  <si>
    <t>03. Bà Rịa-Vũng Tàu</t>
  </si>
  <si>
    <t>04. Tiền Giang</t>
  </si>
  <si>
    <t>05. Long An</t>
  </si>
  <si>
    <t>06. Đồng Nai</t>
  </si>
  <si>
    <t>07. Bến Tre</t>
  </si>
  <si>
    <t>08. Tây Ninh</t>
  </si>
  <si>
    <t>09. Sóc Trăng</t>
  </si>
  <si>
    <t>10. Bạc Liêu</t>
  </si>
  <si>
    <t>11. Cà Mau</t>
  </si>
  <si>
    <t>12. An Giang</t>
  </si>
  <si>
    <t>13. Tp.Cần Thơ</t>
  </si>
  <si>
    <t>14. Đồng Tháp</t>
  </si>
  <si>
    <t>15. Hậu Giang</t>
  </si>
  <si>
    <t>16. Kiên Giang</t>
  </si>
  <si>
    <t>17. Trà Vinh</t>
  </si>
  <si>
    <t>18. Vĩnh Long</t>
  </si>
  <si>
    <t>Phước Long-Hồng Dân</t>
  </si>
  <si>
    <t>01. Tôm sú</t>
  </si>
  <si>
    <t>02. Tôm chân trắng</t>
  </si>
  <si>
    <t>03. Cá tra</t>
  </si>
  <si>
    <t>04. Cá rô phi đỏ</t>
  </si>
  <si>
    <t>05. Cá trê</t>
  </si>
  <si>
    <t>06. Cá rô đồng</t>
  </si>
  <si>
    <t>07. Cá lóc</t>
  </si>
  <si>
    <t>08. Cá thát lát</t>
  </si>
  <si>
    <t>09. Cá nheo Mỹ</t>
  </si>
  <si>
    <t>Giới hạn cho phép –MRL (µg/kg)</t>
  </si>
  <si>
    <t>Diethylstilbestrol</t>
  </si>
  <si>
    <t>Không cho phép</t>
  </si>
  <si>
    <t>100 cho từng chất (theo quy định EU)</t>
  </si>
  <si>
    <t>100 (theo quy định EU)</t>
  </si>
  <si>
    <t>1000 (theo quy định EU)</t>
  </si>
  <si>
    <t>50 (theo qui định EU)</t>
  </si>
  <si>
    <t>Không cho phép (theo qui định EU)</t>
  </si>
  <si>
    <t>200 (theo quy định EU)</t>
  </si>
  <si>
    <t>50 (theo quy định EU)</t>
  </si>
  <si>
    <t>- Ivermectin: Không cho phép (theo qui định EU)
- Trichlorfon: Không cho phép
- Praziquantel: Không cho phép (theo qui định EU)
- Avermectin B1a (Abamectin B1a): Không cho phép</t>
  </si>
  <si>
    <t>- Ciprofloxacin: 100 (theo quy định EU)
- Enrofloxacin: 100 (theo quy định EU)
- Flumequine: 600 đối với cá; 200 đối với thủy sản khác (theo quy định EU)
- Sarafloxacin: 30 (theo quy định EU)
- Ofloxacin: Không cho phép</t>
  </si>
  <si>
    <t>- Pb: Trong cá là 300, trong thủy sản khác là 500 (theo quy định EU)
- Cd: Trong cá là 50, trong thủy sản khác là 500 (theo quy định EU)
- Hg: Trong cá tra là 300, trong thủy sản khác là 500 (theo quy định EU)</t>
  </si>
  <si>
    <t>Chlorpyrifos, Fipronil</t>
  </si>
  <si>
    <t>Chỉ tiêu</t>
  </si>
  <si>
    <t>Chloramphenicol, Furazolidone</t>
  </si>
  <si>
    <t>Malachite Green, Leuco Malachite Green</t>
  </si>
  <si>
    <t>Malachite Green, Leuco Malachite Green, Crystal Violet, Leuco Crystal Violet</t>
  </si>
  <si>
    <t>Đối tượng giám sát (loài thuỷ sản nuôi)</t>
  </si>
  <si>
    <t>CRĐ nhỏ</t>
  </si>
  <si>
    <t>Cá rô đồng nhỏ</t>
  </si>
  <si>
    <t>Cá tra giống</t>
  </si>
  <si>
    <t>Cá tra bột</t>
  </si>
  <si>
    <t>PLG-HDN</t>
  </si>
  <si>
    <t>CRĐ</t>
  </si>
  <si>
    <t>01. HCM</t>
  </si>
  <si>
    <t>02. BTN</t>
  </si>
  <si>
    <t>03. VTU</t>
  </si>
  <si>
    <t>04. TGG</t>
  </si>
  <si>
    <t>05. LAN</t>
  </si>
  <si>
    <t>06. DNI</t>
  </si>
  <si>
    <t>07. BTE</t>
  </si>
  <si>
    <t>08. TNH</t>
  </si>
  <si>
    <t>09. ST</t>
  </si>
  <si>
    <t>10. BL</t>
  </si>
  <si>
    <t>11. CM</t>
  </si>
  <si>
    <t>12. AG</t>
  </si>
  <si>
    <t>13. CT</t>
  </si>
  <si>
    <t>14. DT</t>
  </si>
  <si>
    <t>15. HG</t>
  </si>
  <si>
    <t>16. KG</t>
  </si>
  <si>
    <t>17. TV</t>
  </si>
  <si>
    <t>18. VL</t>
  </si>
  <si>
    <t>Mã tỉnh</t>
  </si>
  <si>
    <t>Tên tỉnh/Thành phố</t>
  </si>
  <si>
    <t>Tp.Hồ Chí Minh</t>
  </si>
  <si>
    <t>Bà Rịa-Vũng Tàu</t>
  </si>
  <si>
    <t>Tp.Cần Thơ</t>
  </si>
  <si>
    <t>Mã vùng nuôi</t>
  </si>
  <si>
    <t>Mã đối tượng</t>
  </si>
  <si>
    <t>Đối tượng</t>
  </si>
  <si>
    <t>TS</t>
  </si>
  <si>
    <t>TCT</t>
  </si>
  <si>
    <t>CRPĐ</t>
  </si>
  <si>
    <t>CTL</t>
  </si>
  <si>
    <t>Cá nheo</t>
  </si>
  <si>
    <t>Nước</t>
  </si>
  <si>
    <t>Tháng lấy mẫu và số lượng mẫu cần lấy</t>
  </si>
  <si>
    <t>Chỉ tiêu phân tích</t>
  </si>
  <si>
    <t>A2a</t>
  </si>
  <si>
    <t>A2b</t>
  </si>
  <si>
    <t>A2c</t>
  </si>
  <si>
    <t>CV+ LCV</t>
  </si>
  <si>
    <t>MG+ LMG</t>
  </si>
  <si>
    <t>Dioxin+PCBs</t>
  </si>
  <si>
    <t>Fipronil</t>
  </si>
  <si>
    <t>Chlorpyrifos</t>
  </si>
  <si>
    <t>Ô nhiễm</t>
  </si>
  <si>
    <t>A3c</t>
  </si>
  <si>
    <t>B1a</t>
  </si>
  <si>
    <t>Nitroi</t>
  </si>
  <si>
    <t>B1b</t>
  </si>
  <si>
    <t>Tỉnh/ Thành phố</t>
  </si>
  <si>
    <t>Albendazole</t>
  </si>
  <si>
    <t>Toltrazuril</t>
  </si>
  <si>
    <t>Iver</t>
  </si>
  <si>
    <t>Aver</t>
  </si>
  <si>
    <t>Praz</t>
  </si>
  <si>
    <t>Trich</t>
  </si>
  <si>
    <t>Nước ương</t>
  </si>
  <si>
    <t>Cá chẽm</t>
  </si>
  <si>
    <t>Cá chẽm nhỏ</t>
  </si>
  <si>
    <t>Cá chẽm TP</t>
  </si>
  <si>
    <t>Chlor hữu cơ</t>
  </si>
  <si>
    <t>Methyl</t>
  </si>
  <si>
    <t>Perflu</t>
  </si>
  <si>
    <t>Triflu</t>
  </si>
  <si>
    <t>Trime</t>
  </si>
  <si>
    <t>Thuốc BVTV</t>
  </si>
  <si>
    <t>PHỤ LỤC. KẾ HOẠCH LẤY MẪU KIỂM SOÁT DƯ LƯỢNG NĂM 2024 KHU VỰC NAM BỘ (Kèm theo văn bản số:  300/CCNB-CL ngày 16/4/2024)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</si>
</sst>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NI-Times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.VnTime"/>
      <family val="2"/>
    </font>
    <font>
      <b/>
      <sz val="9"/>
      <name val="Calibri"/>
      <family val="2"/>
      <scheme val="minor"/>
    </font>
    <font>
      <sz val="10"/>
      <name val="Arial"/>
      <family val="2"/>
      <charset val="163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name val="Times New Roman"/>
      <family val="1"/>
    </font>
    <font>
      <b/>
      <sz val="9"/>
      <color theme="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4"/>
      <name val="Calibri"/>
      <family val="2"/>
      <scheme val="minor"/>
    </font>
    <font>
      <sz val="9"/>
      <color theme="5"/>
      <name val="Times New Roman"/>
      <family val="1"/>
    </font>
    <font>
      <b/>
      <sz val="9"/>
      <color theme="5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5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/>
    <xf numFmtId="0" fontId="1" fillId="0" borderId="0"/>
  </cellStyleXfs>
  <cellXfs count="139">
    <xf numFmtId="0" fontId="0" fillId="0" borderId="0" xfId="0"/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7" fillId="9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0" borderId="8" xfId="7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9" xfId="7" applyFont="1" applyBorder="1" applyAlignment="1">
      <alignment horizontal="center" vertical="center" wrapText="1"/>
    </xf>
    <xf numFmtId="0" fontId="7" fillId="0" borderId="9" xfId="7" applyFont="1" applyBorder="1" applyAlignment="1">
      <alignment horizontal="center" vertical="center"/>
    </xf>
    <xf numFmtId="0" fontId="7" fillId="0" borderId="9" xfId="4" applyFont="1" applyFill="1" applyBorder="1" applyAlignment="1">
      <alignment horizontal="center" vertical="center"/>
    </xf>
    <xf numFmtId="0" fontId="7" fillId="0" borderId="9" xfId="4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8" fillId="7" borderId="7" xfId="5" applyFont="1" applyFill="1" applyBorder="1" applyAlignment="1">
      <alignment horizontal="center" vertical="center" textRotation="90" wrapText="1"/>
    </xf>
    <xf numFmtId="0" fontId="8" fillId="7" borderId="7" xfId="5" applyFont="1" applyFill="1" applyBorder="1" applyAlignment="1">
      <alignment horizontal="center" vertical="center" wrapText="1"/>
    </xf>
    <xf numFmtId="3" fontId="7" fillId="0" borderId="8" xfId="1" applyNumberFormat="1" applyFont="1" applyFill="1" applyBorder="1" applyAlignment="1">
      <alignment vertical="center" shrinkToFit="1"/>
    </xf>
    <xf numFmtId="3" fontId="7" fillId="0" borderId="9" xfId="1" applyNumberFormat="1" applyFont="1" applyFill="1" applyBorder="1" applyAlignment="1">
      <alignment vertical="center" shrinkToFit="1"/>
    </xf>
    <xf numFmtId="0" fontId="7" fillId="0" borderId="9" xfId="4" applyFont="1" applyFill="1" applyBorder="1" applyAlignment="1">
      <alignment vertical="center" wrapText="1"/>
    </xf>
    <xf numFmtId="3" fontId="7" fillId="0" borderId="9" xfId="4" applyNumberFormat="1" applyFont="1" applyFill="1" applyBorder="1" applyAlignment="1">
      <alignment vertical="center" shrinkToFit="1"/>
    </xf>
    <xf numFmtId="3" fontId="7" fillId="0" borderId="9" xfId="0" applyNumberFormat="1" applyFont="1" applyBorder="1" applyAlignment="1">
      <alignment vertical="center" shrinkToFit="1"/>
    </xf>
    <xf numFmtId="0" fontId="7" fillId="0" borderId="9" xfId="6" applyNumberFormat="1" applyFont="1" applyFill="1" applyBorder="1" applyAlignment="1">
      <alignment vertical="center" wrapText="1"/>
    </xf>
    <xf numFmtId="3" fontId="11" fillId="0" borderId="9" xfId="6" applyNumberFormat="1" applyFont="1" applyFill="1" applyBorder="1" applyAlignment="1">
      <alignment horizontal="center" vertical="center" shrinkToFit="1"/>
    </xf>
    <xf numFmtId="3" fontId="7" fillId="0" borderId="9" xfId="0" applyNumberFormat="1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7" fillId="0" borderId="12" xfId="7" applyFont="1" applyBorder="1" applyAlignment="1">
      <alignment vertical="center" wrapText="1"/>
    </xf>
    <xf numFmtId="0" fontId="7" fillId="0" borderId="13" xfId="7" applyFont="1" applyBorder="1" applyAlignment="1">
      <alignment vertical="center" wrapText="1"/>
    </xf>
    <xf numFmtId="0" fontId="7" fillId="0" borderId="13" xfId="7" applyFont="1" applyBorder="1" applyAlignment="1">
      <alignment vertical="center"/>
    </xf>
    <xf numFmtId="0" fontId="7" fillId="0" borderId="13" xfId="4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7" fillId="0" borderId="13" xfId="6" applyNumberFormat="1" applyFont="1" applyFill="1" applyBorder="1" applyAlignment="1">
      <alignment vertical="center" wrapText="1"/>
    </xf>
    <xf numFmtId="0" fontId="7" fillId="0" borderId="14" xfId="7" applyFont="1" applyBorder="1" applyAlignment="1">
      <alignment horizontal="center" vertical="center" wrapText="1"/>
    </xf>
    <xf numFmtId="0" fontId="7" fillId="0" borderId="15" xfId="7" applyFont="1" applyBorder="1" applyAlignment="1">
      <alignment horizontal="center" vertical="center" wrapText="1"/>
    </xf>
    <xf numFmtId="0" fontId="7" fillId="0" borderId="15" xfId="7" applyFont="1" applyBorder="1" applyAlignment="1">
      <alignment horizontal="center" vertical="center"/>
    </xf>
    <xf numFmtId="0" fontId="7" fillId="0" borderId="15" xfId="4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3" fontId="11" fillId="0" borderId="15" xfId="6" applyNumberFormat="1" applyFont="1" applyFill="1" applyBorder="1" applyAlignment="1">
      <alignment horizontal="center" vertical="center" shrinkToFit="1"/>
    </xf>
    <xf numFmtId="0" fontId="8" fillId="7" borderId="17" xfId="5" applyFont="1" applyFill="1" applyBorder="1" applyAlignment="1">
      <alignment horizontal="center" vertical="center" wrapText="1"/>
    </xf>
    <xf numFmtId="3" fontId="8" fillId="7" borderId="7" xfId="5" applyNumberFormat="1" applyFont="1" applyFill="1" applyBorder="1" applyAlignment="1">
      <alignment horizontal="center" vertical="center" wrapText="1"/>
    </xf>
    <xf numFmtId="0" fontId="13" fillId="7" borderId="7" xfId="5" applyFont="1" applyFill="1" applyBorder="1" applyAlignment="1">
      <alignment horizontal="center" vertical="center" textRotation="90" wrapText="1"/>
    </xf>
    <xf numFmtId="0" fontId="13" fillId="7" borderId="16" xfId="5" applyFont="1" applyFill="1" applyBorder="1" applyAlignment="1">
      <alignment horizontal="center" vertical="center" textRotation="90" wrapText="1"/>
    </xf>
    <xf numFmtId="0" fontId="7" fillId="0" borderId="1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7" borderId="2" xfId="5" applyFont="1" applyFill="1" applyBorder="1" applyAlignment="1">
      <alignment vertical="center"/>
    </xf>
    <xf numFmtId="0" fontId="19" fillId="7" borderId="2" xfId="5" applyFont="1" applyFill="1" applyBorder="1" applyAlignment="1">
      <alignment horizontal="center" vertical="center"/>
    </xf>
    <xf numFmtId="3" fontId="17" fillId="7" borderId="2" xfId="5" applyNumberFormat="1" applyFont="1" applyFill="1" applyBorder="1" applyAlignment="1">
      <alignment horizontal="center" vertical="center" wrapText="1"/>
    </xf>
    <xf numFmtId="0" fontId="17" fillId="7" borderId="2" xfId="5" applyFont="1" applyFill="1" applyBorder="1" applyAlignment="1">
      <alignment horizontal="center" vertical="center" textRotation="90" wrapText="1"/>
    </xf>
    <xf numFmtId="0" fontId="17" fillId="11" borderId="2" xfId="5" applyFont="1" applyFill="1" applyBorder="1" applyAlignment="1">
      <alignment horizontal="center" vertical="center" textRotation="90" wrapText="1"/>
    </xf>
    <xf numFmtId="0" fontId="19" fillId="11" borderId="2" xfId="5" applyFont="1" applyFill="1" applyBorder="1" applyAlignment="1">
      <alignment horizontal="center" vertical="center" textRotation="90" wrapText="1"/>
    </xf>
    <xf numFmtId="0" fontId="17" fillId="7" borderId="2" xfId="5" applyFont="1" applyFill="1" applyBorder="1" applyAlignment="1">
      <alignment vertical="center" textRotation="90"/>
    </xf>
    <xf numFmtId="0" fontId="18" fillId="7" borderId="2" xfId="0" applyFont="1" applyFill="1" applyBorder="1" applyAlignment="1">
      <alignment vertical="center" textRotation="90"/>
    </xf>
    <xf numFmtId="0" fontId="20" fillId="8" borderId="6" xfId="3" applyFont="1" applyFill="1" applyBorder="1" applyAlignment="1">
      <alignment horizontal="center" vertical="center" wrapText="1"/>
    </xf>
    <xf numFmtId="3" fontId="20" fillId="8" borderId="6" xfId="3" applyNumberFormat="1" applyFont="1" applyFill="1" applyBorder="1" applyAlignment="1">
      <alignment horizontal="center" vertical="center" shrinkToFit="1"/>
    </xf>
    <xf numFmtId="0" fontId="21" fillId="0" borderId="0" xfId="0" applyFont="1" applyAlignment="1">
      <alignment vertical="center" wrapText="1"/>
    </xf>
    <xf numFmtId="0" fontId="19" fillId="6" borderId="2" xfId="6" applyNumberFormat="1" applyFont="1" applyBorder="1" applyAlignment="1">
      <alignment horizontal="center" vertical="center" wrapText="1"/>
    </xf>
    <xf numFmtId="3" fontId="19" fillId="6" borderId="2" xfId="6" applyNumberFormat="1" applyFont="1" applyBorder="1" applyAlignment="1">
      <alignment horizontal="center" vertical="center" shrinkToFit="1"/>
    </xf>
    <xf numFmtId="0" fontId="19" fillId="2" borderId="2" xfId="2" applyNumberFormat="1" applyFont="1" applyBorder="1" applyAlignment="1">
      <alignment horizontal="center" vertical="center" wrapText="1"/>
    </xf>
    <xf numFmtId="3" fontId="19" fillId="2" borderId="2" xfId="2" applyNumberFormat="1" applyFont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17" fillId="10" borderId="2" xfId="5" applyFont="1" applyFill="1" applyBorder="1" applyAlignment="1">
      <alignment vertical="center" textRotation="90"/>
    </xf>
    <xf numFmtId="0" fontId="17" fillId="10" borderId="2" xfId="5" applyFont="1" applyFill="1" applyBorder="1" applyAlignment="1">
      <alignment horizontal="center" vertical="center" textRotation="90" wrapText="1"/>
    </xf>
    <xf numFmtId="0" fontId="20" fillId="10" borderId="6" xfId="3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vertical="center" textRotation="90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9" borderId="9" xfId="0" applyFont="1" applyFill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21" fillId="10" borderId="9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vertical="center" textRotation="90"/>
    </xf>
    <xf numFmtId="0" fontId="19" fillId="8" borderId="6" xfId="3" applyFont="1" applyFill="1" applyBorder="1" applyAlignment="1">
      <alignment horizontal="center" vertical="center" wrapText="1"/>
    </xf>
    <xf numFmtId="0" fontId="19" fillId="11" borderId="2" xfId="5" applyFont="1" applyFill="1" applyBorder="1" applyAlignment="1">
      <alignment horizontal="center" vertical="center" textRotation="90"/>
    </xf>
    <xf numFmtId="0" fontId="24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6" borderId="2" xfId="6" applyNumberFormat="1" applyFont="1" applyBorder="1" applyAlignment="1">
      <alignment horizontal="center" vertical="center" wrapText="1"/>
    </xf>
    <xf numFmtId="3" fontId="25" fillId="6" borderId="2" xfId="6" applyNumberFormat="1" applyFont="1" applyBorder="1" applyAlignment="1">
      <alignment horizontal="center" vertical="center" shrinkToFit="1"/>
    </xf>
    <xf numFmtId="0" fontId="24" fillId="0" borderId="0" xfId="0" applyFont="1" applyAlignment="1">
      <alignment vertical="center" wrapText="1"/>
    </xf>
    <xf numFmtId="0" fontId="21" fillId="0" borderId="1" xfId="0" applyFont="1" applyBorder="1" applyAlignment="1">
      <alignment horizontal="center" vertical="center" textRotation="90"/>
    </xf>
    <xf numFmtId="0" fontId="21" fillId="0" borderId="6" xfId="0" applyFont="1" applyBorder="1" applyAlignment="1">
      <alignment horizontal="center" vertical="center" textRotation="90"/>
    </xf>
    <xf numFmtId="0" fontId="21" fillId="0" borderId="7" xfId="0" applyFont="1" applyBorder="1" applyAlignment="1">
      <alignment horizontal="center" vertical="center" textRotation="90"/>
    </xf>
    <xf numFmtId="0" fontId="21" fillId="0" borderId="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shrinkToFit="1"/>
    </xf>
    <xf numFmtId="3" fontId="21" fillId="0" borderId="6" xfId="0" applyNumberFormat="1" applyFont="1" applyBorder="1" applyAlignment="1">
      <alignment horizontal="center" vertical="center" shrinkToFit="1"/>
    </xf>
    <xf numFmtId="0" fontId="21" fillId="0" borderId="7" xfId="0" applyFont="1" applyBorder="1" applyAlignment="1">
      <alignment horizontal="center" vertical="center" wrapText="1"/>
    </xf>
    <xf numFmtId="3" fontId="21" fillId="0" borderId="7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textRotation="90"/>
    </xf>
    <xf numFmtId="0" fontId="24" fillId="0" borderId="6" xfId="0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shrinkToFit="1"/>
    </xf>
    <xf numFmtId="3" fontId="24" fillId="0" borderId="6" xfId="0" applyNumberFormat="1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left" vertical="center"/>
    </xf>
    <xf numFmtId="0" fontId="19" fillId="7" borderId="3" xfId="5" applyFont="1" applyFill="1" applyBorder="1" applyAlignment="1">
      <alignment horizontal="center" vertical="center"/>
    </xf>
    <xf numFmtId="0" fontId="19" fillId="7" borderId="4" xfId="5" applyFont="1" applyFill="1" applyBorder="1" applyAlignment="1">
      <alignment horizontal="center" vertical="center"/>
    </xf>
    <xf numFmtId="0" fontId="19" fillId="7" borderId="5" xfId="5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 textRotation="90"/>
    </xf>
    <xf numFmtId="0" fontId="21" fillId="9" borderId="6" xfId="0" applyFont="1" applyFill="1" applyBorder="1" applyAlignment="1">
      <alignment horizontal="center" vertical="center" textRotation="90"/>
    </xf>
    <xf numFmtId="0" fontId="18" fillId="10" borderId="1" xfId="5" applyFont="1" applyFill="1" applyBorder="1" applyAlignment="1">
      <alignment horizontal="center" vertical="center" textRotation="90"/>
    </xf>
    <xf numFmtId="0" fontId="18" fillId="10" borderId="7" xfId="5" applyFont="1" applyFill="1" applyBorder="1" applyAlignment="1">
      <alignment horizontal="center" vertical="center" textRotation="90"/>
    </xf>
    <xf numFmtId="0" fontId="17" fillId="7" borderId="1" xfId="5" applyFont="1" applyFill="1" applyBorder="1" applyAlignment="1">
      <alignment horizontal="center" vertical="center" wrapText="1"/>
    </xf>
    <xf numFmtId="0" fontId="17" fillId="7" borderId="7" xfId="5" applyFont="1" applyFill="1" applyBorder="1" applyAlignment="1">
      <alignment horizontal="center" vertical="center" wrapText="1"/>
    </xf>
    <xf numFmtId="0" fontId="17" fillId="7" borderId="1" xfId="5" applyFont="1" applyFill="1" applyBorder="1" applyAlignment="1">
      <alignment horizontal="center" vertical="center" textRotation="90" wrapText="1"/>
    </xf>
    <xf numFmtId="0" fontId="17" fillId="7" borderId="6" xfId="5" applyFont="1" applyFill="1" applyBorder="1" applyAlignment="1">
      <alignment horizontal="center" vertical="center" textRotation="90" wrapText="1"/>
    </xf>
    <xf numFmtId="0" fontId="17" fillId="7" borderId="7" xfId="5" applyFont="1" applyFill="1" applyBorder="1" applyAlignment="1">
      <alignment horizontal="center" vertical="center" textRotation="90" wrapText="1"/>
    </xf>
    <xf numFmtId="0" fontId="17" fillId="7" borderId="1" xfId="5" applyFont="1" applyFill="1" applyBorder="1" applyAlignment="1">
      <alignment horizontal="center" vertical="center"/>
    </xf>
    <xf numFmtId="0" fontId="17" fillId="7" borderId="7" xfId="5" applyFont="1" applyFill="1" applyBorder="1" applyAlignment="1">
      <alignment horizontal="center" vertical="center"/>
    </xf>
    <xf numFmtId="0" fontId="17" fillId="7" borderId="3" xfId="5" applyFont="1" applyFill="1" applyBorder="1" applyAlignment="1">
      <alignment horizontal="center" vertical="center" wrapText="1"/>
    </xf>
    <xf numFmtId="0" fontId="17" fillId="7" borderId="4" xfId="5" applyFont="1" applyFill="1" applyBorder="1" applyAlignment="1">
      <alignment horizontal="center" vertical="center" wrapText="1"/>
    </xf>
    <xf numFmtId="0" fontId="19" fillId="7" borderId="3" xfId="5" applyFont="1" applyFill="1" applyBorder="1" applyAlignment="1">
      <alignment horizontal="center" vertical="center" wrapText="1"/>
    </xf>
    <xf numFmtId="0" fontId="19" fillId="7" borderId="4" xfId="5" applyFont="1" applyFill="1" applyBorder="1" applyAlignment="1">
      <alignment horizontal="center" vertical="center" wrapText="1"/>
    </xf>
    <xf numFmtId="0" fontId="19" fillId="7" borderId="5" xfId="5" applyFont="1" applyFill="1" applyBorder="1" applyAlignment="1">
      <alignment horizontal="center" vertical="center" wrapText="1"/>
    </xf>
    <xf numFmtId="0" fontId="17" fillId="7" borderId="6" xfId="5" applyFont="1" applyFill="1" applyBorder="1" applyAlignment="1">
      <alignment horizontal="center" vertical="center" wrapText="1"/>
    </xf>
    <xf numFmtId="0" fontId="17" fillId="7" borderId="3" xfId="5" applyFont="1" applyFill="1" applyBorder="1" applyAlignment="1">
      <alignment horizontal="center" vertical="center"/>
    </xf>
    <xf numFmtId="0" fontId="17" fillId="7" borderId="4" xfId="5" applyFont="1" applyFill="1" applyBorder="1" applyAlignment="1">
      <alignment horizontal="center" vertical="center"/>
    </xf>
    <xf numFmtId="0" fontId="17" fillId="7" borderId="5" xfId="5" applyFont="1" applyFill="1" applyBorder="1" applyAlignment="1">
      <alignment horizontal="center" vertical="center"/>
    </xf>
    <xf numFmtId="3" fontId="18" fillId="7" borderId="2" xfId="5" applyNumberFormat="1" applyFont="1" applyFill="1" applyBorder="1" applyAlignment="1">
      <alignment horizontal="center" vertical="center" wrapText="1"/>
    </xf>
    <xf numFmtId="0" fontId="19" fillId="7" borderId="2" xfId="5" applyFont="1" applyFill="1" applyBorder="1" applyAlignment="1">
      <alignment horizontal="center" vertical="center"/>
    </xf>
  </cellXfs>
  <cellStyles count="14">
    <cellStyle name="40% - Accent1" xfId="4" builtinId="31"/>
    <cellStyle name="40% - Accent2" xfId="5" builtinId="35"/>
    <cellStyle name="40% - Accent4" xfId="6" builtinId="43"/>
    <cellStyle name="Accent1" xfId="3" builtinId="29"/>
    <cellStyle name="Comma" xfId="1" builtinId="3"/>
    <cellStyle name="Comma 2" xfId="10"/>
    <cellStyle name="Comma 2 3" xfId="11"/>
    <cellStyle name="Comma 3" xfId="9"/>
    <cellStyle name="Good" xfId="2" builtinId="26"/>
    <cellStyle name="Normal" xfId="0" builtinId="0"/>
    <cellStyle name="Normal 2" xfId="12"/>
    <cellStyle name="Normal 3" xfId="8"/>
    <cellStyle name="Normal 4" xfId="13"/>
    <cellStyle name="Normal_TTV6- Ke hoach lay mau DL nam 2007 (cancel)" xfId="7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PivotTable Styl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rang\THAIBAO\THU%20VIEN%20TN\d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</sheetNames>
    <sheetDataSet>
      <sheetData sheetId="0" refreshError="1"/>
      <sheetData sheetId="1" refreshError="1"/>
      <sheetData sheetId="2">
        <row r="7">
          <cell r="B7" t="str">
            <v>A dao</v>
          </cell>
          <cell r="C7">
            <v>1</v>
          </cell>
          <cell r="E7" t="str">
            <v>Nhaân coâng 2,7/7</v>
          </cell>
          <cell r="F7">
            <v>1</v>
          </cell>
          <cell r="H7" t="str">
            <v>Maùy troän 250 lít</v>
          </cell>
          <cell r="I7">
            <v>1</v>
          </cell>
        </row>
        <row r="8">
          <cell r="B8" t="str">
            <v>Baät saét 20x4x250</v>
          </cell>
          <cell r="C8">
            <v>2</v>
          </cell>
          <cell r="E8" t="str">
            <v>Nhaân coâng 3/7</v>
          </cell>
          <cell r="F8">
            <v>2</v>
          </cell>
          <cell r="H8" t="str">
            <v>Maùy ñaàm baøn 1kw</v>
          </cell>
          <cell r="I8">
            <v>2</v>
          </cell>
        </row>
        <row r="9">
          <cell r="B9" t="str">
            <v>Baät saét d = 10mm</v>
          </cell>
          <cell r="C9">
            <v>3</v>
          </cell>
          <cell r="E9" t="str">
            <v>Nhaân coâng 3,5/7</v>
          </cell>
          <cell r="F9">
            <v>3</v>
          </cell>
          <cell r="H9" t="str">
            <v>Maùy ñaàm duøi 1,5Kw</v>
          </cell>
          <cell r="I9">
            <v>3</v>
          </cell>
        </row>
        <row r="10">
          <cell r="B10" t="str">
            <v>Baät saét d=10mm</v>
          </cell>
          <cell r="C10">
            <v>4</v>
          </cell>
          <cell r="E10" t="str">
            <v>Nhaân coâng 3,7/7</v>
          </cell>
          <cell r="F10">
            <v>4</v>
          </cell>
          <cell r="H10" t="str">
            <v>Maùy caét uoán</v>
          </cell>
          <cell r="I10">
            <v>4</v>
          </cell>
        </row>
        <row r="11">
          <cell r="B11" t="str">
            <v>Boä ñieàu toác quaït(32V400FM/K) Uùc</v>
          </cell>
          <cell r="C11">
            <v>5</v>
          </cell>
          <cell r="E11" t="str">
            <v>Nhaân coâng 4/7</v>
          </cell>
          <cell r="F11">
            <v>5</v>
          </cell>
          <cell r="H11" t="str">
            <v>Maùy haøn 23Kw</v>
          </cell>
          <cell r="I11">
            <v>5</v>
          </cell>
        </row>
        <row r="12">
          <cell r="B12" t="str">
            <v>Boàn inox 3m3 ngang Dapha</v>
          </cell>
          <cell r="C12">
            <v>6</v>
          </cell>
          <cell r="E12" t="str">
            <v>Nhaân coâng 4,5/7</v>
          </cell>
          <cell r="F12">
            <v>6</v>
          </cell>
          <cell r="H12" t="str">
            <v>Maùy vaän thaêng 0,8T</v>
          </cell>
          <cell r="I12">
            <v>6</v>
          </cell>
        </row>
        <row r="13">
          <cell r="B13" t="str">
            <v>Boàn inox 5m3 ngang Dapha</v>
          </cell>
          <cell r="C13">
            <v>7</v>
          </cell>
          <cell r="H13" t="str">
            <v>Maùy troän vöõa 80 lít</v>
          </cell>
          <cell r="I13">
            <v>7</v>
          </cell>
        </row>
        <row r="14">
          <cell r="B14" t="str">
            <v>Boät maøu</v>
          </cell>
          <cell r="C14">
            <v>8</v>
          </cell>
          <cell r="H14" t="str">
            <v>Maùy haøn 15Kw</v>
          </cell>
          <cell r="I14">
            <v>8</v>
          </cell>
        </row>
        <row r="15">
          <cell r="B15" t="str">
            <v>Bu long M20x80</v>
          </cell>
          <cell r="C15">
            <v>9</v>
          </cell>
          <cell r="H15" t="str">
            <v>Maùy khoan 4,5Kw</v>
          </cell>
          <cell r="I15">
            <v>9</v>
          </cell>
        </row>
        <row r="16">
          <cell r="B16" t="str">
            <v>Bulong M20x80</v>
          </cell>
          <cell r="C16">
            <v>10</v>
          </cell>
          <cell r="H16" t="str">
            <v>Maùy haøn 14Kw</v>
          </cell>
          <cell r="I16">
            <v>10</v>
          </cell>
        </row>
        <row r="17">
          <cell r="B17" t="str">
            <v>Caàn caåu 10T</v>
          </cell>
          <cell r="C17">
            <v>11</v>
          </cell>
          <cell r="H17" t="str">
            <v>Khoan caàm tay</v>
          </cell>
          <cell r="I17">
            <v>11</v>
          </cell>
        </row>
        <row r="18">
          <cell r="B18" t="str">
            <v>Caàu dao ñaûo 4 cöïc 250A(5LBC4250) uùc</v>
          </cell>
          <cell r="C18">
            <v>12</v>
          </cell>
        </row>
        <row r="19">
          <cell r="B19" t="str">
            <v>Caàu thu raùc oáng xoái</v>
          </cell>
          <cell r="C19">
            <v>13</v>
          </cell>
        </row>
        <row r="20">
          <cell r="B20" t="str">
            <v>Caây choáng</v>
          </cell>
          <cell r="C20">
            <v>14</v>
          </cell>
        </row>
        <row r="21">
          <cell r="B21" t="str">
            <v>Caùp cv 22</v>
          </cell>
          <cell r="C21">
            <v>15</v>
          </cell>
        </row>
        <row r="22">
          <cell r="B22" t="str">
            <v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>Caùt vaøng</v>
          </cell>
          <cell r="C24">
            <v>18</v>
          </cell>
        </row>
        <row r="25">
          <cell r="B25" t="str">
            <v>CB 100A 3P ABE103a LG</v>
          </cell>
          <cell r="C25">
            <v>19</v>
          </cell>
        </row>
        <row r="26">
          <cell r="B26" t="str">
            <v>CB 10A 2P ABE32a LG</v>
          </cell>
          <cell r="C26">
            <v>20</v>
          </cell>
        </row>
        <row r="27">
          <cell r="B27" t="str">
            <v>CB 125A 2P ABE202a LG</v>
          </cell>
          <cell r="C27">
            <v>21</v>
          </cell>
        </row>
        <row r="28">
          <cell r="B28" t="str">
            <v>CB 150A 2P ABE202a LG</v>
          </cell>
          <cell r="C28">
            <v>22</v>
          </cell>
        </row>
        <row r="29">
          <cell r="B29" t="str">
            <v>CB 150A 3P ABS203a LG</v>
          </cell>
          <cell r="C29">
            <v>23</v>
          </cell>
        </row>
        <row r="30">
          <cell r="B30" t="str">
            <v>CB 250A 3P ABS 403a LG</v>
          </cell>
          <cell r="C30">
            <v>24</v>
          </cell>
        </row>
        <row r="31">
          <cell r="B31" t="str">
            <v>CB 30A 3P ABE33a LG</v>
          </cell>
          <cell r="C31">
            <v>25</v>
          </cell>
        </row>
        <row r="32">
          <cell r="B32" t="str">
            <v>CB 40A 2P ABE52a LG</v>
          </cell>
          <cell r="C32">
            <v>26</v>
          </cell>
        </row>
        <row r="33">
          <cell r="B33" t="str">
            <v>CB 50A 3P ABE53a LG</v>
          </cell>
          <cell r="C33">
            <v>27</v>
          </cell>
        </row>
        <row r="34">
          <cell r="B34" t="str">
            <v>CB 60A 3P ABE63a LG</v>
          </cell>
          <cell r="C34">
            <v>28</v>
          </cell>
        </row>
        <row r="35">
          <cell r="B35" t="str">
            <v>CB 75A 3P ABE103a LG</v>
          </cell>
          <cell r="C35">
            <v>29</v>
          </cell>
        </row>
        <row r="36">
          <cell r="B36" t="str">
            <v>Chao chuïp</v>
          </cell>
          <cell r="C36">
            <v>30</v>
          </cell>
        </row>
        <row r="37">
          <cell r="B37" t="str">
            <v>Co PVC Þ34-21</v>
          </cell>
          <cell r="C37">
            <v>31</v>
          </cell>
        </row>
        <row r="38">
          <cell r="B38" t="str">
            <v>Co PVC Þ60</v>
          </cell>
          <cell r="C38">
            <v>32</v>
          </cell>
        </row>
        <row r="39">
          <cell r="B39" t="str">
            <v>Coân PVC Þ34/27/21</v>
          </cell>
          <cell r="C39">
            <v>33</v>
          </cell>
        </row>
        <row r="40">
          <cell r="B40" t="str">
            <v>Coân PVC Þ60/34</v>
          </cell>
          <cell r="C40">
            <v>34</v>
          </cell>
        </row>
        <row r="41">
          <cell r="B41" t="str">
            <v>Coàn röûa</v>
          </cell>
          <cell r="C41">
            <v>35</v>
          </cell>
        </row>
        <row r="42">
          <cell r="B42" t="str">
            <v>Coïc ñoàng Þ16 L = 2,4m Cadivi</v>
          </cell>
          <cell r="C42">
            <v>36</v>
          </cell>
        </row>
        <row r="43">
          <cell r="B43" t="str">
            <v>Con taéc 2 daây aâm ( 30/1/2M-1D) uùc</v>
          </cell>
          <cell r="C43">
            <v>37</v>
          </cell>
        </row>
        <row r="44">
          <cell r="B44" t="str">
            <v>Con taéc 3 daây aâm( 30M) Uùc</v>
          </cell>
          <cell r="C44">
            <v>38</v>
          </cell>
        </row>
        <row r="45">
          <cell r="B45" t="str">
            <v>Cöûa nhöïa NVS</v>
          </cell>
          <cell r="C45">
            <v>39</v>
          </cell>
        </row>
        <row r="46">
          <cell r="B46" t="str">
            <v>Cöûa ñi saét kính</v>
          </cell>
          <cell r="C46">
            <v>40</v>
          </cell>
        </row>
        <row r="47">
          <cell r="B47" t="str">
            <v>Cöûa soå luøa saét kính</v>
          </cell>
          <cell r="C47">
            <v>41</v>
          </cell>
        </row>
        <row r="48">
          <cell r="B48" t="str">
            <v>Daây daãn</v>
          </cell>
          <cell r="C48">
            <v>42</v>
          </cell>
        </row>
        <row r="49">
          <cell r="B49" t="str">
            <v>Daây ñieän ñôn vc 1,5</v>
          </cell>
          <cell r="C49">
            <v>43</v>
          </cell>
        </row>
        <row r="50">
          <cell r="B50" t="str">
            <v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>Gaïch 20x10</v>
          </cell>
          <cell r="C52">
            <v>46</v>
          </cell>
        </row>
        <row r="53">
          <cell r="B53" t="str">
            <v>Gaïch boäng</v>
          </cell>
          <cell r="C53">
            <v>47</v>
          </cell>
        </row>
        <row r="54">
          <cell r="B54" t="str">
            <v>Gaïch Ceramic 20x15</v>
          </cell>
          <cell r="C54">
            <v>48</v>
          </cell>
        </row>
        <row r="55">
          <cell r="B55" t="str">
            <v>Gaïch Ceramic 30x30</v>
          </cell>
          <cell r="C55">
            <v>49</v>
          </cell>
        </row>
        <row r="56">
          <cell r="B56" t="str">
            <v>Gaïch Ceramic nhaùm 20x20</v>
          </cell>
          <cell r="C56">
            <v>50</v>
          </cell>
        </row>
        <row r="57">
          <cell r="B57" t="str">
            <v>Gaïch men 15x30</v>
          </cell>
          <cell r="C57">
            <v>51</v>
          </cell>
        </row>
        <row r="58">
          <cell r="B58" t="str">
            <v>Gaïch oáng 10x10x20</v>
          </cell>
          <cell r="C58">
            <v>52</v>
          </cell>
        </row>
        <row r="59">
          <cell r="B59" t="str">
            <v>Gaïch oáng 8x8x19</v>
          </cell>
          <cell r="C59">
            <v>53</v>
          </cell>
        </row>
        <row r="60">
          <cell r="B60" t="str">
            <v>Gaïch theû 4x8x19</v>
          </cell>
          <cell r="C60">
            <v>54</v>
          </cell>
        </row>
        <row r="61">
          <cell r="B61" t="str">
            <v>Gaïch xi maêng 20x20</v>
          </cell>
          <cell r="C61">
            <v>55</v>
          </cell>
        </row>
        <row r="62">
          <cell r="B62" t="str">
            <v>Giaù ñôõ maùy</v>
          </cell>
          <cell r="C62">
            <v>56</v>
          </cell>
        </row>
        <row r="63">
          <cell r="B63" t="str">
            <v>Giaùy nhaùm</v>
          </cell>
          <cell r="C63">
            <v>57</v>
          </cell>
        </row>
        <row r="64">
          <cell r="B64" t="str">
            <v>Goã caàu coâng taùc</v>
          </cell>
          <cell r="C64">
            <v>58</v>
          </cell>
        </row>
        <row r="65">
          <cell r="B65" t="str">
            <v>Goã cheøn</v>
          </cell>
          <cell r="C65">
            <v>59</v>
          </cell>
        </row>
        <row r="66">
          <cell r="B66" t="str">
            <v>Goã choáng</v>
          </cell>
          <cell r="C66">
            <v>60</v>
          </cell>
        </row>
        <row r="67">
          <cell r="B67" t="str">
            <v>Goã ñaø neïp</v>
          </cell>
          <cell r="C67">
            <v>61</v>
          </cell>
        </row>
        <row r="68">
          <cell r="B68" t="str">
            <v>Goã vaùn</v>
          </cell>
          <cell r="C68">
            <v>62</v>
          </cell>
        </row>
        <row r="69">
          <cell r="B69" t="str">
            <v>Goã xeû</v>
          </cell>
          <cell r="C69">
            <v>63</v>
          </cell>
        </row>
        <row r="70">
          <cell r="B70" t="str">
            <v>Hoá ñaáu daây 4CB54 cty Nam vieät</v>
          </cell>
          <cell r="C70">
            <v>64</v>
          </cell>
        </row>
        <row r="71">
          <cell r="B71" t="str">
            <v>Hoäp con taéc S/Wbox1</v>
          </cell>
          <cell r="C71">
            <v>65</v>
          </cell>
        </row>
        <row r="72">
          <cell r="B72" t="str">
            <v>Hoäp gaén oå ñieän thoaïi</v>
          </cell>
          <cell r="C72">
            <v>66</v>
          </cell>
        </row>
        <row r="73">
          <cell r="B73" t="str">
            <v>Hoäp noái caùp ñieän thoaïi</v>
          </cell>
          <cell r="C73">
            <v>67</v>
          </cell>
        </row>
        <row r="74">
          <cell r="B74" t="str">
            <v>Hoäp noái caùp tieáp ñaát kho saùch</v>
          </cell>
          <cell r="C74">
            <v>68</v>
          </cell>
        </row>
        <row r="75">
          <cell r="B75" t="str">
            <v>Hoäp soá</v>
          </cell>
          <cell r="C75">
            <v>69</v>
          </cell>
        </row>
        <row r="76">
          <cell r="B76" t="str">
            <v>Hoäp tole</v>
          </cell>
          <cell r="C76">
            <v>70</v>
          </cell>
        </row>
        <row r="77">
          <cell r="B77" t="str">
            <v>Keõm buoäc</v>
          </cell>
          <cell r="C77">
            <v>71</v>
          </cell>
        </row>
        <row r="78">
          <cell r="B78" t="str">
            <v>Khung goã</v>
          </cell>
          <cell r="C78">
            <v>72</v>
          </cell>
        </row>
        <row r="79">
          <cell r="B79" t="str">
            <v>Khung saét kính cheát</v>
          </cell>
          <cell r="C79">
            <v>73</v>
          </cell>
        </row>
        <row r="80">
          <cell r="B80" t="str">
            <v>Kim thu seùt S 4,5 Phaùp</v>
          </cell>
          <cell r="C80">
            <v>74</v>
          </cell>
        </row>
        <row r="81">
          <cell r="B81" t="str">
            <v>Maêng soâng Þ114</v>
          </cell>
          <cell r="C81">
            <v>75</v>
          </cell>
        </row>
        <row r="82">
          <cell r="B82" t="str">
            <v>Maêng soâng Þ21</v>
          </cell>
          <cell r="C82">
            <v>76</v>
          </cell>
        </row>
        <row r="83">
          <cell r="B83" t="str">
            <v>Maêng soâng Þ27</v>
          </cell>
          <cell r="C83">
            <v>77</v>
          </cell>
        </row>
        <row r="84">
          <cell r="B84" t="str">
            <v>Maêng soâng Þ34</v>
          </cell>
          <cell r="C84">
            <v>78</v>
          </cell>
        </row>
        <row r="85">
          <cell r="B85" t="str">
            <v>Maêng soâng Þ60</v>
          </cell>
          <cell r="C85">
            <v>79</v>
          </cell>
        </row>
        <row r="86">
          <cell r="B86" t="str">
            <v>Maêng soâng Þ75</v>
          </cell>
          <cell r="C86">
            <v>80</v>
          </cell>
        </row>
        <row r="87">
          <cell r="B87" t="str">
            <v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>Moùc saét</v>
          </cell>
          <cell r="C89">
            <v>83</v>
          </cell>
        </row>
        <row r="90">
          <cell r="B90" t="str">
            <v>Moùc saét ñeäm</v>
          </cell>
          <cell r="C90">
            <v>84</v>
          </cell>
        </row>
        <row r="91">
          <cell r="B91" t="str">
            <v>Ñaát ñeøn</v>
          </cell>
          <cell r="C91">
            <v>85</v>
          </cell>
        </row>
        <row r="92">
          <cell r="B92" t="str">
            <v>Ñaù 1x2</v>
          </cell>
          <cell r="C92">
            <v>86</v>
          </cell>
        </row>
        <row r="93">
          <cell r="B93" t="str">
            <v>Ñaù 4x6</v>
          </cell>
          <cell r="C93">
            <v>87</v>
          </cell>
        </row>
        <row r="94">
          <cell r="B94" t="str">
            <v>Neïp goã</v>
          </cell>
          <cell r="C94">
            <v>88</v>
          </cell>
        </row>
        <row r="95">
          <cell r="B95" t="str">
            <v>Ñeøn 1,2*2 maùng taùn quang VN</v>
          </cell>
          <cell r="C95">
            <v>89</v>
          </cell>
        </row>
        <row r="96">
          <cell r="B96" t="str">
            <v>Ñeøn 1,2*3 maùng taùn quang VN</v>
          </cell>
          <cell r="C96">
            <v>90</v>
          </cell>
        </row>
        <row r="97">
          <cell r="B97" t="str">
            <v>Ñeøn aùp töôøng 40W</v>
          </cell>
          <cell r="C97">
            <v>91</v>
          </cell>
        </row>
        <row r="98">
          <cell r="B98" t="str">
            <v>Ñeøn choáng noå boùng troøn 100W VN</v>
          </cell>
          <cell r="C98">
            <v>92</v>
          </cell>
        </row>
        <row r="99">
          <cell r="B99" t="str">
            <v>Ñeøn chuøm</v>
          </cell>
          <cell r="C99">
            <v>93</v>
          </cell>
        </row>
        <row r="100">
          <cell r="B100" t="str">
            <v>Ñeøn chuøm aùp traàn ñeá vuoâng VN</v>
          </cell>
          <cell r="C100">
            <v>94</v>
          </cell>
        </row>
        <row r="101">
          <cell r="B101" t="str">
            <v>Ñeøn kieåu maét eách D100 boùng troøn 40W</v>
          </cell>
          <cell r="C101">
            <v>95</v>
          </cell>
        </row>
        <row r="102">
          <cell r="B102" t="str">
            <v>Ñeøn neon troøn 32W ñeá vuoâng</v>
          </cell>
          <cell r="C102">
            <v>96</v>
          </cell>
        </row>
        <row r="103">
          <cell r="B103" t="str">
            <v>Ñeøn söï coá li oa</v>
          </cell>
          <cell r="C103">
            <v>97</v>
          </cell>
        </row>
        <row r="104">
          <cell r="B104" t="str">
            <v>Ñeøn troøn 60W chuïp baùn tieâu VN</v>
          </cell>
          <cell r="C104">
            <v>98</v>
          </cell>
        </row>
        <row r="105">
          <cell r="B105" t="str">
            <v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>Ñinh caùc loaïi</v>
          </cell>
          <cell r="C107">
            <v>101</v>
          </cell>
        </row>
        <row r="108">
          <cell r="B108" t="str">
            <v>Ñinh ñæa</v>
          </cell>
          <cell r="C108">
            <v>102</v>
          </cell>
        </row>
        <row r="109">
          <cell r="B109" t="str">
            <v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>OÅ caém aâm 3 cöïc(E426UEST2) Uùc</v>
          </cell>
          <cell r="C111">
            <v>105</v>
          </cell>
        </row>
        <row r="112">
          <cell r="B112" t="str">
            <v>OÅ caém ñieän thoaïi 3301AV Uùc</v>
          </cell>
          <cell r="C112">
            <v>106</v>
          </cell>
        </row>
        <row r="113">
          <cell r="B113" t="str">
            <v>OÂ xy</v>
          </cell>
          <cell r="C113">
            <v>107</v>
          </cell>
        </row>
        <row r="114">
          <cell r="B114" t="str">
            <v>OÁng xoaén ruoät gaø Þ16 cty Nam Vieät</v>
          </cell>
          <cell r="C114">
            <v>107</v>
          </cell>
        </row>
        <row r="115">
          <cell r="B115" t="str">
            <v>OÁng luoàn xoaén ruoät gaø 19 cty Nam Vieät</v>
          </cell>
          <cell r="C115">
            <v>108</v>
          </cell>
        </row>
        <row r="116">
          <cell r="B116" t="str">
            <v>OÁng luoàn xoaén ruoät gaø 28 cty Nam Vieät</v>
          </cell>
          <cell r="C116">
            <v>109</v>
          </cell>
        </row>
        <row r="117">
          <cell r="B117" t="str">
            <v>OÁng luoàn xoaén ruoät gaø 34 cty Nam Vieät</v>
          </cell>
          <cell r="C117">
            <v>110</v>
          </cell>
        </row>
        <row r="118">
          <cell r="B118" t="str">
            <v>OÁng thoaùt Nöôùc ML PVC D21</v>
          </cell>
          <cell r="C118">
            <v>110</v>
          </cell>
        </row>
        <row r="119">
          <cell r="B119" t="str">
            <v>OÁng PVC Þ114</v>
          </cell>
          <cell r="C119">
            <v>111</v>
          </cell>
        </row>
        <row r="120">
          <cell r="B120" t="str">
            <v>OÁng PVC Þ168</v>
          </cell>
          <cell r="C120">
            <v>112</v>
          </cell>
        </row>
        <row r="121">
          <cell r="B121" t="str">
            <v>OÁng PVC Þ21</v>
          </cell>
          <cell r="C121">
            <v>113</v>
          </cell>
        </row>
        <row r="122">
          <cell r="B122" t="str">
            <v>OÁng PVC Þ27</v>
          </cell>
          <cell r="C122">
            <v>114</v>
          </cell>
        </row>
        <row r="123">
          <cell r="B123" t="str">
            <v>OÁng PVC Þ34</v>
          </cell>
          <cell r="C123">
            <v>115</v>
          </cell>
        </row>
        <row r="124">
          <cell r="B124" t="str">
            <v>OÁng PVC Þ60</v>
          </cell>
          <cell r="C124">
            <v>116</v>
          </cell>
        </row>
        <row r="125">
          <cell r="B125" t="str">
            <v>OÁng PVC Þ75</v>
          </cell>
          <cell r="C125">
            <v>117</v>
          </cell>
        </row>
        <row r="126">
          <cell r="B126" t="str">
            <v>OÁng PVC Þ90</v>
          </cell>
          <cell r="C126">
            <v>118</v>
          </cell>
        </row>
        <row r="127">
          <cell r="B127" t="str">
            <v>OÁng vaø daây daãn ñieän</v>
          </cell>
          <cell r="C127">
            <v>119</v>
          </cell>
        </row>
        <row r="128">
          <cell r="B128" t="str">
            <v>Pheãu thu nöôùc 200x200 inox</v>
          </cell>
          <cell r="C128">
            <v>120</v>
          </cell>
        </row>
        <row r="129">
          <cell r="B129" t="str">
            <v>Quaït huùt gioù aùp töôøng Þ250VN</v>
          </cell>
          <cell r="C129">
            <v>121</v>
          </cell>
        </row>
        <row r="130">
          <cell r="B130" t="str">
            <v>Quaït ñaûo traàn Sali ÑL</v>
          </cell>
          <cell r="C130">
            <v>122</v>
          </cell>
        </row>
        <row r="131">
          <cell r="B131" t="str">
            <v>Quaït traàn 80W MP</v>
          </cell>
          <cell r="C131">
            <v>123</v>
          </cell>
        </row>
        <row r="132">
          <cell r="B132" t="str">
            <v>Que haøn</v>
          </cell>
          <cell r="C132">
            <v>124</v>
          </cell>
        </row>
        <row r="133">
          <cell r="B133" t="str">
            <v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>Sôn daàu</v>
          </cell>
          <cell r="C135">
            <v>127</v>
          </cell>
        </row>
        <row r="136">
          <cell r="B136" t="str">
            <v>Sôn nöôùc</v>
          </cell>
          <cell r="C136">
            <v>128</v>
          </cell>
        </row>
        <row r="137">
          <cell r="B137" t="str">
            <v>Taám nhöïa</v>
          </cell>
          <cell r="C137">
            <v>129</v>
          </cell>
        </row>
        <row r="138">
          <cell r="B138" t="str">
            <v>Teâ PVC Þ34-21</v>
          </cell>
          <cell r="C138">
            <v>130</v>
          </cell>
        </row>
        <row r="139">
          <cell r="B139" t="str">
            <v>Teâ PVC Þ60</v>
          </cell>
          <cell r="C139">
            <v>131</v>
          </cell>
        </row>
        <row r="140">
          <cell r="B140" t="str">
            <v>Theùp hình</v>
          </cell>
          <cell r="C140">
            <v>132</v>
          </cell>
        </row>
        <row r="141">
          <cell r="B141" t="str">
            <v>Theùp taám</v>
          </cell>
          <cell r="C141">
            <v>133</v>
          </cell>
        </row>
        <row r="142">
          <cell r="B142" t="str">
            <v>Theùp troøn</v>
          </cell>
          <cell r="C142">
            <v>134</v>
          </cell>
        </row>
        <row r="143">
          <cell r="B143" t="str">
            <v>Theùp troøn hoaëc theùp deïp</v>
          </cell>
          <cell r="C143">
            <v>135</v>
          </cell>
        </row>
        <row r="144">
          <cell r="B144" t="str">
            <v>Theùp troøn Þ&lt;=10</v>
          </cell>
          <cell r="C144">
            <v>136</v>
          </cell>
        </row>
        <row r="145">
          <cell r="B145" t="str">
            <v>Theùp troøn Þ&lt;=18</v>
          </cell>
          <cell r="C145">
            <v>137</v>
          </cell>
        </row>
        <row r="146">
          <cell r="B146" t="str">
            <v>Theùp troøn Þ&lt;10</v>
          </cell>
          <cell r="C146">
            <v>138</v>
          </cell>
        </row>
        <row r="147">
          <cell r="B147" t="str">
            <v>Theùp troøn Þ&lt;18</v>
          </cell>
          <cell r="C147">
            <v>139</v>
          </cell>
        </row>
        <row r="148">
          <cell r="B148" t="str">
            <v>Theùp troøn Þ&gt;18</v>
          </cell>
          <cell r="C148">
            <v>140</v>
          </cell>
        </row>
        <row r="149">
          <cell r="B149" t="str">
            <v>Tieåu nam ( wall Urinal VF-0412)</v>
          </cell>
          <cell r="C149">
            <v>141</v>
          </cell>
        </row>
        <row r="150">
          <cell r="B150" t="str">
            <v>Toân muùi</v>
          </cell>
          <cell r="C150">
            <v>142</v>
          </cell>
        </row>
        <row r="151">
          <cell r="B151" t="str">
            <v>Toân uùp noùc</v>
          </cell>
          <cell r="C151">
            <v>143</v>
          </cell>
        </row>
        <row r="152">
          <cell r="B152" t="str">
            <v>Tole muùi</v>
          </cell>
          <cell r="C152">
            <v>144</v>
          </cell>
        </row>
        <row r="153">
          <cell r="B153" t="str">
            <v>Tole uùp noùc</v>
          </cell>
          <cell r="C153">
            <v>145</v>
          </cell>
        </row>
        <row r="154">
          <cell r="B154" t="str">
            <v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>Xí beät American VF3000</v>
          </cell>
          <cell r="C156">
            <v>148</v>
          </cell>
        </row>
        <row r="157">
          <cell r="B157" t="str">
            <v>Xi maêng PC 30</v>
          </cell>
          <cell r="C157">
            <v>149</v>
          </cell>
        </row>
        <row r="158">
          <cell r="B158" t="str">
            <v>Xi maêng PC.30</v>
          </cell>
          <cell r="C158">
            <v>150</v>
          </cell>
        </row>
        <row r="159">
          <cell r="B159" t="str">
            <v>Xi maêng traéng</v>
          </cell>
          <cell r="C159">
            <v>151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id="5" name="Table5" displayName="Table5" ref="A2:AF932" totalsRowShown="0" headerRowDxfId="56" dataDxfId="54" headerRowBorderDxfId="55" tableBorderDxfId="53" headerRowCellStyle="40% - Accent2">
  <autoFilter ref="A2:AF932"/>
  <tableColumns count="32">
    <tableColumn id="1" name="Tỉnh/Tp" dataDxfId="52"/>
    <tableColumn id="2" name="Tên vùng nuôi" dataDxfId="51"/>
    <tableColumn id="3" name="Mã số vùng nuôi" dataDxfId="50"/>
    <tableColumn id="4" name="Đối tượng lấy mẫu" dataDxfId="49"/>
    <tableColumn id="5" name="SL TS nuôi (Có CĂTB)" dataDxfId="48"/>
    <tableColumn id="6" name="SL TS nuôi (Không CĂTB)" dataDxfId="47"/>
    <tableColumn id="7" name="Giai đoạn" dataDxfId="46"/>
    <tableColumn id="8" name="Tháng" dataDxfId="45"/>
    <tableColumn id="9" name="01. Methyltestosterone" dataDxfId="44"/>
    <tableColumn id="10" name="02. Chloramphenicol" dataDxfId="43"/>
    <tableColumn id="11" name="03. Nhóm Nitrofurans" dataDxfId="42"/>
    <tableColumn id="12" name="04. Nhóm Nitroimidazoles" dataDxfId="41"/>
    <tableColumn id="13" name="05. Nhóm Tetracylines" dataDxfId="40"/>
    <tableColumn id="14" name="06. Nhóm Sulfonamides" dataDxfId="39"/>
    <tableColumn id="15" name="07. Nhóm Quinolones" dataDxfId="38"/>
    <tableColumn id="16" name="08. Florfenicol" dataDxfId="37"/>
    <tableColumn id="17" name="09. Trimethoprim" dataDxfId="36"/>
    <tableColumn id="18" name="10. Ormetoprim" dataDxfId="35"/>
    <tableColumn id="19" name="11. Fosfomycin" dataDxfId="34"/>
    <tableColumn id="20" name="12. Erythromycin" dataDxfId="33"/>
    <tableColumn id="21" name="13. Azadirachtin" dataDxfId="32"/>
    <tableColumn id="22" name="14. Amoxicillin" dataDxfId="31"/>
    <tableColumn id="23" name="15. Ivermectin_x000a_Praziquantel_x000a_Trichlorfon_x000a_Avermectin B1a (Abamectin B1a)" dataDxfId="30"/>
    <tableColumn id="24" name="16. Trifluralin" dataDxfId="29"/>
    <tableColumn id="25" name="17. Levamisol" dataDxfId="28"/>
    <tableColumn id="26" name="18. Fenbendazole" dataDxfId="27"/>
    <tableColumn id="27" name="19. Nhóm thuốc trừ sâu" dataDxfId="26"/>
    <tableColumn id="28" name="20. Chlorpyrifos;_x000a_Fipronil" dataDxfId="25"/>
    <tableColumn id="29" name="21. Nhóm kim loại nặng (Pb, Cd, Hg)" dataDxfId="24"/>
    <tableColumn id="30" name="22. Malachite Green;_x000a_Leuco Malachite Green" dataDxfId="23"/>
    <tableColumn id="31" name="23. Malachite Green;_x000a_Leuco Malachite Green;_x000a_Crystal Violet,_x000a_Leuco Crystal Violet" dataDxfId="22"/>
    <tableColumn id="32" name="24. AOZ" dataDxfId="2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7" name="Tenmau" displayName="Tenmau" ref="A30:B52" totalsRowShown="0" headerRowDxfId="20" dataDxfId="19">
  <autoFilter ref="A30:B52"/>
  <tableColumns count="2">
    <tableColumn id="1" name="Tên mẫu" dataDxfId="18"/>
    <tableColumn id="2" name="Đối tượng giám sát (loài thuỷ sản nuôi)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Chitieu" displayName="Chitieu" ref="A1:C28" totalsRowShown="0" headerRowDxfId="16" dataDxfId="15">
  <autoFilter ref="A1:C28"/>
  <tableColumns count="3">
    <tableColumn id="1" name="Chỉ tiêu" dataDxfId="14"/>
    <tableColumn id="2" name="Chỉ tiêu, nhóm chỉ tiêu" dataDxfId="13"/>
    <tableColumn id="3" name="Giới hạn cho phép –MRL (µg/kg)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entinh" displayName="Tentinh" ref="A54:B72" totalsRowShown="0">
  <autoFilter ref="A54:B72"/>
  <tableColumns count="2">
    <tableColumn id="1" name="Mã tỉnh" dataDxfId="11"/>
    <tableColumn id="2" name="Tên tỉnh/Thành phố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Vungnuoi" displayName="Vungnuoi" ref="A74:B151" totalsRowShown="0" headerRowDxfId="9">
  <autoFilter ref="A74:B151"/>
  <tableColumns count="2">
    <tableColumn id="1" name="Mã vùng nuôi"/>
    <tableColumn id="2" name="Tên vùng nuôi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0" name="Doituong" displayName="Doituong" ref="A153:B162" totalsRowShown="0" headerRowDxfId="7">
  <autoFilter ref="A153:B162"/>
  <tableColumns count="2">
    <tableColumn id="1" name="Mã đối tượng" dataDxfId="6"/>
    <tableColumn id="2" name="Đối tượ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Donvi" displayName="Donvi" ref="A1:D19" totalsRowShown="0" headerRowDxfId="5" dataDxfId="4">
  <autoFilter ref="A1:D19"/>
  <tableColumns count="4">
    <tableColumn id="1" name="Mã đơn vị" dataDxfId="3"/>
    <tableColumn id="2" name="Tên đơn vị" dataDxfId="2"/>
    <tableColumn id="3" name="Địa chỉ E-mail" dataDxfId="1"/>
    <tableColumn id="4" name="Đơn vị cấp trên" dataDxfId="0">
      <calculatedColumnFormula>"Sở NN &amp; PTNT "&amp;Donvi[[#This Row],[Mã đơn vị]]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AZ139"/>
  <sheetViews>
    <sheetView showGridLines="0" showZeros="0" tabSelected="1" view="pageBreakPreview" zoomScale="95" zoomScaleNormal="95" zoomScaleSheetLayoutView="9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P153" sqref="P153"/>
    </sheetView>
  </sheetViews>
  <sheetFormatPr defaultColWidth="8.85546875" defaultRowHeight="12" x14ac:dyDescent="0.25"/>
  <cols>
    <col min="1" max="1" width="5.42578125" style="4" customWidth="1"/>
    <col min="2" max="2" width="3.42578125" style="4" customWidth="1"/>
    <col min="3" max="3" width="3.42578125" style="6" customWidth="1"/>
    <col min="4" max="4" width="5.5703125" style="5" customWidth="1"/>
    <col min="5" max="5" width="6.7109375" style="7" customWidth="1"/>
    <col min="6" max="6" width="7.42578125" style="7" customWidth="1"/>
    <col min="7" max="7" width="10.42578125" style="4" customWidth="1"/>
    <col min="8" max="19" width="3.7109375" style="4" customWidth="1"/>
    <col min="20" max="20" width="6.140625" style="6" customWidth="1"/>
    <col min="21" max="21" width="4.5703125" style="4" customWidth="1"/>
    <col min="22" max="38" width="4.42578125" style="4" customWidth="1"/>
    <col min="39" max="39" width="4.42578125" style="8" customWidth="1"/>
    <col min="40" max="52" width="4.42578125" style="4" customWidth="1"/>
    <col min="53" max="16384" width="8.85546875" style="4"/>
  </cols>
  <sheetData>
    <row r="1" spans="1:52" ht="18.75" x14ac:dyDescent="0.25">
      <c r="A1" s="113" t="s">
        <v>444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</row>
    <row r="2" spans="1:52" s="3" customFormat="1" ht="17.25" customHeight="1" x14ac:dyDescent="0.25">
      <c r="A2" s="123" t="s">
        <v>427</v>
      </c>
      <c r="B2" s="123" t="s">
        <v>2</v>
      </c>
      <c r="C2" s="123" t="s">
        <v>3</v>
      </c>
      <c r="D2" s="123" t="s">
        <v>4</v>
      </c>
      <c r="E2" s="137" t="s">
        <v>5</v>
      </c>
      <c r="F2" s="137"/>
      <c r="G2" s="121" t="s">
        <v>6</v>
      </c>
      <c r="H2" s="134" t="s">
        <v>412</v>
      </c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6"/>
      <c r="U2" s="123" t="s">
        <v>7</v>
      </c>
      <c r="V2" s="128" t="s">
        <v>413</v>
      </c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</row>
    <row r="3" spans="1:52" s="3" customFormat="1" ht="16.5" customHeight="1" x14ac:dyDescent="0.25">
      <c r="A3" s="124"/>
      <c r="B3" s="124"/>
      <c r="C3" s="124"/>
      <c r="D3" s="124"/>
      <c r="E3" s="137"/>
      <c r="F3" s="137"/>
      <c r="G3" s="133"/>
      <c r="H3" s="126">
        <v>1</v>
      </c>
      <c r="I3" s="126">
        <v>2</v>
      </c>
      <c r="J3" s="126">
        <v>3</v>
      </c>
      <c r="K3" s="126">
        <v>4</v>
      </c>
      <c r="L3" s="126">
        <v>5</v>
      </c>
      <c r="M3" s="126">
        <v>6</v>
      </c>
      <c r="N3" s="126">
        <v>7</v>
      </c>
      <c r="O3" s="126">
        <v>8</v>
      </c>
      <c r="P3" s="126">
        <v>9</v>
      </c>
      <c r="Q3" s="126">
        <v>10</v>
      </c>
      <c r="R3" s="126">
        <v>11</v>
      </c>
      <c r="S3" s="126">
        <v>12</v>
      </c>
      <c r="T3" s="121" t="s">
        <v>8</v>
      </c>
      <c r="U3" s="124"/>
      <c r="V3" s="63" t="s">
        <v>224</v>
      </c>
      <c r="W3" s="63" t="s">
        <v>414</v>
      </c>
      <c r="X3" s="63" t="s">
        <v>415</v>
      </c>
      <c r="Y3" s="63" t="s">
        <v>416</v>
      </c>
      <c r="Z3" s="138" t="s">
        <v>240</v>
      </c>
      <c r="AA3" s="138"/>
      <c r="AB3" s="138" t="s">
        <v>423</v>
      </c>
      <c r="AC3" s="138"/>
      <c r="AD3" s="138"/>
      <c r="AE3" s="64" t="s">
        <v>234</v>
      </c>
      <c r="AF3" s="130" t="s">
        <v>424</v>
      </c>
      <c r="AG3" s="131"/>
      <c r="AH3" s="131"/>
      <c r="AI3" s="131"/>
      <c r="AJ3" s="131"/>
      <c r="AK3" s="131"/>
      <c r="AL3" s="131"/>
      <c r="AM3" s="132"/>
      <c r="AN3" s="114" t="s">
        <v>426</v>
      </c>
      <c r="AO3" s="115"/>
      <c r="AP3" s="115"/>
      <c r="AQ3" s="115"/>
      <c r="AR3" s="115"/>
      <c r="AS3" s="115"/>
      <c r="AT3" s="116"/>
      <c r="AU3" s="114" t="s">
        <v>422</v>
      </c>
      <c r="AV3" s="115"/>
      <c r="AW3" s="116"/>
      <c r="AX3" s="114" t="s">
        <v>443</v>
      </c>
      <c r="AY3" s="115"/>
      <c r="AZ3" s="116"/>
    </row>
    <row r="4" spans="1:52" s="3" customFormat="1" ht="59.25" x14ac:dyDescent="0.25">
      <c r="A4" s="125"/>
      <c r="B4" s="125"/>
      <c r="C4" s="125"/>
      <c r="D4" s="125"/>
      <c r="E4" s="65" t="s">
        <v>9</v>
      </c>
      <c r="F4" s="65" t="s">
        <v>10</v>
      </c>
      <c r="G4" s="122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2"/>
      <c r="U4" s="125"/>
      <c r="V4" s="91" t="s">
        <v>439</v>
      </c>
      <c r="W4" s="66" t="s">
        <v>11</v>
      </c>
      <c r="X4" s="66" t="s">
        <v>12</v>
      </c>
      <c r="Y4" s="66" t="s">
        <v>425</v>
      </c>
      <c r="Z4" s="66" t="s">
        <v>418</v>
      </c>
      <c r="AA4" s="67" t="s">
        <v>417</v>
      </c>
      <c r="AB4" s="66" t="s">
        <v>17</v>
      </c>
      <c r="AC4" s="68" t="s">
        <v>18</v>
      </c>
      <c r="AD4" s="68" t="s">
        <v>20</v>
      </c>
      <c r="AE4" s="69" t="s">
        <v>441</v>
      </c>
      <c r="AF4" s="66" t="s">
        <v>13</v>
      </c>
      <c r="AG4" s="66" t="s">
        <v>14</v>
      </c>
      <c r="AH4" s="66" t="s">
        <v>15</v>
      </c>
      <c r="AI4" s="66" t="s">
        <v>442</v>
      </c>
      <c r="AJ4" s="66" t="s">
        <v>21</v>
      </c>
      <c r="AK4" s="66" t="s">
        <v>19</v>
      </c>
      <c r="AL4" s="66" t="s">
        <v>16</v>
      </c>
      <c r="AM4" s="89" t="s">
        <v>429</v>
      </c>
      <c r="AN4" s="70" t="s">
        <v>430</v>
      </c>
      <c r="AO4" s="70" t="s">
        <v>431</v>
      </c>
      <c r="AP4" s="70" t="s">
        <v>432</v>
      </c>
      <c r="AQ4" s="70" t="s">
        <v>433</v>
      </c>
      <c r="AR4" s="79" t="s">
        <v>22</v>
      </c>
      <c r="AS4" s="79" t="s">
        <v>23</v>
      </c>
      <c r="AT4" s="82" t="s">
        <v>428</v>
      </c>
      <c r="AU4" s="66" t="s">
        <v>239</v>
      </c>
      <c r="AV4" s="66" t="s">
        <v>419</v>
      </c>
      <c r="AW4" s="66" t="s">
        <v>440</v>
      </c>
      <c r="AX4" s="66" t="s">
        <v>438</v>
      </c>
      <c r="AY4" s="80" t="s">
        <v>421</v>
      </c>
      <c r="AZ4" s="119" t="s">
        <v>420</v>
      </c>
    </row>
    <row r="5" spans="1:52" ht="15" customHeight="1" x14ac:dyDescent="0.25">
      <c r="A5" s="71">
        <v>1</v>
      </c>
      <c r="B5" s="71">
        <v>2</v>
      </c>
      <c r="C5" s="71">
        <v>3</v>
      </c>
      <c r="D5" s="71">
        <v>4</v>
      </c>
      <c r="E5" s="72">
        <v>5</v>
      </c>
      <c r="F5" s="72">
        <v>6</v>
      </c>
      <c r="G5" s="71">
        <v>7</v>
      </c>
      <c r="H5" s="71">
        <v>8</v>
      </c>
      <c r="I5" s="71">
        <v>9</v>
      </c>
      <c r="J5" s="71">
        <v>10</v>
      </c>
      <c r="K5" s="71">
        <v>11</v>
      </c>
      <c r="L5" s="71">
        <v>12</v>
      </c>
      <c r="M5" s="71">
        <v>13</v>
      </c>
      <c r="N5" s="71">
        <v>14</v>
      </c>
      <c r="O5" s="71">
        <v>15</v>
      </c>
      <c r="P5" s="71">
        <v>16</v>
      </c>
      <c r="Q5" s="71">
        <v>17</v>
      </c>
      <c r="R5" s="71">
        <v>18</v>
      </c>
      <c r="S5" s="71">
        <v>19</v>
      </c>
      <c r="T5" s="71">
        <v>20</v>
      </c>
      <c r="U5" s="71">
        <v>21</v>
      </c>
      <c r="V5" s="71">
        <v>23</v>
      </c>
      <c r="W5" s="71">
        <v>24</v>
      </c>
      <c r="X5" s="71">
        <v>25</v>
      </c>
      <c r="Y5" s="71">
        <v>26</v>
      </c>
      <c r="Z5" s="71"/>
      <c r="AA5" s="71"/>
      <c r="AB5" s="71"/>
      <c r="AC5" s="71"/>
      <c r="AD5" s="71"/>
      <c r="AE5" s="71"/>
      <c r="AF5" s="71">
        <v>27</v>
      </c>
      <c r="AG5" s="71">
        <v>28</v>
      </c>
      <c r="AH5" s="71">
        <v>29</v>
      </c>
      <c r="AI5" s="71">
        <v>30</v>
      </c>
      <c r="AJ5" s="71">
        <v>31</v>
      </c>
      <c r="AK5" s="71"/>
      <c r="AL5" s="71">
        <v>32</v>
      </c>
      <c r="AM5" s="90"/>
      <c r="AN5" s="71">
        <v>33</v>
      </c>
      <c r="AO5" s="71"/>
      <c r="AP5" s="71"/>
      <c r="AQ5" s="71"/>
      <c r="AR5" s="71">
        <v>37</v>
      </c>
      <c r="AS5" s="71">
        <v>38</v>
      </c>
      <c r="AT5" s="71"/>
      <c r="AU5" s="71"/>
      <c r="AV5" s="71"/>
      <c r="AW5" s="71"/>
      <c r="AX5" s="71"/>
      <c r="AY5" s="81"/>
      <c r="AZ5" s="120"/>
    </row>
    <row r="6" spans="1:52" s="78" customFormat="1" x14ac:dyDescent="0.25">
      <c r="A6" s="98" t="s">
        <v>101</v>
      </c>
      <c r="B6" s="98" t="s">
        <v>102</v>
      </c>
      <c r="C6" s="98" t="s">
        <v>103</v>
      </c>
      <c r="D6" s="101" t="s">
        <v>27</v>
      </c>
      <c r="E6" s="103">
        <v>840</v>
      </c>
      <c r="F6" s="103">
        <v>200</v>
      </c>
      <c r="G6" s="84" t="s">
        <v>28</v>
      </c>
      <c r="H6" s="83"/>
      <c r="I6" s="83"/>
      <c r="J6" s="83"/>
      <c r="K6" s="83">
        <v>1</v>
      </c>
      <c r="L6" s="83"/>
      <c r="M6" s="83"/>
      <c r="N6" s="83"/>
      <c r="O6" s="83"/>
      <c r="P6" s="83"/>
      <c r="Q6" s="83"/>
      <c r="R6" s="83"/>
      <c r="S6" s="83"/>
      <c r="T6" s="83">
        <f t="shared" ref="T6:T68" si="0">SUM(H6:S6)</f>
        <v>1</v>
      </c>
      <c r="U6" s="83" t="str">
        <f t="shared" ref="U6:U68" si="1">IF($T6=0,0,"T"&amp;MATCH($T6,$H6:$S6))</f>
        <v>T4</v>
      </c>
      <c r="V6" s="83"/>
      <c r="W6" s="83"/>
      <c r="X6" s="83">
        <v>1</v>
      </c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</row>
    <row r="7" spans="1:52" s="78" customFormat="1" x14ac:dyDescent="0.25">
      <c r="A7" s="99"/>
      <c r="B7" s="99"/>
      <c r="C7" s="99"/>
      <c r="D7" s="102"/>
      <c r="E7" s="104"/>
      <c r="F7" s="104"/>
      <c r="G7" s="84" t="s">
        <v>28</v>
      </c>
      <c r="H7" s="83"/>
      <c r="I7" s="83"/>
      <c r="J7" s="83"/>
      <c r="K7" s="83"/>
      <c r="L7" s="83">
        <v>1</v>
      </c>
      <c r="M7" s="83"/>
      <c r="N7" s="83"/>
      <c r="O7" s="83"/>
      <c r="P7" s="83"/>
      <c r="Q7" s="83"/>
      <c r="R7" s="83"/>
      <c r="S7" s="83"/>
      <c r="T7" s="83">
        <f t="shared" si="0"/>
        <v>1</v>
      </c>
      <c r="U7" s="83" t="str">
        <f t="shared" si="1"/>
        <v>T5</v>
      </c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>
        <v>1</v>
      </c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</row>
    <row r="8" spans="1:52" s="78" customFormat="1" x14ac:dyDescent="0.25">
      <c r="A8" s="99"/>
      <c r="B8" s="99"/>
      <c r="C8" s="99"/>
      <c r="D8" s="102"/>
      <c r="E8" s="104"/>
      <c r="F8" s="104"/>
      <c r="G8" s="84" t="s">
        <v>29</v>
      </c>
      <c r="H8" s="83"/>
      <c r="I8" s="83"/>
      <c r="J8" s="83"/>
      <c r="K8" s="83"/>
      <c r="L8" s="83"/>
      <c r="M8" s="83">
        <v>1</v>
      </c>
      <c r="N8" s="83"/>
      <c r="O8" s="83"/>
      <c r="P8" s="83"/>
      <c r="Q8" s="83"/>
      <c r="R8" s="83"/>
      <c r="S8" s="83"/>
      <c r="T8" s="83">
        <f t="shared" ref="T8" si="2">SUM(H8:S8)</f>
        <v>1</v>
      </c>
      <c r="U8" s="83" t="str">
        <f t="shared" si="1"/>
        <v>T6</v>
      </c>
      <c r="V8" s="83"/>
      <c r="W8" s="83"/>
      <c r="X8" s="85"/>
      <c r="Y8" s="83"/>
      <c r="Z8" s="83"/>
      <c r="AA8" s="83"/>
      <c r="AB8" s="83"/>
      <c r="AC8" s="83"/>
      <c r="AD8" s="83"/>
      <c r="AE8" s="83"/>
      <c r="AF8" s="83"/>
      <c r="AG8" s="83">
        <v>1</v>
      </c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</row>
    <row r="9" spans="1:52" s="73" customFormat="1" x14ac:dyDescent="0.25">
      <c r="A9" s="74" t="s">
        <v>31</v>
      </c>
      <c r="B9" s="74"/>
      <c r="C9" s="74"/>
      <c r="D9" s="74"/>
      <c r="E9" s="75">
        <f t="shared" ref="E9:V9" si="3">SUM(E6:E8)</f>
        <v>840</v>
      </c>
      <c r="F9" s="75">
        <f t="shared" si="3"/>
        <v>200</v>
      </c>
      <c r="G9" s="75">
        <f t="shared" si="3"/>
        <v>0</v>
      </c>
      <c r="H9" s="75">
        <f t="shared" si="3"/>
        <v>0</v>
      </c>
      <c r="I9" s="75">
        <f t="shared" si="3"/>
        <v>0</v>
      </c>
      <c r="J9" s="75">
        <f t="shared" si="3"/>
        <v>0</v>
      </c>
      <c r="K9" s="75">
        <f t="shared" si="3"/>
        <v>1</v>
      </c>
      <c r="L9" s="75">
        <f t="shared" si="3"/>
        <v>1</v>
      </c>
      <c r="M9" s="75">
        <f t="shared" si="3"/>
        <v>1</v>
      </c>
      <c r="N9" s="75">
        <f t="shared" si="3"/>
        <v>0</v>
      </c>
      <c r="O9" s="75">
        <f t="shared" si="3"/>
        <v>0</v>
      </c>
      <c r="P9" s="75">
        <f t="shared" si="3"/>
        <v>0</v>
      </c>
      <c r="Q9" s="75">
        <f t="shared" si="3"/>
        <v>0</v>
      </c>
      <c r="R9" s="75">
        <f t="shared" si="3"/>
        <v>0</v>
      </c>
      <c r="S9" s="75">
        <f t="shared" si="3"/>
        <v>0</v>
      </c>
      <c r="T9" s="75">
        <f t="shared" si="3"/>
        <v>3</v>
      </c>
      <c r="U9" s="75">
        <f t="shared" si="3"/>
        <v>0</v>
      </c>
      <c r="V9" s="75">
        <f t="shared" si="3"/>
        <v>0</v>
      </c>
      <c r="W9" s="75">
        <f t="shared" ref="W9:AZ9" si="4">SUM(W6:W8)</f>
        <v>0</v>
      </c>
      <c r="X9" s="75">
        <f t="shared" si="4"/>
        <v>1</v>
      </c>
      <c r="Y9" s="75">
        <f t="shared" si="4"/>
        <v>0</v>
      </c>
      <c r="Z9" s="75">
        <f t="shared" si="4"/>
        <v>0</v>
      </c>
      <c r="AA9" s="75">
        <f t="shared" si="4"/>
        <v>0</v>
      </c>
      <c r="AB9" s="75">
        <f t="shared" si="4"/>
        <v>0</v>
      </c>
      <c r="AC9" s="75">
        <f t="shared" si="4"/>
        <v>0</v>
      </c>
      <c r="AD9" s="75">
        <f t="shared" si="4"/>
        <v>0</v>
      </c>
      <c r="AE9" s="75">
        <f t="shared" si="4"/>
        <v>0</v>
      </c>
      <c r="AF9" s="75">
        <f t="shared" si="4"/>
        <v>0</v>
      </c>
      <c r="AG9" s="75">
        <f t="shared" si="4"/>
        <v>1</v>
      </c>
      <c r="AH9" s="75">
        <f t="shared" si="4"/>
        <v>0</v>
      </c>
      <c r="AI9" s="75">
        <f t="shared" si="4"/>
        <v>0</v>
      </c>
      <c r="AJ9" s="75">
        <f t="shared" si="4"/>
        <v>0</v>
      </c>
      <c r="AK9" s="75">
        <f t="shared" si="4"/>
        <v>0</v>
      </c>
      <c r="AL9" s="75">
        <f t="shared" si="4"/>
        <v>1</v>
      </c>
      <c r="AM9" s="75">
        <f t="shared" si="4"/>
        <v>0</v>
      </c>
      <c r="AN9" s="75">
        <f t="shared" si="4"/>
        <v>0</v>
      </c>
      <c r="AO9" s="75">
        <f t="shared" si="4"/>
        <v>0</v>
      </c>
      <c r="AP9" s="75">
        <f t="shared" si="4"/>
        <v>0</v>
      </c>
      <c r="AQ9" s="75">
        <f t="shared" si="4"/>
        <v>0</v>
      </c>
      <c r="AR9" s="75">
        <f t="shared" si="4"/>
        <v>0</v>
      </c>
      <c r="AS9" s="75">
        <f t="shared" si="4"/>
        <v>0</v>
      </c>
      <c r="AT9" s="75">
        <f t="shared" si="4"/>
        <v>0</v>
      </c>
      <c r="AU9" s="75">
        <f t="shared" si="4"/>
        <v>0</v>
      </c>
      <c r="AV9" s="75">
        <f t="shared" si="4"/>
        <v>0</v>
      </c>
      <c r="AW9" s="75">
        <f t="shared" si="4"/>
        <v>0</v>
      </c>
      <c r="AX9" s="75">
        <f t="shared" si="4"/>
        <v>0</v>
      </c>
      <c r="AY9" s="75">
        <f t="shared" si="4"/>
        <v>0</v>
      </c>
      <c r="AZ9" s="75">
        <f t="shared" si="4"/>
        <v>0</v>
      </c>
    </row>
    <row r="10" spans="1:52" s="78" customFormat="1" x14ac:dyDescent="0.25">
      <c r="A10" s="98" t="s">
        <v>101</v>
      </c>
      <c r="B10" s="98" t="s">
        <v>102</v>
      </c>
      <c r="C10" s="98" t="s">
        <v>103</v>
      </c>
      <c r="D10" s="101" t="s">
        <v>32</v>
      </c>
      <c r="E10" s="103">
        <v>2100</v>
      </c>
      <c r="F10" s="103">
        <v>0</v>
      </c>
      <c r="G10" s="84" t="s">
        <v>33</v>
      </c>
      <c r="H10" s="83"/>
      <c r="I10" s="83"/>
      <c r="J10" s="83">
        <v>1</v>
      </c>
      <c r="K10" s="83"/>
      <c r="L10" s="83"/>
      <c r="M10" s="83"/>
      <c r="N10" s="83"/>
      <c r="O10" s="83"/>
      <c r="P10" s="83"/>
      <c r="Q10" s="83"/>
      <c r="R10" s="83"/>
      <c r="S10" s="83"/>
      <c r="T10" s="83">
        <f t="shared" si="0"/>
        <v>1</v>
      </c>
      <c r="U10" s="83" t="str">
        <f t="shared" si="1"/>
        <v>T3</v>
      </c>
      <c r="V10" s="83"/>
      <c r="W10" s="83">
        <v>1</v>
      </c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</row>
    <row r="11" spans="1:52" s="78" customFormat="1" x14ac:dyDescent="0.25">
      <c r="A11" s="99"/>
      <c r="B11" s="99"/>
      <c r="C11" s="99"/>
      <c r="D11" s="102"/>
      <c r="E11" s="104"/>
      <c r="F11" s="104"/>
      <c r="G11" s="84" t="s">
        <v>33</v>
      </c>
      <c r="H11" s="83"/>
      <c r="I11" s="83"/>
      <c r="J11" s="83"/>
      <c r="K11" s="83">
        <v>1</v>
      </c>
      <c r="L11" s="83"/>
      <c r="M11" s="83"/>
      <c r="N11" s="83"/>
      <c r="O11" s="83"/>
      <c r="P11" s="83"/>
      <c r="Q11" s="83"/>
      <c r="R11" s="83"/>
      <c r="S11" s="83"/>
      <c r="T11" s="83">
        <f t="shared" ref="T11" si="5">SUM(H11:S11)</f>
        <v>1</v>
      </c>
      <c r="U11" s="83" t="str">
        <f t="shared" si="1"/>
        <v>T4</v>
      </c>
      <c r="V11" s="83"/>
      <c r="W11" s="83"/>
      <c r="X11" s="83">
        <v>1</v>
      </c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</row>
    <row r="12" spans="1:52" s="78" customFormat="1" x14ac:dyDescent="0.25">
      <c r="A12" s="99"/>
      <c r="B12" s="99"/>
      <c r="C12" s="99"/>
      <c r="D12" s="102"/>
      <c r="E12" s="104"/>
      <c r="F12" s="104"/>
      <c r="G12" s="84" t="s">
        <v>34</v>
      </c>
      <c r="H12" s="83"/>
      <c r="I12" s="83"/>
      <c r="J12" s="83"/>
      <c r="K12" s="83"/>
      <c r="L12" s="83">
        <v>1</v>
      </c>
      <c r="M12" s="83"/>
      <c r="N12" s="83"/>
      <c r="O12" s="83"/>
      <c r="P12" s="83"/>
      <c r="Q12" s="83"/>
      <c r="R12" s="83"/>
      <c r="S12" s="83"/>
      <c r="T12" s="83">
        <f t="shared" si="0"/>
        <v>1</v>
      </c>
      <c r="U12" s="83" t="str">
        <f t="shared" si="1"/>
        <v>T5</v>
      </c>
      <c r="V12" s="83"/>
      <c r="W12" s="83"/>
      <c r="X12" s="83"/>
      <c r="Y12" s="83"/>
      <c r="Z12" s="83"/>
      <c r="AA12" s="83"/>
      <c r="AB12" s="83">
        <v>1</v>
      </c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</row>
    <row r="13" spans="1:52" s="78" customFormat="1" x14ac:dyDescent="0.25">
      <c r="A13" s="99"/>
      <c r="B13" s="99"/>
      <c r="C13" s="99"/>
      <c r="D13" s="102"/>
      <c r="E13" s="104"/>
      <c r="F13" s="104"/>
      <c r="G13" s="84" t="s">
        <v>34</v>
      </c>
      <c r="H13" s="83"/>
      <c r="I13" s="83"/>
      <c r="J13" s="83"/>
      <c r="K13" s="83"/>
      <c r="L13" s="83"/>
      <c r="M13" s="83"/>
      <c r="N13" s="83">
        <v>1</v>
      </c>
      <c r="O13" s="83"/>
      <c r="P13" s="83"/>
      <c r="Q13" s="83"/>
      <c r="R13" s="83"/>
      <c r="S13" s="83"/>
      <c r="T13" s="83">
        <f t="shared" ref="T13:T15" si="6">SUM(H13:S13)</f>
        <v>1</v>
      </c>
      <c r="U13" s="83" t="str">
        <f t="shared" si="1"/>
        <v>T7</v>
      </c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8">
        <v>1</v>
      </c>
      <c r="AU13" s="83"/>
      <c r="AV13" s="83"/>
      <c r="AW13" s="83"/>
      <c r="AX13" s="85"/>
      <c r="AY13" s="83"/>
      <c r="AZ13" s="83"/>
    </row>
    <row r="14" spans="1:52" s="78" customFormat="1" x14ac:dyDescent="0.25">
      <c r="A14" s="99"/>
      <c r="B14" s="99"/>
      <c r="C14" s="99"/>
      <c r="D14" s="102"/>
      <c r="E14" s="104"/>
      <c r="F14" s="104"/>
      <c r="G14" s="84" t="s">
        <v>34</v>
      </c>
      <c r="H14" s="83"/>
      <c r="I14" s="83"/>
      <c r="J14" s="83"/>
      <c r="K14" s="83"/>
      <c r="L14" s="83"/>
      <c r="M14" s="83"/>
      <c r="N14" s="83"/>
      <c r="O14" s="83">
        <v>1</v>
      </c>
      <c r="P14" s="83"/>
      <c r="Q14" s="83"/>
      <c r="R14" s="83"/>
      <c r="S14" s="83"/>
      <c r="T14" s="83">
        <f t="shared" si="6"/>
        <v>1</v>
      </c>
      <c r="U14" s="83" t="str">
        <f t="shared" si="1"/>
        <v>T8</v>
      </c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>
        <v>1</v>
      </c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</row>
    <row r="15" spans="1:52" s="78" customFormat="1" x14ac:dyDescent="0.25">
      <c r="A15" s="99"/>
      <c r="B15" s="99"/>
      <c r="C15" s="99"/>
      <c r="D15" s="102"/>
      <c r="E15" s="104"/>
      <c r="F15" s="104"/>
      <c r="G15" s="84" t="s">
        <v>34</v>
      </c>
      <c r="H15" s="83"/>
      <c r="I15" s="83"/>
      <c r="J15" s="83"/>
      <c r="K15" s="83"/>
      <c r="L15" s="83"/>
      <c r="M15" s="83"/>
      <c r="N15" s="83"/>
      <c r="O15" s="83"/>
      <c r="P15" s="83">
        <v>1</v>
      </c>
      <c r="Q15" s="83"/>
      <c r="R15" s="83"/>
      <c r="S15" s="83"/>
      <c r="T15" s="83">
        <f t="shared" si="6"/>
        <v>1</v>
      </c>
      <c r="U15" s="83" t="str">
        <f t="shared" si="1"/>
        <v>T9</v>
      </c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>
        <v>1</v>
      </c>
      <c r="AY15" s="83"/>
      <c r="AZ15" s="83"/>
    </row>
    <row r="16" spans="1:52" s="73" customFormat="1" x14ac:dyDescent="0.25">
      <c r="A16" s="74" t="s">
        <v>31</v>
      </c>
      <c r="B16" s="74"/>
      <c r="C16" s="74"/>
      <c r="D16" s="74"/>
      <c r="E16" s="75">
        <f t="shared" ref="E16:V16" si="7">SUM(E10:E15)</f>
        <v>2100</v>
      </c>
      <c r="F16" s="75">
        <f t="shared" si="7"/>
        <v>0</v>
      </c>
      <c r="G16" s="75">
        <f t="shared" si="7"/>
        <v>0</v>
      </c>
      <c r="H16" s="75">
        <f t="shared" si="7"/>
        <v>0</v>
      </c>
      <c r="I16" s="75">
        <f t="shared" si="7"/>
        <v>0</v>
      </c>
      <c r="J16" s="75">
        <f t="shared" si="7"/>
        <v>1</v>
      </c>
      <c r="K16" s="75">
        <f t="shared" si="7"/>
        <v>1</v>
      </c>
      <c r="L16" s="75">
        <f t="shared" si="7"/>
        <v>1</v>
      </c>
      <c r="M16" s="75">
        <f t="shared" si="7"/>
        <v>0</v>
      </c>
      <c r="N16" s="75">
        <f t="shared" si="7"/>
        <v>1</v>
      </c>
      <c r="O16" s="75">
        <f t="shared" si="7"/>
        <v>1</v>
      </c>
      <c r="P16" s="75">
        <f t="shared" si="7"/>
        <v>1</v>
      </c>
      <c r="Q16" s="75">
        <f t="shared" si="7"/>
        <v>0</v>
      </c>
      <c r="R16" s="75">
        <f t="shared" si="7"/>
        <v>0</v>
      </c>
      <c r="S16" s="75">
        <f t="shared" si="7"/>
        <v>0</v>
      </c>
      <c r="T16" s="75">
        <f t="shared" si="7"/>
        <v>6</v>
      </c>
      <c r="U16" s="75">
        <f t="shared" si="7"/>
        <v>0</v>
      </c>
      <c r="V16" s="75">
        <f t="shared" si="7"/>
        <v>0</v>
      </c>
      <c r="W16" s="75">
        <f t="shared" ref="W16:AZ16" si="8">SUM(W10:W15)</f>
        <v>1</v>
      </c>
      <c r="X16" s="75">
        <f t="shared" si="8"/>
        <v>1</v>
      </c>
      <c r="Y16" s="75">
        <f t="shared" si="8"/>
        <v>0</v>
      </c>
      <c r="Z16" s="75">
        <f t="shared" si="8"/>
        <v>0</v>
      </c>
      <c r="AA16" s="75">
        <f t="shared" si="8"/>
        <v>0</v>
      </c>
      <c r="AB16" s="75">
        <f t="shared" si="8"/>
        <v>1</v>
      </c>
      <c r="AC16" s="75">
        <f t="shared" si="8"/>
        <v>0</v>
      </c>
      <c r="AD16" s="75">
        <f t="shared" si="8"/>
        <v>0</v>
      </c>
      <c r="AE16" s="75">
        <f t="shared" si="8"/>
        <v>0</v>
      </c>
      <c r="AF16" s="75">
        <f t="shared" si="8"/>
        <v>0</v>
      </c>
      <c r="AG16" s="75">
        <f t="shared" si="8"/>
        <v>0</v>
      </c>
      <c r="AH16" s="75">
        <f t="shared" si="8"/>
        <v>0</v>
      </c>
      <c r="AI16" s="75">
        <f t="shared" si="8"/>
        <v>0</v>
      </c>
      <c r="AJ16" s="75">
        <f t="shared" si="8"/>
        <v>0</v>
      </c>
      <c r="AK16" s="75">
        <f t="shared" si="8"/>
        <v>0</v>
      </c>
      <c r="AL16" s="75">
        <f t="shared" si="8"/>
        <v>0</v>
      </c>
      <c r="AM16" s="75">
        <f t="shared" si="8"/>
        <v>1</v>
      </c>
      <c r="AN16" s="75">
        <f t="shared" si="8"/>
        <v>0</v>
      </c>
      <c r="AO16" s="75">
        <f t="shared" si="8"/>
        <v>0</v>
      </c>
      <c r="AP16" s="75">
        <f t="shared" si="8"/>
        <v>0</v>
      </c>
      <c r="AQ16" s="75">
        <f t="shared" si="8"/>
        <v>0</v>
      </c>
      <c r="AR16" s="75">
        <f t="shared" si="8"/>
        <v>0</v>
      </c>
      <c r="AS16" s="75">
        <f t="shared" si="8"/>
        <v>0</v>
      </c>
      <c r="AT16" s="75">
        <f t="shared" si="8"/>
        <v>1</v>
      </c>
      <c r="AU16" s="75">
        <f t="shared" si="8"/>
        <v>0</v>
      </c>
      <c r="AV16" s="75">
        <f t="shared" si="8"/>
        <v>0</v>
      </c>
      <c r="AW16" s="75">
        <f t="shared" si="8"/>
        <v>0</v>
      </c>
      <c r="AX16" s="75">
        <f t="shared" si="8"/>
        <v>1</v>
      </c>
      <c r="AY16" s="75">
        <f t="shared" si="8"/>
        <v>0</v>
      </c>
      <c r="AZ16" s="75">
        <f t="shared" si="8"/>
        <v>0</v>
      </c>
    </row>
    <row r="17" spans="1:52" s="78" customFormat="1" x14ac:dyDescent="0.25">
      <c r="A17" s="98" t="s">
        <v>101</v>
      </c>
      <c r="B17" s="98" t="s">
        <v>102</v>
      </c>
      <c r="C17" s="98" t="s">
        <v>103</v>
      </c>
      <c r="D17" s="101" t="s">
        <v>65</v>
      </c>
      <c r="E17" s="103">
        <v>1700</v>
      </c>
      <c r="F17" s="103">
        <v>0</v>
      </c>
      <c r="G17" s="84" t="s">
        <v>66</v>
      </c>
      <c r="H17" s="83"/>
      <c r="I17" s="83">
        <v>1</v>
      </c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>
        <f t="shared" ref="T17:T18" si="9">SUM(H17:S17)</f>
        <v>1</v>
      </c>
      <c r="U17" s="83" t="str">
        <f t="shared" si="1"/>
        <v>T2</v>
      </c>
      <c r="V17" s="83"/>
      <c r="W17" s="83"/>
      <c r="X17" s="83"/>
      <c r="Y17" s="83"/>
      <c r="Z17" s="83"/>
      <c r="AA17" s="83">
        <v>1</v>
      </c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</row>
    <row r="18" spans="1:52" s="78" customFormat="1" x14ac:dyDescent="0.25">
      <c r="A18" s="99"/>
      <c r="B18" s="99"/>
      <c r="C18" s="99"/>
      <c r="D18" s="102"/>
      <c r="E18" s="104"/>
      <c r="F18" s="104"/>
      <c r="G18" s="84" t="s">
        <v>66</v>
      </c>
      <c r="H18" s="83"/>
      <c r="I18" s="83"/>
      <c r="J18" s="83">
        <v>1</v>
      </c>
      <c r="K18" s="83"/>
      <c r="L18" s="83"/>
      <c r="M18" s="83"/>
      <c r="N18" s="83"/>
      <c r="O18" s="83"/>
      <c r="P18" s="83"/>
      <c r="Q18" s="83"/>
      <c r="R18" s="83"/>
      <c r="S18" s="83"/>
      <c r="T18" s="83">
        <f t="shared" si="9"/>
        <v>1</v>
      </c>
      <c r="U18" s="83" t="str">
        <f t="shared" si="1"/>
        <v>T3</v>
      </c>
      <c r="V18" s="83"/>
      <c r="W18" s="83"/>
      <c r="X18" s="83"/>
      <c r="Y18" s="83"/>
      <c r="Z18" s="83"/>
      <c r="AA18" s="83"/>
      <c r="AB18" s="83"/>
      <c r="AC18" s="83"/>
      <c r="AD18" s="83"/>
      <c r="AE18" s="83">
        <v>1</v>
      </c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</row>
    <row r="19" spans="1:52" s="78" customFormat="1" x14ac:dyDescent="0.25">
      <c r="A19" s="99"/>
      <c r="B19" s="99"/>
      <c r="C19" s="99"/>
      <c r="D19" s="102"/>
      <c r="E19" s="104"/>
      <c r="F19" s="104"/>
      <c r="G19" s="84" t="s">
        <v>66</v>
      </c>
      <c r="H19" s="83"/>
      <c r="I19" s="83"/>
      <c r="J19" s="83"/>
      <c r="K19" s="83"/>
      <c r="L19" s="83">
        <v>1</v>
      </c>
      <c r="M19" s="83"/>
      <c r="N19" s="83"/>
      <c r="O19" s="83"/>
      <c r="P19" s="83"/>
      <c r="Q19" s="83"/>
      <c r="R19" s="83"/>
      <c r="S19" s="83"/>
      <c r="T19" s="83">
        <f t="shared" ref="T19:T21" si="10">SUM(H19:S19)</f>
        <v>1</v>
      </c>
      <c r="U19" s="83" t="str">
        <f t="shared" si="1"/>
        <v>T5</v>
      </c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>
        <v>1</v>
      </c>
      <c r="AS19" s="83"/>
      <c r="AT19" s="83"/>
      <c r="AU19" s="83"/>
      <c r="AV19" s="83"/>
      <c r="AW19" s="83"/>
      <c r="AX19" s="83"/>
      <c r="AY19" s="83"/>
      <c r="AZ19" s="83"/>
    </row>
    <row r="20" spans="1:52" s="78" customFormat="1" x14ac:dyDescent="0.25">
      <c r="A20" s="99"/>
      <c r="B20" s="99"/>
      <c r="C20" s="99"/>
      <c r="D20" s="102"/>
      <c r="E20" s="104"/>
      <c r="F20" s="104"/>
      <c r="G20" s="84" t="s">
        <v>66</v>
      </c>
      <c r="H20" s="83"/>
      <c r="I20" s="83"/>
      <c r="J20" s="83"/>
      <c r="K20" s="83"/>
      <c r="L20" s="83"/>
      <c r="M20" s="83"/>
      <c r="N20" s="83">
        <v>1</v>
      </c>
      <c r="O20" s="83"/>
      <c r="P20" s="83"/>
      <c r="Q20" s="83"/>
      <c r="R20" s="83"/>
      <c r="S20" s="83"/>
      <c r="T20" s="83">
        <f t="shared" si="10"/>
        <v>1</v>
      </c>
      <c r="U20" s="83" t="str">
        <f t="shared" si="1"/>
        <v>T7</v>
      </c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>
        <v>1</v>
      </c>
      <c r="AT20" s="83"/>
      <c r="AU20" s="83"/>
      <c r="AV20" s="83"/>
      <c r="AW20" s="83"/>
      <c r="AX20" s="83"/>
      <c r="AY20" s="83"/>
      <c r="AZ20" s="83"/>
    </row>
    <row r="21" spans="1:52" s="78" customFormat="1" x14ac:dyDescent="0.25">
      <c r="A21" s="99"/>
      <c r="B21" s="99"/>
      <c r="C21" s="99"/>
      <c r="D21" s="102"/>
      <c r="E21" s="104"/>
      <c r="F21" s="104"/>
      <c r="G21" s="84" t="s">
        <v>66</v>
      </c>
      <c r="H21" s="83"/>
      <c r="I21" s="83"/>
      <c r="J21" s="83"/>
      <c r="K21" s="83"/>
      <c r="L21" s="83"/>
      <c r="M21" s="83"/>
      <c r="N21" s="83"/>
      <c r="O21" s="83"/>
      <c r="P21" s="83">
        <v>1</v>
      </c>
      <c r="Q21" s="83"/>
      <c r="R21" s="83"/>
      <c r="S21" s="83"/>
      <c r="T21" s="83">
        <f t="shared" si="10"/>
        <v>1</v>
      </c>
      <c r="U21" s="83" t="str">
        <f t="shared" si="1"/>
        <v>T9</v>
      </c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>
        <v>1</v>
      </c>
      <c r="AV21" s="83"/>
      <c r="AW21" s="83"/>
      <c r="AX21" s="83"/>
      <c r="AY21" s="83"/>
      <c r="AZ21" s="83"/>
    </row>
    <row r="22" spans="1:52" s="73" customFormat="1" x14ac:dyDescent="0.25">
      <c r="A22" s="74" t="s">
        <v>31</v>
      </c>
      <c r="B22" s="74"/>
      <c r="C22" s="74"/>
      <c r="D22" s="74"/>
      <c r="E22" s="75">
        <f t="shared" ref="E22:AZ22" si="11">SUM(E17:E21)</f>
        <v>1700</v>
      </c>
      <c r="F22" s="75">
        <f t="shared" si="11"/>
        <v>0</v>
      </c>
      <c r="G22" s="75">
        <f t="shared" si="11"/>
        <v>0</v>
      </c>
      <c r="H22" s="75">
        <f t="shared" si="11"/>
        <v>0</v>
      </c>
      <c r="I22" s="75">
        <f t="shared" si="11"/>
        <v>1</v>
      </c>
      <c r="J22" s="75">
        <f t="shared" si="11"/>
        <v>1</v>
      </c>
      <c r="K22" s="75">
        <f t="shared" si="11"/>
        <v>0</v>
      </c>
      <c r="L22" s="75">
        <f t="shared" si="11"/>
        <v>1</v>
      </c>
      <c r="M22" s="75">
        <f t="shared" si="11"/>
        <v>0</v>
      </c>
      <c r="N22" s="75">
        <f t="shared" si="11"/>
        <v>1</v>
      </c>
      <c r="O22" s="75">
        <f t="shared" si="11"/>
        <v>0</v>
      </c>
      <c r="P22" s="75">
        <f t="shared" si="11"/>
        <v>1</v>
      </c>
      <c r="Q22" s="75">
        <f t="shared" si="11"/>
        <v>0</v>
      </c>
      <c r="R22" s="75">
        <f t="shared" si="11"/>
        <v>0</v>
      </c>
      <c r="S22" s="75">
        <f t="shared" si="11"/>
        <v>0</v>
      </c>
      <c r="T22" s="75">
        <f t="shared" si="11"/>
        <v>5</v>
      </c>
      <c r="U22" s="75">
        <f t="shared" si="11"/>
        <v>0</v>
      </c>
      <c r="V22" s="75">
        <f t="shared" si="11"/>
        <v>0</v>
      </c>
      <c r="W22" s="75">
        <f t="shared" si="11"/>
        <v>0</v>
      </c>
      <c r="X22" s="75">
        <f t="shared" si="11"/>
        <v>0</v>
      </c>
      <c r="Y22" s="75">
        <f t="shared" si="11"/>
        <v>0</v>
      </c>
      <c r="Z22" s="75">
        <f t="shared" si="11"/>
        <v>0</v>
      </c>
      <c r="AA22" s="75">
        <f t="shared" si="11"/>
        <v>1</v>
      </c>
      <c r="AB22" s="75">
        <f t="shared" si="11"/>
        <v>0</v>
      </c>
      <c r="AC22" s="75">
        <f t="shared" si="11"/>
        <v>0</v>
      </c>
      <c r="AD22" s="75">
        <f t="shared" si="11"/>
        <v>0</v>
      </c>
      <c r="AE22" s="75">
        <f t="shared" si="11"/>
        <v>1</v>
      </c>
      <c r="AF22" s="75">
        <f t="shared" si="11"/>
        <v>0</v>
      </c>
      <c r="AG22" s="75">
        <f t="shared" si="11"/>
        <v>0</v>
      </c>
      <c r="AH22" s="75">
        <f t="shared" si="11"/>
        <v>0</v>
      </c>
      <c r="AI22" s="75">
        <f t="shared" si="11"/>
        <v>0</v>
      </c>
      <c r="AJ22" s="75">
        <f t="shared" si="11"/>
        <v>0</v>
      </c>
      <c r="AK22" s="75">
        <f t="shared" si="11"/>
        <v>0</v>
      </c>
      <c r="AL22" s="75">
        <f t="shared" si="11"/>
        <v>0</v>
      </c>
      <c r="AM22" s="75">
        <f t="shared" si="11"/>
        <v>0</v>
      </c>
      <c r="AN22" s="75">
        <f t="shared" si="11"/>
        <v>0</v>
      </c>
      <c r="AO22" s="75">
        <f t="shared" si="11"/>
        <v>0</v>
      </c>
      <c r="AP22" s="75">
        <f t="shared" si="11"/>
        <v>0</v>
      </c>
      <c r="AQ22" s="75">
        <f t="shared" si="11"/>
        <v>0</v>
      </c>
      <c r="AR22" s="75">
        <f t="shared" si="11"/>
        <v>1</v>
      </c>
      <c r="AS22" s="75">
        <f t="shared" si="11"/>
        <v>1</v>
      </c>
      <c r="AT22" s="75">
        <f t="shared" si="11"/>
        <v>0</v>
      </c>
      <c r="AU22" s="75">
        <f t="shared" si="11"/>
        <v>1</v>
      </c>
      <c r="AV22" s="75">
        <f t="shared" si="11"/>
        <v>0</v>
      </c>
      <c r="AW22" s="75">
        <f t="shared" si="11"/>
        <v>0</v>
      </c>
      <c r="AX22" s="75">
        <f t="shared" si="11"/>
        <v>0</v>
      </c>
      <c r="AY22" s="75">
        <f t="shared" si="11"/>
        <v>0</v>
      </c>
      <c r="AZ22" s="75">
        <f t="shared" si="11"/>
        <v>0</v>
      </c>
    </row>
    <row r="23" spans="1:52" s="78" customFormat="1" x14ac:dyDescent="0.25">
      <c r="A23" s="98" t="s">
        <v>101</v>
      </c>
      <c r="B23" s="98" t="s">
        <v>102</v>
      </c>
      <c r="C23" s="98" t="s">
        <v>103</v>
      </c>
      <c r="D23" s="101" t="s">
        <v>435</v>
      </c>
      <c r="E23" s="103">
        <v>3000</v>
      </c>
      <c r="F23" s="103">
        <v>0</v>
      </c>
      <c r="G23" s="84" t="s">
        <v>436</v>
      </c>
      <c r="H23" s="83"/>
      <c r="I23" s="83">
        <v>1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>
        <f t="shared" si="0"/>
        <v>1</v>
      </c>
      <c r="U23" s="83" t="str">
        <f t="shared" si="1"/>
        <v>T2</v>
      </c>
      <c r="V23" s="83">
        <v>1</v>
      </c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78" customFormat="1" x14ac:dyDescent="0.25">
      <c r="A24" s="99"/>
      <c r="B24" s="99"/>
      <c r="C24" s="99"/>
      <c r="D24" s="102"/>
      <c r="E24" s="104"/>
      <c r="F24" s="104"/>
      <c r="G24" s="84" t="s">
        <v>437</v>
      </c>
      <c r="H24" s="83"/>
      <c r="I24" s="83">
        <v>1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>
        <f t="shared" ref="T24" si="12">SUM(H24:S24)</f>
        <v>1</v>
      </c>
      <c r="U24" s="83" t="str">
        <f t="shared" si="1"/>
        <v>T2</v>
      </c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>
        <v>1</v>
      </c>
      <c r="AV24" s="83"/>
      <c r="AW24" s="83"/>
      <c r="AX24" s="83"/>
      <c r="AY24" s="83"/>
      <c r="AZ24" s="83"/>
    </row>
    <row r="25" spans="1:52" s="78" customFormat="1" x14ac:dyDescent="0.25">
      <c r="A25" s="99"/>
      <c r="B25" s="99"/>
      <c r="C25" s="99"/>
      <c r="D25" s="102"/>
      <c r="E25" s="104"/>
      <c r="F25" s="104"/>
      <c r="G25" s="84" t="s">
        <v>437</v>
      </c>
      <c r="H25" s="83"/>
      <c r="I25" s="83"/>
      <c r="J25" s="83"/>
      <c r="K25" s="83">
        <v>1</v>
      </c>
      <c r="L25" s="83"/>
      <c r="M25" s="83"/>
      <c r="N25" s="83"/>
      <c r="O25" s="83"/>
      <c r="P25" s="83"/>
      <c r="Q25" s="83"/>
      <c r="R25" s="83"/>
      <c r="S25" s="83"/>
      <c r="T25" s="83">
        <f t="shared" ref="T25" si="13">SUM(H25:S25)</f>
        <v>1</v>
      </c>
      <c r="U25" s="83" t="str">
        <f t="shared" si="1"/>
        <v>T4</v>
      </c>
      <c r="V25" s="83"/>
      <c r="W25" s="83"/>
      <c r="X25" s="83"/>
      <c r="Y25" s="83"/>
      <c r="Z25" s="83"/>
      <c r="AA25" s="83">
        <v>1</v>
      </c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78" customFormat="1" x14ac:dyDescent="0.25">
      <c r="A26" s="99"/>
      <c r="B26" s="99"/>
      <c r="C26" s="99"/>
      <c r="D26" s="102"/>
      <c r="E26" s="104"/>
      <c r="F26" s="104"/>
      <c r="G26" s="84" t="s">
        <v>437</v>
      </c>
      <c r="H26" s="83"/>
      <c r="I26" s="83"/>
      <c r="J26" s="83"/>
      <c r="K26" s="83"/>
      <c r="L26" s="83"/>
      <c r="M26" s="83">
        <v>2</v>
      </c>
      <c r="N26" s="83"/>
      <c r="O26" s="83"/>
      <c r="P26" s="83"/>
      <c r="Q26" s="83"/>
      <c r="R26" s="83"/>
      <c r="S26" s="83"/>
      <c r="T26" s="83">
        <f t="shared" ref="T26" si="14">SUM(H26:S26)</f>
        <v>2</v>
      </c>
      <c r="U26" s="83" t="str">
        <f t="shared" si="1"/>
        <v>T6</v>
      </c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>
        <v>1</v>
      </c>
      <c r="AI26" s="83">
        <v>1</v>
      </c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</row>
    <row r="27" spans="1:52" s="78" customFormat="1" x14ac:dyDescent="0.25">
      <c r="A27" s="99"/>
      <c r="B27" s="99"/>
      <c r="C27" s="99"/>
      <c r="D27" s="102"/>
      <c r="E27" s="104"/>
      <c r="F27" s="104"/>
      <c r="G27" s="84" t="s">
        <v>437</v>
      </c>
      <c r="H27" s="83"/>
      <c r="I27" s="83"/>
      <c r="J27" s="83"/>
      <c r="K27" s="83"/>
      <c r="L27" s="83"/>
      <c r="M27" s="83"/>
      <c r="N27" s="83"/>
      <c r="O27" s="83">
        <v>1</v>
      </c>
      <c r="P27" s="83"/>
      <c r="Q27" s="83"/>
      <c r="R27" s="83"/>
      <c r="S27" s="83"/>
      <c r="T27" s="83">
        <f t="shared" ref="T27" si="15">SUM(H27:S27)</f>
        <v>1</v>
      </c>
      <c r="U27" s="83" t="str">
        <f t="shared" si="1"/>
        <v>T8</v>
      </c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>
        <v>1</v>
      </c>
      <c r="AV27" s="83"/>
      <c r="AW27" s="83"/>
      <c r="AX27" s="83"/>
      <c r="AY27" s="83"/>
      <c r="AZ27" s="83"/>
    </row>
    <row r="28" spans="1:52" s="78" customFormat="1" x14ac:dyDescent="0.25">
      <c r="A28" s="99"/>
      <c r="B28" s="99"/>
      <c r="C28" s="99"/>
      <c r="D28" s="102"/>
      <c r="E28" s="104"/>
      <c r="F28" s="104"/>
      <c r="G28" s="84" t="s">
        <v>437</v>
      </c>
      <c r="H28" s="83"/>
      <c r="I28" s="83"/>
      <c r="J28" s="83"/>
      <c r="K28" s="83"/>
      <c r="L28" s="83"/>
      <c r="M28" s="83"/>
      <c r="N28" s="83"/>
      <c r="O28" s="83"/>
      <c r="P28" s="83"/>
      <c r="Q28" s="83">
        <v>1</v>
      </c>
      <c r="R28" s="83"/>
      <c r="S28" s="83"/>
      <c r="T28" s="83">
        <f t="shared" ref="T28" si="16">SUM(H28:S28)</f>
        <v>1</v>
      </c>
      <c r="U28" s="83" t="str">
        <f t="shared" si="1"/>
        <v>T10</v>
      </c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>
        <v>1</v>
      </c>
      <c r="AV28" s="83"/>
      <c r="AW28" s="83"/>
      <c r="AX28" s="83"/>
      <c r="AY28" s="83"/>
      <c r="AZ28" s="83"/>
    </row>
    <row r="29" spans="1:52" s="73" customFormat="1" x14ac:dyDescent="0.25">
      <c r="A29" s="74" t="s">
        <v>31</v>
      </c>
      <c r="B29" s="74"/>
      <c r="C29" s="74"/>
      <c r="D29" s="74"/>
      <c r="E29" s="75">
        <f t="shared" ref="E29:AZ29" si="17">SUM(E23:E28)</f>
        <v>3000</v>
      </c>
      <c r="F29" s="75">
        <f t="shared" si="17"/>
        <v>0</v>
      </c>
      <c r="G29" s="75">
        <f t="shared" si="17"/>
        <v>0</v>
      </c>
      <c r="H29" s="75">
        <f t="shared" si="17"/>
        <v>0</v>
      </c>
      <c r="I29" s="75">
        <f t="shared" si="17"/>
        <v>2</v>
      </c>
      <c r="J29" s="75">
        <f t="shared" si="17"/>
        <v>0</v>
      </c>
      <c r="K29" s="75">
        <f t="shared" si="17"/>
        <v>1</v>
      </c>
      <c r="L29" s="75">
        <f t="shared" si="17"/>
        <v>0</v>
      </c>
      <c r="M29" s="75">
        <f t="shared" si="17"/>
        <v>2</v>
      </c>
      <c r="N29" s="75">
        <f t="shared" si="17"/>
        <v>0</v>
      </c>
      <c r="O29" s="75">
        <f t="shared" si="17"/>
        <v>1</v>
      </c>
      <c r="P29" s="75">
        <f t="shared" si="17"/>
        <v>0</v>
      </c>
      <c r="Q29" s="75">
        <f t="shared" si="17"/>
        <v>1</v>
      </c>
      <c r="R29" s="75">
        <f t="shared" si="17"/>
        <v>0</v>
      </c>
      <c r="S29" s="75">
        <f t="shared" si="17"/>
        <v>0</v>
      </c>
      <c r="T29" s="75">
        <f t="shared" si="17"/>
        <v>7</v>
      </c>
      <c r="U29" s="75">
        <f t="shared" si="17"/>
        <v>0</v>
      </c>
      <c r="V29" s="75">
        <f t="shared" si="17"/>
        <v>1</v>
      </c>
      <c r="W29" s="75">
        <f t="shared" si="17"/>
        <v>0</v>
      </c>
      <c r="X29" s="75">
        <f t="shared" si="17"/>
        <v>0</v>
      </c>
      <c r="Y29" s="75">
        <f t="shared" si="17"/>
        <v>0</v>
      </c>
      <c r="Z29" s="75">
        <f t="shared" si="17"/>
        <v>0</v>
      </c>
      <c r="AA29" s="75">
        <f t="shared" si="17"/>
        <v>1</v>
      </c>
      <c r="AB29" s="75">
        <f t="shared" si="17"/>
        <v>0</v>
      </c>
      <c r="AC29" s="75">
        <f t="shared" si="17"/>
        <v>0</v>
      </c>
      <c r="AD29" s="75">
        <f t="shared" si="17"/>
        <v>0</v>
      </c>
      <c r="AE29" s="75">
        <f t="shared" si="17"/>
        <v>0</v>
      </c>
      <c r="AF29" s="75">
        <f t="shared" si="17"/>
        <v>0</v>
      </c>
      <c r="AG29" s="75">
        <f t="shared" si="17"/>
        <v>0</v>
      </c>
      <c r="AH29" s="75">
        <f t="shared" si="17"/>
        <v>1</v>
      </c>
      <c r="AI29" s="75">
        <f t="shared" si="17"/>
        <v>1</v>
      </c>
      <c r="AJ29" s="75">
        <f t="shared" si="17"/>
        <v>0</v>
      </c>
      <c r="AK29" s="75">
        <f t="shared" si="17"/>
        <v>0</v>
      </c>
      <c r="AL29" s="75">
        <f t="shared" si="17"/>
        <v>0</v>
      </c>
      <c r="AM29" s="75">
        <f t="shared" si="17"/>
        <v>0</v>
      </c>
      <c r="AN29" s="75">
        <f t="shared" si="17"/>
        <v>0</v>
      </c>
      <c r="AO29" s="75">
        <f t="shared" si="17"/>
        <v>0</v>
      </c>
      <c r="AP29" s="75">
        <f t="shared" si="17"/>
        <v>0</v>
      </c>
      <c r="AQ29" s="75">
        <f t="shared" si="17"/>
        <v>0</v>
      </c>
      <c r="AR29" s="75">
        <f t="shared" si="17"/>
        <v>0</v>
      </c>
      <c r="AS29" s="75">
        <f t="shared" si="17"/>
        <v>0</v>
      </c>
      <c r="AT29" s="75">
        <f t="shared" si="17"/>
        <v>0</v>
      </c>
      <c r="AU29" s="75">
        <f t="shared" si="17"/>
        <v>3</v>
      </c>
      <c r="AV29" s="75">
        <f t="shared" si="17"/>
        <v>0</v>
      </c>
      <c r="AW29" s="75">
        <f t="shared" si="17"/>
        <v>0</v>
      </c>
      <c r="AX29" s="75">
        <f t="shared" si="17"/>
        <v>0</v>
      </c>
      <c r="AY29" s="75">
        <f t="shared" si="17"/>
        <v>0</v>
      </c>
      <c r="AZ29" s="75">
        <f t="shared" si="17"/>
        <v>0</v>
      </c>
    </row>
    <row r="30" spans="1:52" s="78" customFormat="1" x14ac:dyDescent="0.25">
      <c r="A30" s="76" t="s">
        <v>35</v>
      </c>
      <c r="B30" s="76"/>
      <c r="C30" s="76"/>
      <c r="D30" s="76"/>
      <c r="E30" s="77">
        <f>SUM(E29,E22,E16,E9)</f>
        <v>7640</v>
      </c>
      <c r="F30" s="77">
        <f t="shared" ref="F30:AZ30" si="18">SUM(F29,F22,F16,F9)</f>
        <v>200</v>
      </c>
      <c r="G30" s="77">
        <f t="shared" si="18"/>
        <v>0</v>
      </c>
      <c r="H30" s="77">
        <f t="shared" si="18"/>
        <v>0</v>
      </c>
      <c r="I30" s="77">
        <f t="shared" si="18"/>
        <v>3</v>
      </c>
      <c r="J30" s="77">
        <f t="shared" si="18"/>
        <v>2</v>
      </c>
      <c r="K30" s="77">
        <f t="shared" si="18"/>
        <v>3</v>
      </c>
      <c r="L30" s="77">
        <f t="shared" si="18"/>
        <v>3</v>
      </c>
      <c r="M30" s="77">
        <f t="shared" si="18"/>
        <v>3</v>
      </c>
      <c r="N30" s="77">
        <f t="shared" si="18"/>
        <v>2</v>
      </c>
      <c r="O30" s="77">
        <f t="shared" si="18"/>
        <v>2</v>
      </c>
      <c r="P30" s="77">
        <f t="shared" si="18"/>
        <v>2</v>
      </c>
      <c r="Q30" s="77">
        <f t="shared" si="18"/>
        <v>1</v>
      </c>
      <c r="R30" s="77">
        <f t="shared" si="18"/>
        <v>0</v>
      </c>
      <c r="S30" s="77">
        <f t="shared" si="18"/>
        <v>0</v>
      </c>
      <c r="T30" s="77">
        <f t="shared" si="18"/>
        <v>21</v>
      </c>
      <c r="U30" s="77">
        <f t="shared" si="18"/>
        <v>0</v>
      </c>
      <c r="V30" s="77">
        <f t="shared" si="18"/>
        <v>1</v>
      </c>
      <c r="W30" s="77">
        <f t="shared" si="18"/>
        <v>1</v>
      </c>
      <c r="X30" s="77">
        <f t="shared" si="18"/>
        <v>2</v>
      </c>
      <c r="Y30" s="77">
        <f t="shared" si="18"/>
        <v>0</v>
      </c>
      <c r="Z30" s="77">
        <f t="shared" si="18"/>
        <v>0</v>
      </c>
      <c r="AA30" s="77">
        <f t="shared" si="18"/>
        <v>2</v>
      </c>
      <c r="AB30" s="77">
        <f t="shared" si="18"/>
        <v>1</v>
      </c>
      <c r="AC30" s="77">
        <f t="shared" si="18"/>
        <v>0</v>
      </c>
      <c r="AD30" s="77">
        <f t="shared" si="18"/>
        <v>0</v>
      </c>
      <c r="AE30" s="77">
        <f t="shared" si="18"/>
        <v>1</v>
      </c>
      <c r="AF30" s="77">
        <f t="shared" si="18"/>
        <v>0</v>
      </c>
      <c r="AG30" s="77">
        <f t="shared" si="18"/>
        <v>1</v>
      </c>
      <c r="AH30" s="77">
        <f t="shared" si="18"/>
        <v>1</v>
      </c>
      <c r="AI30" s="77">
        <f t="shared" si="18"/>
        <v>1</v>
      </c>
      <c r="AJ30" s="77">
        <f t="shared" si="18"/>
        <v>0</v>
      </c>
      <c r="AK30" s="77">
        <f t="shared" si="18"/>
        <v>0</v>
      </c>
      <c r="AL30" s="77">
        <f t="shared" si="18"/>
        <v>1</v>
      </c>
      <c r="AM30" s="77">
        <f t="shared" si="18"/>
        <v>1</v>
      </c>
      <c r="AN30" s="77">
        <f t="shared" si="18"/>
        <v>0</v>
      </c>
      <c r="AO30" s="77">
        <f t="shared" si="18"/>
        <v>0</v>
      </c>
      <c r="AP30" s="77">
        <f t="shared" si="18"/>
        <v>0</v>
      </c>
      <c r="AQ30" s="77">
        <f t="shared" si="18"/>
        <v>0</v>
      </c>
      <c r="AR30" s="77">
        <f t="shared" si="18"/>
        <v>1</v>
      </c>
      <c r="AS30" s="77">
        <f t="shared" si="18"/>
        <v>1</v>
      </c>
      <c r="AT30" s="77">
        <f t="shared" si="18"/>
        <v>1</v>
      </c>
      <c r="AU30" s="77">
        <f t="shared" si="18"/>
        <v>4</v>
      </c>
      <c r="AV30" s="77">
        <f t="shared" si="18"/>
        <v>0</v>
      </c>
      <c r="AW30" s="77">
        <f t="shared" si="18"/>
        <v>0</v>
      </c>
      <c r="AX30" s="77">
        <f t="shared" si="18"/>
        <v>1</v>
      </c>
      <c r="AY30" s="77">
        <f t="shared" si="18"/>
        <v>0</v>
      </c>
      <c r="AZ30" s="77">
        <f t="shared" si="18"/>
        <v>0</v>
      </c>
    </row>
    <row r="31" spans="1:52" s="78" customFormat="1" x14ac:dyDescent="0.25">
      <c r="A31" s="98" t="s">
        <v>101</v>
      </c>
      <c r="B31" s="98" t="s">
        <v>105</v>
      </c>
      <c r="C31" s="98" t="s">
        <v>106</v>
      </c>
      <c r="D31" s="101" t="s">
        <v>27</v>
      </c>
      <c r="E31" s="103">
        <v>1260</v>
      </c>
      <c r="F31" s="103">
        <v>800</v>
      </c>
      <c r="G31" s="84" t="s">
        <v>28</v>
      </c>
      <c r="H31" s="83"/>
      <c r="I31" s="83"/>
      <c r="J31" s="83">
        <v>1</v>
      </c>
      <c r="K31" s="83"/>
      <c r="L31" s="83"/>
      <c r="M31" s="83"/>
      <c r="N31" s="83"/>
      <c r="O31" s="83"/>
      <c r="P31" s="83"/>
      <c r="Q31" s="83"/>
      <c r="R31" s="83"/>
      <c r="S31" s="83"/>
      <c r="T31" s="83">
        <f t="shared" si="0"/>
        <v>1</v>
      </c>
      <c r="U31" s="83" t="str">
        <f t="shared" si="1"/>
        <v>T3</v>
      </c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>
        <v>1</v>
      </c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</row>
    <row r="32" spans="1:52" s="78" customFormat="1" x14ac:dyDescent="0.25">
      <c r="A32" s="99"/>
      <c r="B32" s="99"/>
      <c r="C32" s="99"/>
      <c r="D32" s="102"/>
      <c r="E32" s="104"/>
      <c r="F32" s="104"/>
      <c r="G32" s="84" t="s">
        <v>28</v>
      </c>
      <c r="H32" s="83"/>
      <c r="I32" s="83"/>
      <c r="J32" s="83"/>
      <c r="K32" s="83">
        <v>1</v>
      </c>
      <c r="L32" s="83"/>
      <c r="M32" s="83"/>
      <c r="N32" s="83"/>
      <c r="O32" s="83"/>
      <c r="P32" s="83"/>
      <c r="Q32" s="83"/>
      <c r="R32" s="83"/>
      <c r="S32" s="83"/>
      <c r="T32" s="83">
        <f t="shared" ref="T32" si="19">SUM(H32:S32)</f>
        <v>1</v>
      </c>
      <c r="U32" s="83" t="str">
        <f t="shared" si="1"/>
        <v>T4</v>
      </c>
      <c r="V32" s="83"/>
      <c r="W32" s="83"/>
      <c r="X32" s="83"/>
      <c r="Y32" s="83"/>
      <c r="Z32" s="83">
        <v>1</v>
      </c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</row>
    <row r="33" spans="1:52" s="78" customFormat="1" x14ac:dyDescent="0.25">
      <c r="A33" s="99"/>
      <c r="B33" s="99"/>
      <c r="C33" s="99"/>
      <c r="D33" s="102"/>
      <c r="E33" s="104"/>
      <c r="F33" s="104"/>
      <c r="G33" s="84" t="s">
        <v>28</v>
      </c>
      <c r="H33" s="83"/>
      <c r="I33" s="83"/>
      <c r="J33" s="83"/>
      <c r="K33" s="83"/>
      <c r="L33" s="83"/>
      <c r="M33" s="83">
        <v>1</v>
      </c>
      <c r="N33" s="83"/>
      <c r="O33" s="83"/>
      <c r="P33" s="83"/>
      <c r="Q33" s="83"/>
      <c r="R33" s="83"/>
      <c r="S33" s="83"/>
      <c r="T33" s="83">
        <f t="shared" si="0"/>
        <v>1</v>
      </c>
      <c r="U33" s="83" t="str">
        <f t="shared" si="1"/>
        <v>T6</v>
      </c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>
        <v>1</v>
      </c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</row>
    <row r="34" spans="1:52" s="78" customFormat="1" x14ac:dyDescent="0.25">
      <c r="A34" s="99"/>
      <c r="B34" s="99"/>
      <c r="C34" s="99"/>
      <c r="D34" s="102"/>
      <c r="E34" s="104"/>
      <c r="F34" s="104"/>
      <c r="G34" s="84" t="s">
        <v>28</v>
      </c>
      <c r="H34" s="83"/>
      <c r="I34" s="83"/>
      <c r="J34" s="83"/>
      <c r="K34" s="83"/>
      <c r="L34" s="83"/>
      <c r="M34" s="83"/>
      <c r="N34" s="83"/>
      <c r="O34" s="83">
        <v>1</v>
      </c>
      <c r="P34" s="83"/>
      <c r="Q34" s="83"/>
      <c r="R34" s="83"/>
      <c r="S34" s="83"/>
      <c r="T34" s="83">
        <f t="shared" ref="T34:T36" si="20">SUM(H34:S34)</f>
        <v>1</v>
      </c>
      <c r="U34" s="83" t="str">
        <f t="shared" si="1"/>
        <v>T8</v>
      </c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>
        <v>1</v>
      </c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</row>
    <row r="35" spans="1:52" s="78" customFormat="1" x14ac:dyDescent="0.25">
      <c r="A35" s="99"/>
      <c r="B35" s="99"/>
      <c r="C35" s="99"/>
      <c r="D35" s="102"/>
      <c r="E35" s="104"/>
      <c r="F35" s="104"/>
      <c r="G35" s="84" t="s">
        <v>29</v>
      </c>
      <c r="H35" s="83"/>
      <c r="I35" s="83"/>
      <c r="J35" s="83"/>
      <c r="K35" s="83"/>
      <c r="L35" s="83"/>
      <c r="M35" s="83"/>
      <c r="N35" s="83">
        <v>1</v>
      </c>
      <c r="O35" s="83"/>
      <c r="P35" s="83"/>
      <c r="Q35" s="83"/>
      <c r="R35" s="83"/>
      <c r="S35" s="83"/>
      <c r="T35" s="83">
        <f t="shared" si="20"/>
        <v>1</v>
      </c>
      <c r="U35" s="83" t="str">
        <f t="shared" si="1"/>
        <v>T7</v>
      </c>
      <c r="V35" s="83"/>
      <c r="W35" s="83">
        <v>1</v>
      </c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</row>
    <row r="36" spans="1:52" s="78" customFormat="1" x14ac:dyDescent="0.25">
      <c r="A36" s="99"/>
      <c r="B36" s="99"/>
      <c r="C36" s="99"/>
      <c r="D36" s="102"/>
      <c r="E36" s="104"/>
      <c r="F36" s="104"/>
      <c r="G36" s="84" t="s">
        <v>29</v>
      </c>
      <c r="H36" s="83"/>
      <c r="I36" s="83"/>
      <c r="J36" s="83"/>
      <c r="K36" s="83"/>
      <c r="L36" s="83"/>
      <c r="M36" s="83"/>
      <c r="N36" s="83"/>
      <c r="O36" s="83"/>
      <c r="P36" s="83">
        <v>1</v>
      </c>
      <c r="Q36" s="83"/>
      <c r="R36" s="83"/>
      <c r="S36" s="83"/>
      <c r="T36" s="83">
        <f t="shared" si="20"/>
        <v>1</v>
      </c>
      <c r="U36" s="83" t="str">
        <f t="shared" si="1"/>
        <v>T9</v>
      </c>
      <c r="V36" s="83"/>
      <c r="W36" s="83"/>
      <c r="X36" s="85">
        <v>1</v>
      </c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</row>
    <row r="37" spans="1:52" s="73" customFormat="1" x14ac:dyDescent="0.25">
      <c r="A37" s="74" t="s">
        <v>31</v>
      </c>
      <c r="B37" s="74"/>
      <c r="C37" s="74"/>
      <c r="D37" s="74"/>
      <c r="E37" s="75">
        <f t="shared" ref="E37:V37" si="21">SUM(E31:E36)</f>
        <v>1260</v>
      </c>
      <c r="F37" s="75">
        <f t="shared" si="21"/>
        <v>800</v>
      </c>
      <c r="G37" s="75">
        <f t="shared" si="21"/>
        <v>0</v>
      </c>
      <c r="H37" s="75">
        <f t="shared" si="21"/>
        <v>0</v>
      </c>
      <c r="I37" s="75">
        <f t="shared" si="21"/>
        <v>0</v>
      </c>
      <c r="J37" s="75">
        <f t="shared" si="21"/>
        <v>1</v>
      </c>
      <c r="K37" s="75">
        <f t="shared" si="21"/>
        <v>1</v>
      </c>
      <c r="L37" s="75">
        <f t="shared" si="21"/>
        <v>0</v>
      </c>
      <c r="M37" s="75">
        <f t="shared" si="21"/>
        <v>1</v>
      </c>
      <c r="N37" s="75">
        <f t="shared" si="21"/>
        <v>1</v>
      </c>
      <c r="O37" s="75">
        <f t="shared" si="21"/>
        <v>1</v>
      </c>
      <c r="P37" s="75">
        <f t="shared" si="21"/>
        <v>1</v>
      </c>
      <c r="Q37" s="75">
        <f t="shared" si="21"/>
        <v>0</v>
      </c>
      <c r="R37" s="75">
        <f t="shared" si="21"/>
        <v>0</v>
      </c>
      <c r="S37" s="75">
        <f t="shared" si="21"/>
        <v>0</v>
      </c>
      <c r="T37" s="75">
        <f t="shared" si="21"/>
        <v>6</v>
      </c>
      <c r="U37" s="75">
        <f t="shared" si="21"/>
        <v>0</v>
      </c>
      <c r="V37" s="75">
        <f t="shared" si="21"/>
        <v>0</v>
      </c>
      <c r="W37" s="75">
        <f t="shared" ref="W37:AZ37" si="22">SUM(W31:W36)</f>
        <v>1</v>
      </c>
      <c r="X37" s="75">
        <f t="shared" si="22"/>
        <v>1</v>
      </c>
      <c r="Y37" s="75">
        <f t="shared" si="22"/>
        <v>0</v>
      </c>
      <c r="Z37" s="75">
        <f t="shared" si="22"/>
        <v>1</v>
      </c>
      <c r="AA37" s="75">
        <f t="shared" si="22"/>
        <v>0</v>
      </c>
      <c r="AB37" s="75">
        <f t="shared" si="22"/>
        <v>0</v>
      </c>
      <c r="AC37" s="75">
        <f t="shared" si="22"/>
        <v>0</v>
      </c>
      <c r="AD37" s="75">
        <f t="shared" si="22"/>
        <v>0</v>
      </c>
      <c r="AE37" s="75">
        <f t="shared" si="22"/>
        <v>0</v>
      </c>
      <c r="AF37" s="75">
        <f t="shared" si="22"/>
        <v>1</v>
      </c>
      <c r="AG37" s="75">
        <f t="shared" si="22"/>
        <v>1</v>
      </c>
      <c r="AH37" s="75">
        <f t="shared" si="22"/>
        <v>1</v>
      </c>
      <c r="AI37" s="75">
        <f t="shared" si="22"/>
        <v>0</v>
      </c>
      <c r="AJ37" s="75">
        <f t="shared" si="22"/>
        <v>0</v>
      </c>
      <c r="AK37" s="75">
        <f t="shared" si="22"/>
        <v>0</v>
      </c>
      <c r="AL37" s="75">
        <f t="shared" si="22"/>
        <v>0</v>
      </c>
      <c r="AM37" s="75">
        <f t="shared" si="22"/>
        <v>0</v>
      </c>
      <c r="AN37" s="75">
        <f t="shared" si="22"/>
        <v>0</v>
      </c>
      <c r="AO37" s="75">
        <f t="shared" si="22"/>
        <v>0</v>
      </c>
      <c r="AP37" s="75">
        <f t="shared" si="22"/>
        <v>0</v>
      </c>
      <c r="AQ37" s="75">
        <f t="shared" si="22"/>
        <v>0</v>
      </c>
      <c r="AR37" s="75">
        <f t="shared" si="22"/>
        <v>0</v>
      </c>
      <c r="AS37" s="75">
        <f t="shared" si="22"/>
        <v>0</v>
      </c>
      <c r="AT37" s="75">
        <f t="shared" si="22"/>
        <v>0</v>
      </c>
      <c r="AU37" s="75">
        <f t="shared" si="22"/>
        <v>0</v>
      </c>
      <c r="AV37" s="75">
        <f t="shared" si="22"/>
        <v>0</v>
      </c>
      <c r="AW37" s="75">
        <f t="shared" si="22"/>
        <v>0</v>
      </c>
      <c r="AX37" s="75">
        <f t="shared" si="22"/>
        <v>0</v>
      </c>
      <c r="AY37" s="75">
        <f t="shared" si="22"/>
        <v>0</v>
      </c>
      <c r="AZ37" s="75">
        <f t="shared" si="22"/>
        <v>0</v>
      </c>
    </row>
    <row r="38" spans="1:52" s="78" customFormat="1" x14ac:dyDescent="0.25">
      <c r="A38" s="98" t="s">
        <v>101</v>
      </c>
      <c r="B38" s="98" t="s">
        <v>105</v>
      </c>
      <c r="C38" s="98" t="s">
        <v>106</v>
      </c>
      <c r="D38" s="101" t="s">
        <v>32</v>
      </c>
      <c r="E38" s="103">
        <v>2940</v>
      </c>
      <c r="F38" s="103">
        <v>0</v>
      </c>
      <c r="G38" s="84" t="s">
        <v>33</v>
      </c>
      <c r="H38" s="83"/>
      <c r="I38" s="83">
        <v>1</v>
      </c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>
        <f t="shared" si="0"/>
        <v>1</v>
      </c>
      <c r="U38" s="83" t="str">
        <f t="shared" si="1"/>
        <v>T2</v>
      </c>
      <c r="V38" s="83"/>
      <c r="W38" s="83"/>
      <c r="X38" s="83"/>
      <c r="Y38" s="83">
        <v>1</v>
      </c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</row>
    <row r="39" spans="1:52" s="78" customFormat="1" x14ac:dyDescent="0.25">
      <c r="A39" s="99"/>
      <c r="B39" s="99"/>
      <c r="C39" s="99"/>
      <c r="D39" s="102"/>
      <c r="E39" s="104"/>
      <c r="F39" s="104"/>
      <c r="G39" s="84" t="s">
        <v>34</v>
      </c>
      <c r="H39" s="83"/>
      <c r="I39" s="83"/>
      <c r="J39" s="83">
        <v>1</v>
      </c>
      <c r="K39" s="83"/>
      <c r="L39" s="83"/>
      <c r="M39" s="83"/>
      <c r="N39" s="83"/>
      <c r="O39" s="83"/>
      <c r="P39" s="83"/>
      <c r="Q39" s="83"/>
      <c r="R39" s="83"/>
      <c r="S39" s="83"/>
      <c r="T39" s="83">
        <f t="shared" ref="T39:T45" si="23">SUM(H39:S39)</f>
        <v>1</v>
      </c>
      <c r="U39" s="83" t="str">
        <f t="shared" si="1"/>
        <v>T3</v>
      </c>
      <c r="V39" s="83"/>
      <c r="W39" s="83">
        <v>1</v>
      </c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</row>
    <row r="40" spans="1:52" s="78" customFormat="1" x14ac:dyDescent="0.25">
      <c r="A40" s="99"/>
      <c r="B40" s="99"/>
      <c r="C40" s="99"/>
      <c r="D40" s="102"/>
      <c r="E40" s="104"/>
      <c r="F40" s="104"/>
      <c r="G40" s="84" t="s">
        <v>34</v>
      </c>
      <c r="H40" s="83"/>
      <c r="I40" s="83"/>
      <c r="J40" s="83"/>
      <c r="K40" s="83">
        <v>1</v>
      </c>
      <c r="L40" s="83"/>
      <c r="M40" s="83"/>
      <c r="N40" s="83"/>
      <c r="O40" s="83"/>
      <c r="P40" s="83"/>
      <c r="Q40" s="83"/>
      <c r="R40" s="83"/>
      <c r="S40" s="83"/>
      <c r="T40" s="83">
        <f t="shared" si="23"/>
        <v>1</v>
      </c>
      <c r="U40" s="83" t="str">
        <f t="shared" si="1"/>
        <v>T4</v>
      </c>
      <c r="V40" s="83"/>
      <c r="W40" s="83"/>
      <c r="X40" s="83"/>
      <c r="Y40" s="83"/>
      <c r="Z40" s="83"/>
      <c r="AA40" s="83"/>
      <c r="AB40" s="83">
        <v>1</v>
      </c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</row>
    <row r="41" spans="1:52" s="78" customFormat="1" x14ac:dyDescent="0.25">
      <c r="A41" s="99"/>
      <c r="B41" s="99"/>
      <c r="C41" s="99"/>
      <c r="D41" s="102"/>
      <c r="E41" s="104"/>
      <c r="F41" s="104"/>
      <c r="G41" s="84" t="s">
        <v>34</v>
      </c>
      <c r="H41" s="83"/>
      <c r="I41" s="83"/>
      <c r="J41" s="83"/>
      <c r="K41" s="83"/>
      <c r="L41" s="83">
        <v>1</v>
      </c>
      <c r="M41" s="83"/>
      <c r="N41" s="83"/>
      <c r="O41" s="83"/>
      <c r="P41" s="83"/>
      <c r="Q41" s="83"/>
      <c r="R41" s="83"/>
      <c r="S41" s="83"/>
      <c r="T41" s="83">
        <f t="shared" si="23"/>
        <v>1</v>
      </c>
      <c r="U41" s="83" t="str">
        <f t="shared" si="1"/>
        <v>T5</v>
      </c>
      <c r="V41" s="83"/>
      <c r="W41" s="83"/>
      <c r="X41" s="83"/>
      <c r="Y41" s="83"/>
      <c r="Z41" s="83"/>
      <c r="AA41" s="83"/>
      <c r="AB41" s="83"/>
      <c r="AC41" s="83"/>
      <c r="AD41" s="83"/>
      <c r="AE41" s="83">
        <v>1</v>
      </c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</row>
    <row r="42" spans="1:52" s="78" customFormat="1" x14ac:dyDescent="0.25">
      <c r="A42" s="99"/>
      <c r="B42" s="99"/>
      <c r="C42" s="99"/>
      <c r="D42" s="102"/>
      <c r="E42" s="104"/>
      <c r="F42" s="104"/>
      <c r="G42" s="84" t="s">
        <v>34</v>
      </c>
      <c r="H42" s="83"/>
      <c r="I42" s="83"/>
      <c r="J42" s="83"/>
      <c r="K42" s="83"/>
      <c r="L42" s="83"/>
      <c r="M42" s="83">
        <v>1</v>
      </c>
      <c r="N42" s="83"/>
      <c r="O42" s="83"/>
      <c r="P42" s="83"/>
      <c r="Q42" s="83"/>
      <c r="R42" s="83"/>
      <c r="S42" s="83"/>
      <c r="T42" s="83">
        <f t="shared" si="23"/>
        <v>1</v>
      </c>
      <c r="U42" s="83" t="str">
        <f t="shared" si="1"/>
        <v>T6</v>
      </c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>
        <v>1</v>
      </c>
      <c r="AQ42" s="83"/>
      <c r="AR42" s="83"/>
      <c r="AS42" s="83"/>
      <c r="AT42" s="83"/>
      <c r="AU42" s="83"/>
      <c r="AV42" s="83"/>
      <c r="AW42" s="83"/>
      <c r="AX42" s="83"/>
      <c r="AY42" s="83"/>
      <c r="AZ42" s="83"/>
    </row>
    <row r="43" spans="1:52" s="78" customFormat="1" x14ac:dyDescent="0.25">
      <c r="A43" s="99"/>
      <c r="B43" s="99"/>
      <c r="C43" s="99"/>
      <c r="D43" s="102"/>
      <c r="E43" s="104"/>
      <c r="F43" s="104"/>
      <c r="G43" s="84" t="s">
        <v>34</v>
      </c>
      <c r="H43" s="83"/>
      <c r="I43" s="83"/>
      <c r="J43" s="83"/>
      <c r="K43" s="83"/>
      <c r="L43" s="83"/>
      <c r="M43" s="83"/>
      <c r="N43" s="83">
        <v>1</v>
      </c>
      <c r="O43" s="83"/>
      <c r="P43" s="83"/>
      <c r="Q43" s="83"/>
      <c r="R43" s="83"/>
      <c r="S43" s="83"/>
      <c r="T43" s="83">
        <f t="shared" si="23"/>
        <v>1</v>
      </c>
      <c r="U43" s="83" t="str">
        <f t="shared" si="1"/>
        <v>T7</v>
      </c>
      <c r="V43" s="83"/>
      <c r="W43" s="83"/>
      <c r="X43" s="83"/>
      <c r="Y43" s="83"/>
      <c r="Z43" s="83">
        <v>1</v>
      </c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</row>
    <row r="44" spans="1:52" s="78" customFormat="1" x14ac:dyDescent="0.25">
      <c r="A44" s="99"/>
      <c r="B44" s="99"/>
      <c r="C44" s="99"/>
      <c r="D44" s="102"/>
      <c r="E44" s="104"/>
      <c r="F44" s="104"/>
      <c r="G44" s="84" t="s">
        <v>34</v>
      </c>
      <c r="H44" s="83"/>
      <c r="I44" s="83"/>
      <c r="J44" s="83"/>
      <c r="K44" s="83"/>
      <c r="L44" s="83"/>
      <c r="M44" s="83"/>
      <c r="N44" s="83"/>
      <c r="O44" s="83">
        <v>1</v>
      </c>
      <c r="P44" s="83"/>
      <c r="Q44" s="83"/>
      <c r="R44" s="83"/>
      <c r="S44" s="83"/>
      <c r="T44" s="83">
        <f t="shared" si="23"/>
        <v>1</v>
      </c>
      <c r="U44" s="83" t="str">
        <f t="shared" si="1"/>
        <v>T8</v>
      </c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>
        <v>1</v>
      </c>
      <c r="AR44" s="83"/>
      <c r="AS44" s="83"/>
      <c r="AT44" s="83"/>
      <c r="AU44" s="83"/>
      <c r="AV44" s="83"/>
      <c r="AW44" s="83"/>
      <c r="AX44" s="83"/>
      <c r="AY44" s="83"/>
      <c r="AZ44" s="83"/>
    </row>
    <row r="45" spans="1:52" s="78" customFormat="1" x14ac:dyDescent="0.25">
      <c r="A45" s="99"/>
      <c r="B45" s="99"/>
      <c r="C45" s="99"/>
      <c r="D45" s="102"/>
      <c r="E45" s="104"/>
      <c r="F45" s="104"/>
      <c r="G45" s="84" t="s">
        <v>34</v>
      </c>
      <c r="H45" s="83"/>
      <c r="I45" s="83"/>
      <c r="J45" s="83"/>
      <c r="K45" s="83"/>
      <c r="L45" s="83"/>
      <c r="M45" s="83"/>
      <c r="N45" s="83"/>
      <c r="O45" s="83"/>
      <c r="P45" s="83">
        <v>1</v>
      </c>
      <c r="Q45" s="83"/>
      <c r="R45" s="83"/>
      <c r="S45" s="83"/>
      <c r="T45" s="83">
        <f t="shared" si="23"/>
        <v>1</v>
      </c>
      <c r="U45" s="83" t="str">
        <f t="shared" si="1"/>
        <v>T9</v>
      </c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>
        <v>1</v>
      </c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</row>
    <row r="46" spans="1:52" s="78" customFormat="1" x14ac:dyDescent="0.25">
      <c r="A46" s="99"/>
      <c r="B46" s="99"/>
      <c r="C46" s="99"/>
      <c r="D46" s="102"/>
      <c r="E46" s="104"/>
      <c r="F46" s="104"/>
      <c r="G46" s="84" t="s">
        <v>34</v>
      </c>
      <c r="H46" s="83"/>
      <c r="I46" s="83"/>
      <c r="J46" s="83"/>
      <c r="K46" s="83"/>
      <c r="L46" s="83"/>
      <c r="M46" s="83"/>
      <c r="N46" s="83"/>
      <c r="O46" s="83"/>
      <c r="P46" s="83"/>
      <c r="Q46" s="83">
        <v>1</v>
      </c>
      <c r="R46" s="83"/>
      <c r="S46" s="83"/>
      <c r="T46" s="83">
        <f t="shared" ref="T46" si="24">SUM(H46:S46)</f>
        <v>1</v>
      </c>
      <c r="U46" s="83" t="str">
        <f t="shared" si="1"/>
        <v>T10</v>
      </c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>
        <v>1</v>
      </c>
      <c r="AU46" s="83"/>
      <c r="AV46" s="83"/>
      <c r="AW46" s="83"/>
      <c r="AX46" s="83"/>
      <c r="AY46" s="83"/>
      <c r="AZ46" s="83"/>
    </row>
    <row r="47" spans="1:52" s="78" customFormat="1" x14ac:dyDescent="0.25">
      <c r="A47" s="99"/>
      <c r="B47" s="99"/>
      <c r="C47" s="99"/>
      <c r="D47" s="102"/>
      <c r="E47" s="104"/>
      <c r="F47" s="104"/>
      <c r="G47" s="84" t="s">
        <v>434</v>
      </c>
      <c r="H47" s="83"/>
      <c r="I47" s="83"/>
      <c r="J47" s="83"/>
      <c r="K47" s="83"/>
      <c r="L47" s="83"/>
      <c r="M47" s="83"/>
      <c r="N47" s="83">
        <v>3</v>
      </c>
      <c r="O47" s="83"/>
      <c r="P47" s="83"/>
      <c r="Q47" s="83"/>
      <c r="R47" s="83"/>
      <c r="S47" s="83"/>
      <c r="T47" s="83">
        <f t="shared" ref="T47" si="25">SUM(H47:S47)</f>
        <v>3</v>
      </c>
      <c r="U47" s="83" t="str">
        <f t="shared" si="1"/>
        <v>T7</v>
      </c>
      <c r="V47" s="83"/>
      <c r="W47" s="83">
        <v>1</v>
      </c>
      <c r="X47" s="87">
        <v>2</v>
      </c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</row>
    <row r="48" spans="1:52" s="73" customFormat="1" x14ac:dyDescent="0.25">
      <c r="A48" s="74" t="s">
        <v>31</v>
      </c>
      <c r="B48" s="74"/>
      <c r="C48" s="74"/>
      <c r="D48" s="74"/>
      <c r="E48" s="75">
        <f t="shared" ref="E48:AZ48" si="26">SUM(E38:E47)</f>
        <v>2940</v>
      </c>
      <c r="F48" s="75">
        <f t="shared" si="26"/>
        <v>0</v>
      </c>
      <c r="G48" s="75">
        <f t="shared" si="26"/>
        <v>0</v>
      </c>
      <c r="H48" s="75">
        <f t="shared" si="26"/>
        <v>0</v>
      </c>
      <c r="I48" s="75">
        <f t="shared" si="26"/>
        <v>1</v>
      </c>
      <c r="J48" s="75">
        <f t="shared" si="26"/>
        <v>1</v>
      </c>
      <c r="K48" s="75">
        <f t="shared" si="26"/>
        <v>1</v>
      </c>
      <c r="L48" s="75">
        <f t="shared" si="26"/>
        <v>1</v>
      </c>
      <c r="M48" s="75">
        <f t="shared" si="26"/>
        <v>1</v>
      </c>
      <c r="N48" s="75">
        <f t="shared" si="26"/>
        <v>4</v>
      </c>
      <c r="O48" s="75">
        <f t="shared" si="26"/>
        <v>1</v>
      </c>
      <c r="P48" s="75">
        <f t="shared" si="26"/>
        <v>1</v>
      </c>
      <c r="Q48" s="75">
        <f t="shared" si="26"/>
        <v>1</v>
      </c>
      <c r="R48" s="75">
        <f t="shared" si="26"/>
        <v>0</v>
      </c>
      <c r="S48" s="75">
        <f t="shared" si="26"/>
        <v>0</v>
      </c>
      <c r="T48" s="75">
        <f t="shared" si="26"/>
        <v>12</v>
      </c>
      <c r="U48" s="75">
        <f t="shared" si="26"/>
        <v>0</v>
      </c>
      <c r="V48" s="75">
        <f t="shared" si="26"/>
        <v>0</v>
      </c>
      <c r="W48" s="75">
        <f t="shared" si="26"/>
        <v>2</v>
      </c>
      <c r="X48" s="75">
        <f t="shared" si="26"/>
        <v>2</v>
      </c>
      <c r="Y48" s="75">
        <f t="shared" si="26"/>
        <v>1</v>
      </c>
      <c r="Z48" s="75">
        <f t="shared" si="26"/>
        <v>1</v>
      </c>
      <c r="AA48" s="75">
        <f t="shared" si="26"/>
        <v>0</v>
      </c>
      <c r="AB48" s="75">
        <f t="shared" si="26"/>
        <v>1</v>
      </c>
      <c r="AC48" s="75">
        <f t="shared" si="26"/>
        <v>0</v>
      </c>
      <c r="AD48" s="75">
        <f t="shared" si="26"/>
        <v>0</v>
      </c>
      <c r="AE48" s="75">
        <f t="shared" si="26"/>
        <v>1</v>
      </c>
      <c r="AF48" s="75">
        <f t="shared" si="26"/>
        <v>0</v>
      </c>
      <c r="AG48" s="75">
        <f t="shared" si="26"/>
        <v>0</v>
      </c>
      <c r="AH48" s="75">
        <f t="shared" si="26"/>
        <v>1</v>
      </c>
      <c r="AI48" s="75">
        <f t="shared" si="26"/>
        <v>0</v>
      </c>
      <c r="AJ48" s="75">
        <f t="shared" si="26"/>
        <v>0</v>
      </c>
      <c r="AK48" s="75">
        <f t="shared" si="26"/>
        <v>0</v>
      </c>
      <c r="AL48" s="75">
        <f t="shared" si="26"/>
        <v>0</v>
      </c>
      <c r="AM48" s="75">
        <f t="shared" si="26"/>
        <v>0</v>
      </c>
      <c r="AN48" s="75">
        <f t="shared" si="26"/>
        <v>0</v>
      </c>
      <c r="AO48" s="75">
        <f t="shared" si="26"/>
        <v>0</v>
      </c>
      <c r="AP48" s="75">
        <f t="shared" si="26"/>
        <v>1</v>
      </c>
      <c r="AQ48" s="75">
        <f t="shared" si="26"/>
        <v>1</v>
      </c>
      <c r="AR48" s="75">
        <f t="shared" si="26"/>
        <v>0</v>
      </c>
      <c r="AS48" s="75">
        <f t="shared" si="26"/>
        <v>0</v>
      </c>
      <c r="AT48" s="75">
        <f t="shared" si="26"/>
        <v>1</v>
      </c>
      <c r="AU48" s="75">
        <f t="shared" si="26"/>
        <v>0</v>
      </c>
      <c r="AV48" s="75">
        <f t="shared" si="26"/>
        <v>0</v>
      </c>
      <c r="AW48" s="75">
        <f t="shared" si="26"/>
        <v>0</v>
      </c>
      <c r="AX48" s="75">
        <f t="shared" si="26"/>
        <v>0</v>
      </c>
      <c r="AY48" s="75">
        <f t="shared" si="26"/>
        <v>0</v>
      </c>
      <c r="AZ48" s="75">
        <f t="shared" si="26"/>
        <v>0</v>
      </c>
    </row>
    <row r="49" spans="1:52" s="78" customFormat="1" x14ac:dyDescent="0.25">
      <c r="A49" s="98" t="s">
        <v>101</v>
      </c>
      <c r="B49" s="98" t="s">
        <v>105</v>
      </c>
      <c r="C49" s="98" t="s">
        <v>106</v>
      </c>
      <c r="D49" s="101" t="s">
        <v>65</v>
      </c>
      <c r="E49" s="103">
        <v>10000</v>
      </c>
      <c r="F49" s="103">
        <v>0</v>
      </c>
      <c r="G49" s="84" t="s">
        <v>67</v>
      </c>
      <c r="H49" s="83"/>
      <c r="I49" s="83">
        <v>1</v>
      </c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>
        <f t="shared" ref="T49:T55" si="27">SUM(H49:S49)</f>
        <v>1</v>
      </c>
      <c r="U49" s="83" t="str">
        <f t="shared" si="1"/>
        <v>T2</v>
      </c>
      <c r="V49" s="83">
        <v>1</v>
      </c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</row>
    <row r="50" spans="1:52" s="78" customFormat="1" x14ac:dyDescent="0.25">
      <c r="A50" s="99"/>
      <c r="B50" s="99"/>
      <c r="C50" s="99"/>
      <c r="D50" s="102"/>
      <c r="E50" s="104"/>
      <c r="F50" s="104"/>
      <c r="G50" s="84" t="s">
        <v>66</v>
      </c>
      <c r="H50" s="83"/>
      <c r="I50" s="83"/>
      <c r="J50" s="83">
        <v>2</v>
      </c>
      <c r="K50" s="83"/>
      <c r="L50" s="83"/>
      <c r="M50" s="83"/>
      <c r="N50" s="83"/>
      <c r="O50" s="83"/>
      <c r="P50" s="83"/>
      <c r="Q50" s="83"/>
      <c r="R50" s="83"/>
      <c r="S50" s="83"/>
      <c r="T50" s="83">
        <f t="shared" si="27"/>
        <v>2</v>
      </c>
      <c r="U50" s="83" t="str">
        <f t="shared" si="1"/>
        <v>T3</v>
      </c>
      <c r="V50" s="83"/>
      <c r="W50" s="83"/>
      <c r="X50" s="83"/>
      <c r="Y50" s="83"/>
      <c r="Z50" s="83"/>
      <c r="AA50" s="83"/>
      <c r="AB50" s="83"/>
      <c r="AC50" s="83">
        <v>1</v>
      </c>
      <c r="AD50" s="83">
        <v>1</v>
      </c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</row>
    <row r="51" spans="1:52" s="78" customFormat="1" x14ac:dyDescent="0.25">
      <c r="A51" s="99"/>
      <c r="B51" s="99"/>
      <c r="C51" s="99"/>
      <c r="D51" s="102"/>
      <c r="E51" s="104"/>
      <c r="F51" s="104"/>
      <c r="G51" s="84" t="s">
        <v>66</v>
      </c>
      <c r="H51" s="83"/>
      <c r="I51" s="83"/>
      <c r="J51" s="83"/>
      <c r="K51" s="83">
        <v>3</v>
      </c>
      <c r="L51" s="83"/>
      <c r="M51" s="83"/>
      <c r="N51" s="83"/>
      <c r="O51" s="83"/>
      <c r="P51" s="83"/>
      <c r="Q51" s="83"/>
      <c r="R51" s="83"/>
      <c r="S51" s="83"/>
      <c r="T51" s="83">
        <f t="shared" si="27"/>
        <v>3</v>
      </c>
      <c r="U51" s="83" t="str">
        <f t="shared" si="1"/>
        <v>T4</v>
      </c>
      <c r="V51" s="83"/>
      <c r="W51" s="83"/>
      <c r="X51" s="83"/>
      <c r="Y51" s="83"/>
      <c r="Z51" s="83">
        <v>1</v>
      </c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>
        <v>1</v>
      </c>
      <c r="AV51" s="83"/>
      <c r="AW51" s="83"/>
      <c r="AX51" s="83">
        <v>1</v>
      </c>
      <c r="AY51" s="83"/>
      <c r="AZ51" s="83"/>
    </row>
    <row r="52" spans="1:52" s="78" customFormat="1" x14ac:dyDescent="0.25">
      <c r="A52" s="99"/>
      <c r="B52" s="99"/>
      <c r="C52" s="99"/>
      <c r="D52" s="102"/>
      <c r="E52" s="104"/>
      <c r="F52" s="104"/>
      <c r="G52" s="84" t="s">
        <v>66</v>
      </c>
      <c r="H52" s="83"/>
      <c r="I52" s="83"/>
      <c r="J52" s="83"/>
      <c r="K52" s="83"/>
      <c r="L52" s="83">
        <v>3</v>
      </c>
      <c r="M52" s="83"/>
      <c r="N52" s="83"/>
      <c r="O52" s="83"/>
      <c r="P52" s="83"/>
      <c r="Q52" s="83"/>
      <c r="R52" s="83"/>
      <c r="S52" s="83"/>
      <c r="T52" s="83">
        <f t="shared" si="27"/>
        <v>3</v>
      </c>
      <c r="U52" s="83" t="str">
        <f t="shared" si="1"/>
        <v>T5</v>
      </c>
      <c r="V52" s="83"/>
      <c r="W52" s="83"/>
      <c r="X52" s="83"/>
      <c r="Y52" s="83"/>
      <c r="Z52" s="83"/>
      <c r="AA52" s="83"/>
      <c r="AB52" s="83"/>
      <c r="AC52" s="83"/>
      <c r="AD52" s="83"/>
      <c r="AE52" s="83">
        <v>1</v>
      </c>
      <c r="AF52" s="83"/>
      <c r="AG52" s="83">
        <v>1</v>
      </c>
      <c r="AH52" s="83">
        <v>1</v>
      </c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</row>
    <row r="53" spans="1:52" s="78" customFormat="1" x14ac:dyDescent="0.25">
      <c r="A53" s="99"/>
      <c r="B53" s="99"/>
      <c r="C53" s="99"/>
      <c r="D53" s="102"/>
      <c r="E53" s="104"/>
      <c r="F53" s="104"/>
      <c r="G53" s="84" t="s">
        <v>66</v>
      </c>
      <c r="H53" s="83"/>
      <c r="I53" s="83"/>
      <c r="J53" s="83"/>
      <c r="K53" s="83"/>
      <c r="L53" s="83"/>
      <c r="M53" s="83">
        <v>3</v>
      </c>
      <c r="N53" s="83"/>
      <c r="O53" s="83"/>
      <c r="P53" s="83"/>
      <c r="Q53" s="83"/>
      <c r="R53" s="83"/>
      <c r="S53" s="83"/>
      <c r="T53" s="83">
        <f t="shared" si="27"/>
        <v>3</v>
      </c>
      <c r="U53" s="83" t="str">
        <f t="shared" si="1"/>
        <v>T6</v>
      </c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>
        <v>1</v>
      </c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>
        <v>1</v>
      </c>
      <c r="AV53" s="83"/>
      <c r="AW53" s="83">
        <v>1</v>
      </c>
      <c r="AX53" s="83"/>
      <c r="AY53" s="83"/>
      <c r="AZ53" s="83"/>
    </row>
    <row r="54" spans="1:52" s="78" customFormat="1" x14ac:dyDescent="0.25">
      <c r="A54" s="99"/>
      <c r="B54" s="99"/>
      <c r="C54" s="99"/>
      <c r="D54" s="102"/>
      <c r="E54" s="104"/>
      <c r="F54" s="104"/>
      <c r="G54" s="84" t="s">
        <v>67</v>
      </c>
      <c r="H54" s="83"/>
      <c r="I54" s="83"/>
      <c r="J54" s="83"/>
      <c r="K54" s="83"/>
      <c r="L54" s="83"/>
      <c r="M54" s="83"/>
      <c r="N54" s="83">
        <v>1</v>
      </c>
      <c r="O54" s="83"/>
      <c r="P54" s="83"/>
      <c r="Q54" s="83"/>
      <c r="R54" s="83"/>
      <c r="S54" s="83"/>
      <c r="T54" s="83">
        <f t="shared" si="27"/>
        <v>1</v>
      </c>
      <c r="U54" s="83" t="str">
        <f t="shared" si="1"/>
        <v>T7</v>
      </c>
      <c r="V54" s="83"/>
      <c r="W54" s="83">
        <v>1</v>
      </c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</row>
    <row r="55" spans="1:52" s="78" customFormat="1" x14ac:dyDescent="0.25">
      <c r="A55" s="99"/>
      <c r="B55" s="99"/>
      <c r="C55" s="99"/>
      <c r="D55" s="102"/>
      <c r="E55" s="104"/>
      <c r="F55" s="104"/>
      <c r="G55" s="84" t="s">
        <v>66</v>
      </c>
      <c r="H55" s="83"/>
      <c r="I55" s="83"/>
      <c r="J55" s="83"/>
      <c r="K55" s="83"/>
      <c r="L55" s="83"/>
      <c r="M55" s="83"/>
      <c r="N55" s="83">
        <v>1</v>
      </c>
      <c r="O55" s="83"/>
      <c r="P55" s="83"/>
      <c r="Q55" s="83"/>
      <c r="R55" s="83"/>
      <c r="S55" s="83"/>
      <c r="T55" s="83">
        <f t="shared" si="27"/>
        <v>1</v>
      </c>
      <c r="U55" s="83" t="str">
        <f t="shared" si="1"/>
        <v>T7</v>
      </c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>
        <v>1</v>
      </c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</row>
    <row r="56" spans="1:52" s="78" customFormat="1" x14ac:dyDescent="0.25">
      <c r="A56" s="99"/>
      <c r="B56" s="99"/>
      <c r="C56" s="99"/>
      <c r="D56" s="102"/>
      <c r="E56" s="104"/>
      <c r="F56" s="104"/>
      <c r="G56" s="84" t="s">
        <v>66</v>
      </c>
      <c r="H56" s="83"/>
      <c r="I56" s="83"/>
      <c r="J56" s="83"/>
      <c r="K56" s="83"/>
      <c r="L56" s="83"/>
      <c r="M56" s="83"/>
      <c r="N56" s="83"/>
      <c r="O56" s="83">
        <v>2</v>
      </c>
      <c r="P56" s="83"/>
      <c r="Q56" s="83"/>
      <c r="R56" s="83"/>
      <c r="S56" s="83"/>
      <c r="T56" s="83">
        <f t="shared" ref="T56:T60" si="28">SUM(H56:S56)</f>
        <v>2</v>
      </c>
      <c r="U56" s="83" t="str">
        <f t="shared" si="1"/>
        <v>T8</v>
      </c>
      <c r="V56" s="83"/>
      <c r="W56" s="83"/>
      <c r="X56" s="83">
        <v>1</v>
      </c>
      <c r="Y56" s="83">
        <v>1</v>
      </c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</row>
    <row r="57" spans="1:52" s="78" customFormat="1" x14ac:dyDescent="0.25">
      <c r="A57" s="99"/>
      <c r="B57" s="99"/>
      <c r="C57" s="99"/>
      <c r="D57" s="102"/>
      <c r="E57" s="104"/>
      <c r="F57" s="104"/>
      <c r="G57" s="84" t="s">
        <v>66</v>
      </c>
      <c r="H57" s="83"/>
      <c r="I57" s="83"/>
      <c r="J57" s="83"/>
      <c r="K57" s="83"/>
      <c r="L57" s="83"/>
      <c r="M57" s="83"/>
      <c r="N57" s="83"/>
      <c r="O57" s="83"/>
      <c r="P57" s="83">
        <v>2</v>
      </c>
      <c r="Q57" s="83"/>
      <c r="R57" s="83"/>
      <c r="S57" s="83"/>
      <c r="T57" s="83">
        <f t="shared" si="28"/>
        <v>2</v>
      </c>
      <c r="U57" s="83" t="str">
        <f t="shared" si="1"/>
        <v>T9</v>
      </c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>
        <v>1</v>
      </c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>
        <v>1</v>
      </c>
      <c r="AV57" s="83"/>
      <c r="AW57" s="83"/>
      <c r="AX57" s="83"/>
      <c r="AY57" s="83"/>
      <c r="AZ57" s="83"/>
    </row>
    <row r="58" spans="1:52" s="78" customFormat="1" x14ac:dyDescent="0.25">
      <c r="A58" s="99"/>
      <c r="B58" s="99"/>
      <c r="C58" s="99"/>
      <c r="D58" s="102"/>
      <c r="E58" s="104"/>
      <c r="F58" s="104"/>
      <c r="G58" s="84" t="s">
        <v>66</v>
      </c>
      <c r="H58" s="83"/>
      <c r="I58" s="83"/>
      <c r="J58" s="83"/>
      <c r="K58" s="83"/>
      <c r="L58" s="83"/>
      <c r="M58" s="83"/>
      <c r="N58" s="83"/>
      <c r="O58" s="83"/>
      <c r="P58" s="83"/>
      <c r="Q58" s="83">
        <v>2</v>
      </c>
      <c r="R58" s="83"/>
      <c r="S58" s="83"/>
      <c r="T58" s="83">
        <f t="shared" si="28"/>
        <v>2</v>
      </c>
      <c r="U58" s="83" t="str">
        <f t="shared" si="1"/>
        <v>T10</v>
      </c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>
        <v>1</v>
      </c>
      <c r="AV58" s="83"/>
      <c r="AW58" s="83"/>
      <c r="AX58" s="83"/>
      <c r="AY58" s="83">
        <v>1</v>
      </c>
      <c r="AZ58" s="83"/>
    </row>
    <row r="59" spans="1:52" s="78" customFormat="1" x14ac:dyDescent="0.25">
      <c r="A59" s="99"/>
      <c r="B59" s="99"/>
      <c r="C59" s="99"/>
      <c r="D59" s="102"/>
      <c r="E59" s="104"/>
      <c r="F59" s="104"/>
      <c r="G59" s="84" t="s">
        <v>66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>
        <v>2</v>
      </c>
      <c r="S59" s="83"/>
      <c r="T59" s="83">
        <f t="shared" si="28"/>
        <v>2</v>
      </c>
      <c r="U59" s="83" t="str">
        <f t="shared" si="1"/>
        <v>T11</v>
      </c>
      <c r="V59" s="83"/>
      <c r="W59" s="83"/>
      <c r="X59" s="83"/>
      <c r="Y59" s="83"/>
      <c r="Z59" s="83"/>
      <c r="AA59" s="83"/>
      <c r="AB59" s="83">
        <v>1</v>
      </c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>
        <v>1</v>
      </c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</row>
    <row r="60" spans="1:52" s="78" customFormat="1" x14ac:dyDescent="0.25">
      <c r="A60" s="99"/>
      <c r="B60" s="99"/>
      <c r="C60" s="99"/>
      <c r="D60" s="102"/>
      <c r="E60" s="104"/>
      <c r="F60" s="104"/>
      <c r="G60" s="86" t="s">
        <v>376</v>
      </c>
      <c r="H60" s="83"/>
      <c r="I60" s="83"/>
      <c r="J60" s="83"/>
      <c r="K60" s="83"/>
      <c r="L60" s="83"/>
      <c r="M60" s="83">
        <v>1</v>
      </c>
      <c r="N60" s="83"/>
      <c r="O60" s="83"/>
      <c r="P60" s="83"/>
      <c r="Q60" s="83"/>
      <c r="R60" s="83"/>
      <c r="S60" s="83"/>
      <c r="T60" s="83">
        <f t="shared" si="28"/>
        <v>1</v>
      </c>
      <c r="U60" s="83" t="str">
        <f t="shared" si="1"/>
        <v>T6</v>
      </c>
      <c r="V60" s="83"/>
      <c r="W60" s="83"/>
      <c r="X60" s="83"/>
      <c r="Y60" s="83"/>
      <c r="Z60" s="83">
        <v>1</v>
      </c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</row>
    <row r="61" spans="1:52" s="73" customFormat="1" x14ac:dyDescent="0.25">
      <c r="A61" s="74" t="s">
        <v>31</v>
      </c>
      <c r="B61" s="74"/>
      <c r="C61" s="74"/>
      <c r="D61" s="74"/>
      <c r="E61" s="75">
        <f t="shared" ref="E61:AZ61" si="29">SUM(E49:E60)</f>
        <v>10000</v>
      </c>
      <c r="F61" s="75">
        <f t="shared" si="29"/>
        <v>0</v>
      </c>
      <c r="G61" s="75">
        <f t="shared" si="29"/>
        <v>0</v>
      </c>
      <c r="H61" s="75">
        <f t="shared" si="29"/>
        <v>0</v>
      </c>
      <c r="I61" s="75">
        <f t="shared" si="29"/>
        <v>1</v>
      </c>
      <c r="J61" s="75">
        <f t="shared" si="29"/>
        <v>2</v>
      </c>
      <c r="K61" s="75">
        <f t="shared" si="29"/>
        <v>3</v>
      </c>
      <c r="L61" s="75">
        <f t="shared" si="29"/>
        <v>3</v>
      </c>
      <c r="M61" s="75">
        <f t="shared" si="29"/>
        <v>4</v>
      </c>
      <c r="N61" s="75">
        <f t="shared" si="29"/>
        <v>2</v>
      </c>
      <c r="O61" s="75">
        <f t="shared" si="29"/>
        <v>2</v>
      </c>
      <c r="P61" s="75">
        <f t="shared" si="29"/>
        <v>2</v>
      </c>
      <c r="Q61" s="75">
        <f t="shared" si="29"/>
        <v>2</v>
      </c>
      <c r="R61" s="75">
        <f t="shared" si="29"/>
        <v>2</v>
      </c>
      <c r="S61" s="75">
        <f t="shared" si="29"/>
        <v>0</v>
      </c>
      <c r="T61" s="75">
        <f t="shared" si="29"/>
        <v>23</v>
      </c>
      <c r="U61" s="75">
        <f t="shared" si="29"/>
        <v>0</v>
      </c>
      <c r="V61" s="75">
        <f t="shared" si="29"/>
        <v>1</v>
      </c>
      <c r="W61" s="75">
        <f t="shared" si="29"/>
        <v>1</v>
      </c>
      <c r="X61" s="75">
        <f t="shared" si="29"/>
        <v>1</v>
      </c>
      <c r="Y61" s="75">
        <f t="shared" si="29"/>
        <v>1</v>
      </c>
      <c r="Z61" s="75">
        <f t="shared" si="29"/>
        <v>2</v>
      </c>
      <c r="AA61" s="75">
        <f t="shared" si="29"/>
        <v>0</v>
      </c>
      <c r="AB61" s="75">
        <f t="shared" si="29"/>
        <v>1</v>
      </c>
      <c r="AC61" s="75">
        <f t="shared" si="29"/>
        <v>1</v>
      </c>
      <c r="AD61" s="75">
        <f t="shared" si="29"/>
        <v>1</v>
      </c>
      <c r="AE61" s="75">
        <f t="shared" si="29"/>
        <v>1</v>
      </c>
      <c r="AF61" s="75">
        <f t="shared" si="29"/>
        <v>1</v>
      </c>
      <c r="AG61" s="75">
        <f t="shared" si="29"/>
        <v>1</v>
      </c>
      <c r="AH61" s="75">
        <f t="shared" si="29"/>
        <v>1</v>
      </c>
      <c r="AI61" s="75">
        <f t="shared" si="29"/>
        <v>1</v>
      </c>
      <c r="AJ61" s="75">
        <f t="shared" si="29"/>
        <v>1</v>
      </c>
      <c r="AK61" s="75">
        <f t="shared" si="29"/>
        <v>0</v>
      </c>
      <c r="AL61" s="75">
        <f t="shared" si="29"/>
        <v>0</v>
      </c>
      <c r="AM61" s="75">
        <f t="shared" si="29"/>
        <v>1</v>
      </c>
      <c r="AN61" s="75">
        <f t="shared" si="29"/>
        <v>0</v>
      </c>
      <c r="AO61" s="75">
        <f t="shared" si="29"/>
        <v>0</v>
      </c>
      <c r="AP61" s="75">
        <f t="shared" si="29"/>
        <v>0</v>
      </c>
      <c r="AQ61" s="75">
        <f t="shared" si="29"/>
        <v>0</v>
      </c>
      <c r="AR61" s="75">
        <f t="shared" si="29"/>
        <v>0</v>
      </c>
      <c r="AS61" s="75">
        <f t="shared" si="29"/>
        <v>0</v>
      </c>
      <c r="AT61" s="75">
        <f t="shared" si="29"/>
        <v>0</v>
      </c>
      <c r="AU61" s="75">
        <f t="shared" si="29"/>
        <v>4</v>
      </c>
      <c r="AV61" s="75">
        <f t="shared" si="29"/>
        <v>0</v>
      </c>
      <c r="AW61" s="75">
        <f t="shared" si="29"/>
        <v>1</v>
      </c>
      <c r="AX61" s="75">
        <f t="shared" si="29"/>
        <v>1</v>
      </c>
      <c r="AY61" s="75">
        <f t="shared" si="29"/>
        <v>1</v>
      </c>
      <c r="AZ61" s="75">
        <f t="shared" si="29"/>
        <v>0</v>
      </c>
    </row>
    <row r="62" spans="1:52" s="78" customFormat="1" x14ac:dyDescent="0.25">
      <c r="A62" s="98" t="s">
        <v>101</v>
      </c>
      <c r="B62" s="98" t="s">
        <v>105</v>
      </c>
      <c r="C62" s="98" t="s">
        <v>106</v>
      </c>
      <c r="D62" s="101" t="s">
        <v>435</v>
      </c>
      <c r="E62" s="103">
        <v>2000</v>
      </c>
      <c r="F62" s="103">
        <v>0</v>
      </c>
      <c r="G62" s="84" t="s">
        <v>436</v>
      </c>
      <c r="H62" s="83"/>
      <c r="I62" s="83"/>
      <c r="J62" s="83">
        <v>1</v>
      </c>
      <c r="K62" s="83"/>
      <c r="L62" s="83"/>
      <c r="M62" s="83"/>
      <c r="N62" s="83"/>
      <c r="O62" s="83"/>
      <c r="P62" s="83"/>
      <c r="Q62" s="83"/>
      <c r="R62" s="83"/>
      <c r="S62" s="83"/>
      <c r="T62" s="83">
        <f t="shared" ref="T62:T65" si="30">SUM(H62:S62)</f>
        <v>1</v>
      </c>
      <c r="U62" s="83" t="str">
        <f t="shared" si="1"/>
        <v>T3</v>
      </c>
      <c r="V62" s="83"/>
      <c r="W62" s="83">
        <v>1</v>
      </c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</row>
    <row r="63" spans="1:52" s="78" customFormat="1" x14ac:dyDescent="0.25">
      <c r="A63" s="99"/>
      <c r="B63" s="99"/>
      <c r="C63" s="99"/>
      <c r="D63" s="102"/>
      <c r="E63" s="104"/>
      <c r="F63" s="104"/>
      <c r="G63" s="84" t="s">
        <v>437</v>
      </c>
      <c r="H63" s="83"/>
      <c r="I63" s="83"/>
      <c r="J63" s="83">
        <v>1</v>
      </c>
      <c r="K63" s="83"/>
      <c r="L63" s="83"/>
      <c r="M63" s="83"/>
      <c r="N63" s="83"/>
      <c r="O63" s="83"/>
      <c r="P63" s="83"/>
      <c r="Q63" s="83"/>
      <c r="R63" s="83"/>
      <c r="S63" s="83"/>
      <c r="T63" s="83">
        <f t="shared" si="30"/>
        <v>1</v>
      </c>
      <c r="U63" s="83" t="str">
        <f t="shared" si="1"/>
        <v>T3</v>
      </c>
      <c r="V63" s="83"/>
      <c r="W63" s="83"/>
      <c r="X63" s="83">
        <v>1</v>
      </c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</row>
    <row r="64" spans="1:52" s="78" customFormat="1" x14ac:dyDescent="0.25">
      <c r="A64" s="99"/>
      <c r="B64" s="99"/>
      <c r="C64" s="99"/>
      <c r="D64" s="102"/>
      <c r="E64" s="104"/>
      <c r="F64" s="104"/>
      <c r="G64" s="84" t="s">
        <v>437</v>
      </c>
      <c r="H64" s="83"/>
      <c r="I64" s="83"/>
      <c r="J64" s="83"/>
      <c r="K64" s="83"/>
      <c r="L64" s="83"/>
      <c r="M64" s="83"/>
      <c r="N64" s="83"/>
      <c r="O64" s="83"/>
      <c r="P64" s="83">
        <v>1</v>
      </c>
      <c r="Q64" s="83"/>
      <c r="R64" s="83"/>
      <c r="S64" s="83"/>
      <c r="T64" s="83">
        <f t="shared" si="30"/>
        <v>1</v>
      </c>
      <c r="U64" s="83" t="str">
        <f t="shared" si="1"/>
        <v>T9</v>
      </c>
      <c r="V64" s="83"/>
      <c r="W64" s="83"/>
      <c r="X64" s="83"/>
      <c r="Y64" s="83"/>
      <c r="Z64" s="83">
        <v>1</v>
      </c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</row>
    <row r="65" spans="1:52" s="78" customFormat="1" x14ac:dyDescent="0.25">
      <c r="A65" s="100"/>
      <c r="B65" s="100"/>
      <c r="C65" s="100"/>
      <c r="D65" s="105"/>
      <c r="E65" s="106"/>
      <c r="F65" s="106"/>
      <c r="G65" s="84" t="s">
        <v>437</v>
      </c>
      <c r="H65" s="83"/>
      <c r="I65" s="83"/>
      <c r="J65" s="83"/>
      <c r="K65" s="83"/>
      <c r="L65" s="83"/>
      <c r="M65" s="83"/>
      <c r="N65" s="83"/>
      <c r="O65" s="83"/>
      <c r="P65" s="83"/>
      <c r="Q65" s="83">
        <v>1</v>
      </c>
      <c r="R65" s="83"/>
      <c r="S65" s="83"/>
      <c r="T65" s="83">
        <f t="shared" si="30"/>
        <v>1</v>
      </c>
      <c r="U65" s="83" t="str">
        <f t="shared" si="1"/>
        <v>T10</v>
      </c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>
        <v>1</v>
      </c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</row>
    <row r="66" spans="1:52" s="73" customFormat="1" x14ac:dyDescent="0.25">
      <c r="A66" s="74" t="s">
        <v>31</v>
      </c>
      <c r="B66" s="74"/>
      <c r="C66" s="74"/>
      <c r="D66" s="74"/>
      <c r="E66" s="75">
        <f t="shared" ref="E66:AZ66" si="31">SUM(E62:E65)</f>
        <v>2000</v>
      </c>
      <c r="F66" s="75">
        <f t="shared" si="31"/>
        <v>0</v>
      </c>
      <c r="G66" s="75">
        <f t="shared" si="31"/>
        <v>0</v>
      </c>
      <c r="H66" s="75">
        <f t="shared" si="31"/>
        <v>0</v>
      </c>
      <c r="I66" s="75">
        <f t="shared" si="31"/>
        <v>0</v>
      </c>
      <c r="J66" s="75">
        <f t="shared" si="31"/>
        <v>2</v>
      </c>
      <c r="K66" s="75">
        <f t="shared" si="31"/>
        <v>0</v>
      </c>
      <c r="L66" s="75">
        <f t="shared" si="31"/>
        <v>0</v>
      </c>
      <c r="M66" s="75">
        <f t="shared" si="31"/>
        <v>0</v>
      </c>
      <c r="N66" s="75">
        <f t="shared" si="31"/>
        <v>0</v>
      </c>
      <c r="O66" s="75">
        <f t="shared" si="31"/>
        <v>0</v>
      </c>
      <c r="P66" s="75">
        <f t="shared" si="31"/>
        <v>1</v>
      </c>
      <c r="Q66" s="75">
        <f t="shared" si="31"/>
        <v>1</v>
      </c>
      <c r="R66" s="75">
        <f t="shared" si="31"/>
        <v>0</v>
      </c>
      <c r="S66" s="75">
        <f t="shared" si="31"/>
        <v>0</v>
      </c>
      <c r="T66" s="75">
        <f t="shared" si="31"/>
        <v>4</v>
      </c>
      <c r="U66" s="75">
        <f t="shared" si="31"/>
        <v>0</v>
      </c>
      <c r="V66" s="75">
        <f t="shared" si="31"/>
        <v>0</v>
      </c>
      <c r="W66" s="75">
        <f t="shared" si="31"/>
        <v>1</v>
      </c>
      <c r="X66" s="75">
        <f t="shared" si="31"/>
        <v>1</v>
      </c>
      <c r="Y66" s="75">
        <f t="shared" si="31"/>
        <v>0</v>
      </c>
      <c r="Z66" s="75">
        <f t="shared" si="31"/>
        <v>1</v>
      </c>
      <c r="AA66" s="75">
        <f t="shared" si="31"/>
        <v>0</v>
      </c>
      <c r="AB66" s="75">
        <f t="shared" si="31"/>
        <v>0</v>
      </c>
      <c r="AC66" s="75">
        <f t="shared" si="31"/>
        <v>0</v>
      </c>
      <c r="AD66" s="75">
        <f t="shared" si="31"/>
        <v>0</v>
      </c>
      <c r="AE66" s="75">
        <f t="shared" si="31"/>
        <v>0</v>
      </c>
      <c r="AF66" s="75">
        <f t="shared" si="31"/>
        <v>0</v>
      </c>
      <c r="AG66" s="75">
        <f t="shared" si="31"/>
        <v>0</v>
      </c>
      <c r="AH66" s="75">
        <f t="shared" si="31"/>
        <v>1</v>
      </c>
      <c r="AI66" s="75">
        <f t="shared" si="31"/>
        <v>0</v>
      </c>
      <c r="AJ66" s="75">
        <f t="shared" si="31"/>
        <v>0</v>
      </c>
      <c r="AK66" s="75">
        <f t="shared" si="31"/>
        <v>0</v>
      </c>
      <c r="AL66" s="75">
        <f t="shared" si="31"/>
        <v>0</v>
      </c>
      <c r="AM66" s="75">
        <f t="shared" si="31"/>
        <v>0</v>
      </c>
      <c r="AN66" s="75">
        <f t="shared" si="31"/>
        <v>0</v>
      </c>
      <c r="AO66" s="75">
        <f t="shared" si="31"/>
        <v>0</v>
      </c>
      <c r="AP66" s="75">
        <f t="shared" si="31"/>
        <v>0</v>
      </c>
      <c r="AQ66" s="75">
        <f t="shared" si="31"/>
        <v>0</v>
      </c>
      <c r="AR66" s="75">
        <f t="shared" si="31"/>
        <v>0</v>
      </c>
      <c r="AS66" s="75">
        <f t="shared" si="31"/>
        <v>0</v>
      </c>
      <c r="AT66" s="75">
        <f t="shared" si="31"/>
        <v>0</v>
      </c>
      <c r="AU66" s="75">
        <f t="shared" si="31"/>
        <v>0</v>
      </c>
      <c r="AV66" s="75">
        <f t="shared" si="31"/>
        <v>0</v>
      </c>
      <c r="AW66" s="75">
        <f t="shared" si="31"/>
        <v>0</v>
      </c>
      <c r="AX66" s="75">
        <f t="shared" si="31"/>
        <v>0</v>
      </c>
      <c r="AY66" s="75">
        <f t="shared" si="31"/>
        <v>0</v>
      </c>
      <c r="AZ66" s="75">
        <f t="shared" si="31"/>
        <v>0</v>
      </c>
    </row>
    <row r="67" spans="1:52" s="94" customFormat="1" ht="22.5" customHeight="1" x14ac:dyDescent="0.25">
      <c r="A67" s="107" t="s">
        <v>101</v>
      </c>
      <c r="B67" s="107" t="s">
        <v>105</v>
      </c>
      <c r="C67" s="107" t="s">
        <v>106</v>
      </c>
      <c r="D67" s="109" t="s">
        <v>75</v>
      </c>
      <c r="E67" s="111">
        <v>1000</v>
      </c>
      <c r="F67" s="111">
        <v>0</v>
      </c>
      <c r="G67" s="92" t="s">
        <v>76</v>
      </c>
      <c r="H67" s="93"/>
      <c r="I67" s="93"/>
      <c r="J67" s="93"/>
      <c r="K67" s="93"/>
      <c r="L67" s="93"/>
      <c r="M67" s="93">
        <v>1</v>
      </c>
      <c r="N67" s="93"/>
      <c r="O67" s="93"/>
      <c r="P67" s="93"/>
      <c r="Q67" s="93"/>
      <c r="R67" s="93"/>
      <c r="S67" s="93"/>
      <c r="T67" s="93">
        <f t="shared" si="0"/>
        <v>1</v>
      </c>
      <c r="U67" s="93" t="str">
        <f t="shared" si="1"/>
        <v>T6</v>
      </c>
      <c r="V67" s="93"/>
      <c r="W67" s="93">
        <v>1</v>
      </c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</row>
    <row r="68" spans="1:52" s="94" customFormat="1" ht="22.5" customHeight="1" x14ac:dyDescent="0.25">
      <c r="A68" s="108"/>
      <c r="B68" s="108"/>
      <c r="C68" s="108"/>
      <c r="D68" s="110"/>
      <c r="E68" s="112"/>
      <c r="F68" s="112"/>
      <c r="G68" s="92" t="s">
        <v>76</v>
      </c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>
        <v>1</v>
      </c>
      <c r="T68" s="93">
        <f t="shared" si="0"/>
        <v>1</v>
      </c>
      <c r="U68" s="93" t="str">
        <f t="shared" si="1"/>
        <v>T12</v>
      </c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>
        <v>1</v>
      </c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</row>
    <row r="69" spans="1:52" s="97" customFormat="1" x14ac:dyDescent="0.25">
      <c r="A69" s="95" t="s">
        <v>31</v>
      </c>
      <c r="B69" s="95"/>
      <c r="C69" s="95"/>
      <c r="D69" s="95"/>
      <c r="E69" s="96">
        <f t="shared" ref="E69:AZ69" si="32">SUM(E67:E68)</f>
        <v>1000</v>
      </c>
      <c r="F69" s="96">
        <f t="shared" si="32"/>
        <v>0</v>
      </c>
      <c r="G69" s="96">
        <f t="shared" si="32"/>
        <v>0</v>
      </c>
      <c r="H69" s="96">
        <f t="shared" si="32"/>
        <v>0</v>
      </c>
      <c r="I69" s="96">
        <f t="shared" si="32"/>
        <v>0</v>
      </c>
      <c r="J69" s="96">
        <f t="shared" si="32"/>
        <v>0</v>
      </c>
      <c r="K69" s="96">
        <f t="shared" si="32"/>
        <v>0</v>
      </c>
      <c r="L69" s="96">
        <f t="shared" si="32"/>
        <v>0</v>
      </c>
      <c r="M69" s="96">
        <f t="shared" si="32"/>
        <v>1</v>
      </c>
      <c r="N69" s="96">
        <f t="shared" si="32"/>
        <v>0</v>
      </c>
      <c r="O69" s="96">
        <f t="shared" si="32"/>
        <v>0</v>
      </c>
      <c r="P69" s="96">
        <f t="shared" si="32"/>
        <v>0</v>
      </c>
      <c r="Q69" s="96">
        <f t="shared" si="32"/>
        <v>0</v>
      </c>
      <c r="R69" s="96">
        <f t="shared" si="32"/>
        <v>0</v>
      </c>
      <c r="S69" s="96">
        <f t="shared" si="32"/>
        <v>1</v>
      </c>
      <c r="T69" s="96">
        <f t="shared" si="32"/>
        <v>2</v>
      </c>
      <c r="U69" s="96">
        <f t="shared" si="32"/>
        <v>0</v>
      </c>
      <c r="V69" s="96">
        <f t="shared" si="32"/>
        <v>0</v>
      </c>
      <c r="W69" s="96">
        <f t="shared" si="32"/>
        <v>1</v>
      </c>
      <c r="X69" s="96">
        <f t="shared" si="32"/>
        <v>0</v>
      </c>
      <c r="Y69" s="96">
        <f t="shared" si="32"/>
        <v>0</v>
      </c>
      <c r="Z69" s="96">
        <f t="shared" si="32"/>
        <v>0</v>
      </c>
      <c r="AA69" s="96">
        <f t="shared" si="32"/>
        <v>0</v>
      </c>
      <c r="AB69" s="96">
        <f t="shared" si="32"/>
        <v>0</v>
      </c>
      <c r="AC69" s="96">
        <f t="shared" si="32"/>
        <v>0</v>
      </c>
      <c r="AD69" s="96">
        <f t="shared" si="32"/>
        <v>0</v>
      </c>
      <c r="AE69" s="96">
        <f t="shared" si="32"/>
        <v>0</v>
      </c>
      <c r="AF69" s="96">
        <f t="shared" si="32"/>
        <v>0</v>
      </c>
      <c r="AG69" s="96">
        <f t="shared" si="32"/>
        <v>0</v>
      </c>
      <c r="AH69" s="96">
        <f t="shared" si="32"/>
        <v>1</v>
      </c>
      <c r="AI69" s="96">
        <f t="shared" si="32"/>
        <v>0</v>
      </c>
      <c r="AJ69" s="96">
        <f t="shared" si="32"/>
        <v>0</v>
      </c>
      <c r="AK69" s="96">
        <f t="shared" si="32"/>
        <v>0</v>
      </c>
      <c r="AL69" s="96">
        <f t="shared" si="32"/>
        <v>0</v>
      </c>
      <c r="AM69" s="96">
        <f t="shared" si="32"/>
        <v>0</v>
      </c>
      <c r="AN69" s="96">
        <f t="shared" si="32"/>
        <v>0</v>
      </c>
      <c r="AO69" s="96">
        <f t="shared" si="32"/>
        <v>0</v>
      </c>
      <c r="AP69" s="96">
        <f t="shared" si="32"/>
        <v>0</v>
      </c>
      <c r="AQ69" s="96">
        <f t="shared" si="32"/>
        <v>0</v>
      </c>
      <c r="AR69" s="96">
        <f t="shared" si="32"/>
        <v>0</v>
      </c>
      <c r="AS69" s="96">
        <f t="shared" si="32"/>
        <v>0</v>
      </c>
      <c r="AT69" s="96">
        <f t="shared" si="32"/>
        <v>0</v>
      </c>
      <c r="AU69" s="96">
        <f t="shared" si="32"/>
        <v>0</v>
      </c>
      <c r="AV69" s="96">
        <f t="shared" si="32"/>
        <v>0</v>
      </c>
      <c r="AW69" s="96">
        <f t="shared" si="32"/>
        <v>0</v>
      </c>
      <c r="AX69" s="96">
        <f t="shared" si="32"/>
        <v>0</v>
      </c>
      <c r="AY69" s="96">
        <f t="shared" si="32"/>
        <v>0</v>
      </c>
      <c r="AZ69" s="96">
        <f t="shared" si="32"/>
        <v>0</v>
      </c>
    </row>
    <row r="70" spans="1:52" s="78" customFormat="1" x14ac:dyDescent="0.25">
      <c r="A70" s="76" t="s">
        <v>35</v>
      </c>
      <c r="B70" s="76"/>
      <c r="C70" s="76"/>
      <c r="D70" s="76"/>
      <c r="E70" s="77">
        <f>SUM(E69,E66,E61,E48,E37)</f>
        <v>17200</v>
      </c>
      <c r="F70" s="77">
        <f t="shared" ref="F70:AZ70" si="33">SUM(F69,F66,F61,F48,F37)</f>
        <v>800</v>
      </c>
      <c r="G70" s="77">
        <f t="shared" si="33"/>
        <v>0</v>
      </c>
      <c r="H70" s="77">
        <f t="shared" si="33"/>
        <v>0</v>
      </c>
      <c r="I70" s="77">
        <f t="shared" si="33"/>
        <v>2</v>
      </c>
      <c r="J70" s="77">
        <f t="shared" si="33"/>
        <v>6</v>
      </c>
      <c r="K70" s="77">
        <f t="shared" si="33"/>
        <v>5</v>
      </c>
      <c r="L70" s="77">
        <f t="shared" si="33"/>
        <v>4</v>
      </c>
      <c r="M70" s="77">
        <f t="shared" si="33"/>
        <v>7</v>
      </c>
      <c r="N70" s="77">
        <f t="shared" si="33"/>
        <v>7</v>
      </c>
      <c r="O70" s="77">
        <f t="shared" si="33"/>
        <v>4</v>
      </c>
      <c r="P70" s="77">
        <f t="shared" si="33"/>
        <v>5</v>
      </c>
      <c r="Q70" s="77">
        <f t="shared" si="33"/>
        <v>4</v>
      </c>
      <c r="R70" s="77">
        <f t="shared" si="33"/>
        <v>2</v>
      </c>
      <c r="S70" s="77">
        <f t="shared" si="33"/>
        <v>1</v>
      </c>
      <c r="T70" s="77">
        <f t="shared" si="33"/>
        <v>47</v>
      </c>
      <c r="U70" s="77">
        <f t="shared" si="33"/>
        <v>0</v>
      </c>
      <c r="V70" s="77">
        <f t="shared" si="33"/>
        <v>1</v>
      </c>
      <c r="W70" s="77">
        <f t="shared" si="33"/>
        <v>6</v>
      </c>
      <c r="X70" s="77">
        <f t="shared" si="33"/>
        <v>5</v>
      </c>
      <c r="Y70" s="77">
        <f t="shared" si="33"/>
        <v>2</v>
      </c>
      <c r="Z70" s="77">
        <f t="shared" si="33"/>
        <v>5</v>
      </c>
      <c r="AA70" s="77">
        <f t="shared" si="33"/>
        <v>0</v>
      </c>
      <c r="AB70" s="77">
        <f t="shared" si="33"/>
        <v>2</v>
      </c>
      <c r="AC70" s="77">
        <f t="shared" si="33"/>
        <v>1</v>
      </c>
      <c r="AD70" s="77">
        <f t="shared" si="33"/>
        <v>1</v>
      </c>
      <c r="AE70" s="77">
        <f t="shared" si="33"/>
        <v>2</v>
      </c>
      <c r="AF70" s="77">
        <f t="shared" si="33"/>
        <v>2</v>
      </c>
      <c r="AG70" s="77">
        <f t="shared" si="33"/>
        <v>2</v>
      </c>
      <c r="AH70" s="77">
        <f t="shared" si="33"/>
        <v>5</v>
      </c>
      <c r="AI70" s="77">
        <f t="shared" si="33"/>
        <v>1</v>
      </c>
      <c r="AJ70" s="77">
        <f t="shared" si="33"/>
        <v>1</v>
      </c>
      <c r="AK70" s="77">
        <f t="shared" si="33"/>
        <v>0</v>
      </c>
      <c r="AL70" s="77">
        <f t="shared" si="33"/>
        <v>0</v>
      </c>
      <c r="AM70" s="77">
        <f t="shared" si="33"/>
        <v>1</v>
      </c>
      <c r="AN70" s="77">
        <f t="shared" si="33"/>
        <v>0</v>
      </c>
      <c r="AO70" s="77">
        <f t="shared" si="33"/>
        <v>0</v>
      </c>
      <c r="AP70" s="77">
        <f t="shared" si="33"/>
        <v>1</v>
      </c>
      <c r="AQ70" s="77">
        <f t="shared" si="33"/>
        <v>1</v>
      </c>
      <c r="AR70" s="77">
        <f t="shared" si="33"/>
        <v>0</v>
      </c>
      <c r="AS70" s="77">
        <f t="shared" si="33"/>
        <v>0</v>
      </c>
      <c r="AT70" s="77">
        <f t="shared" si="33"/>
        <v>1</v>
      </c>
      <c r="AU70" s="77">
        <f t="shared" si="33"/>
        <v>4</v>
      </c>
      <c r="AV70" s="77">
        <f t="shared" si="33"/>
        <v>0</v>
      </c>
      <c r="AW70" s="77">
        <f t="shared" si="33"/>
        <v>1</v>
      </c>
      <c r="AX70" s="77">
        <f t="shared" si="33"/>
        <v>1</v>
      </c>
      <c r="AY70" s="77">
        <f t="shared" si="33"/>
        <v>1</v>
      </c>
      <c r="AZ70" s="77">
        <f t="shared" si="33"/>
        <v>0</v>
      </c>
    </row>
    <row r="71" spans="1:52" s="78" customFormat="1" x14ac:dyDescent="0.25">
      <c r="A71" s="98" t="s">
        <v>101</v>
      </c>
      <c r="B71" s="98" t="s">
        <v>107</v>
      </c>
      <c r="C71" s="98" t="s">
        <v>108</v>
      </c>
      <c r="D71" s="101" t="s">
        <v>27</v>
      </c>
      <c r="E71" s="103">
        <v>1280</v>
      </c>
      <c r="F71" s="103">
        <v>1000</v>
      </c>
      <c r="G71" s="84" t="s">
        <v>28</v>
      </c>
      <c r="H71" s="83"/>
      <c r="I71" s="83"/>
      <c r="J71" s="83"/>
      <c r="K71" s="83">
        <v>1</v>
      </c>
      <c r="L71" s="83"/>
      <c r="M71" s="83"/>
      <c r="N71" s="83"/>
      <c r="O71" s="83"/>
      <c r="P71" s="83"/>
      <c r="Q71" s="83"/>
      <c r="R71" s="83"/>
      <c r="S71" s="83"/>
      <c r="T71" s="83">
        <f t="shared" ref="T71:T127" si="34">SUM(H71:S71)</f>
        <v>1</v>
      </c>
      <c r="U71" s="83" t="str">
        <f t="shared" ref="U71:U127" si="35">IF($T71=0,0,"T"&amp;MATCH($T71,$H71:$S71))</f>
        <v>T4</v>
      </c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>
        <v>1</v>
      </c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</row>
    <row r="72" spans="1:52" s="78" customFormat="1" x14ac:dyDescent="0.25">
      <c r="A72" s="99"/>
      <c r="B72" s="99"/>
      <c r="C72" s="99"/>
      <c r="D72" s="102"/>
      <c r="E72" s="104"/>
      <c r="F72" s="104"/>
      <c r="G72" s="84" t="s">
        <v>28</v>
      </c>
      <c r="H72" s="83"/>
      <c r="I72" s="83"/>
      <c r="J72" s="83"/>
      <c r="K72" s="83"/>
      <c r="L72" s="83">
        <v>1</v>
      </c>
      <c r="M72" s="83"/>
      <c r="N72" s="83"/>
      <c r="O72" s="83"/>
      <c r="P72" s="83"/>
      <c r="Q72" s="83"/>
      <c r="R72" s="83"/>
      <c r="S72" s="83"/>
      <c r="T72" s="83">
        <f t="shared" ref="T72:T77" si="36">SUM(H72:S72)</f>
        <v>1</v>
      </c>
      <c r="U72" s="83" t="str">
        <f t="shared" si="35"/>
        <v>T5</v>
      </c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>
        <v>1</v>
      </c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</row>
    <row r="73" spans="1:52" s="78" customFormat="1" x14ac:dyDescent="0.25">
      <c r="A73" s="99"/>
      <c r="B73" s="99"/>
      <c r="C73" s="99"/>
      <c r="D73" s="102"/>
      <c r="E73" s="104"/>
      <c r="F73" s="104"/>
      <c r="G73" s="84" t="s">
        <v>28</v>
      </c>
      <c r="H73" s="83"/>
      <c r="I73" s="83"/>
      <c r="J73" s="83"/>
      <c r="K73" s="83"/>
      <c r="L73" s="83"/>
      <c r="M73" s="83"/>
      <c r="N73" s="83">
        <v>1</v>
      </c>
      <c r="O73" s="83"/>
      <c r="P73" s="83"/>
      <c r="Q73" s="83"/>
      <c r="R73" s="83"/>
      <c r="S73" s="83"/>
      <c r="T73" s="83">
        <f t="shared" si="36"/>
        <v>1</v>
      </c>
      <c r="U73" s="83" t="str">
        <f t="shared" si="35"/>
        <v>T7</v>
      </c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>
        <v>1</v>
      </c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</row>
    <row r="74" spans="1:52" s="78" customFormat="1" x14ac:dyDescent="0.25">
      <c r="A74" s="99"/>
      <c r="B74" s="99"/>
      <c r="C74" s="99"/>
      <c r="D74" s="102"/>
      <c r="E74" s="104"/>
      <c r="F74" s="104"/>
      <c r="G74" s="84" t="s">
        <v>28</v>
      </c>
      <c r="H74" s="83"/>
      <c r="I74" s="83"/>
      <c r="J74" s="83"/>
      <c r="K74" s="83"/>
      <c r="L74" s="83"/>
      <c r="M74" s="83"/>
      <c r="N74" s="83"/>
      <c r="O74" s="83">
        <v>1</v>
      </c>
      <c r="P74" s="83"/>
      <c r="Q74" s="83"/>
      <c r="R74" s="83"/>
      <c r="S74" s="83"/>
      <c r="T74" s="83">
        <f t="shared" ref="T74:T75" si="37">SUM(H74:S74)</f>
        <v>1</v>
      </c>
      <c r="U74" s="83" t="str">
        <f t="shared" si="35"/>
        <v>T8</v>
      </c>
      <c r="V74" s="83"/>
      <c r="W74" s="83">
        <v>1</v>
      </c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</row>
    <row r="75" spans="1:52" s="78" customFormat="1" x14ac:dyDescent="0.25">
      <c r="A75" s="99"/>
      <c r="B75" s="99"/>
      <c r="C75" s="99"/>
      <c r="D75" s="102"/>
      <c r="E75" s="104"/>
      <c r="F75" s="104"/>
      <c r="G75" s="84" t="s">
        <v>29</v>
      </c>
      <c r="H75" s="83"/>
      <c r="I75" s="83"/>
      <c r="J75" s="83"/>
      <c r="K75" s="83"/>
      <c r="L75" s="83">
        <v>1</v>
      </c>
      <c r="M75" s="83"/>
      <c r="N75" s="83"/>
      <c r="O75" s="83"/>
      <c r="P75" s="83"/>
      <c r="Q75" s="83"/>
      <c r="R75" s="83"/>
      <c r="S75" s="83"/>
      <c r="T75" s="83">
        <f t="shared" si="37"/>
        <v>1</v>
      </c>
      <c r="U75" s="83" t="str">
        <f t="shared" si="35"/>
        <v>T5</v>
      </c>
      <c r="V75" s="83"/>
      <c r="W75" s="83"/>
      <c r="X75" s="85"/>
      <c r="Y75" s="83"/>
      <c r="Z75" s="83">
        <v>1</v>
      </c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</row>
    <row r="76" spans="1:52" s="78" customFormat="1" x14ac:dyDescent="0.25">
      <c r="A76" s="99"/>
      <c r="B76" s="99"/>
      <c r="C76" s="99"/>
      <c r="D76" s="102"/>
      <c r="E76" s="104"/>
      <c r="F76" s="104"/>
      <c r="G76" s="84" t="s">
        <v>29</v>
      </c>
      <c r="H76" s="83"/>
      <c r="I76" s="83"/>
      <c r="J76" s="83"/>
      <c r="K76" s="83"/>
      <c r="L76" s="83"/>
      <c r="M76" s="83">
        <v>1</v>
      </c>
      <c r="N76" s="83"/>
      <c r="O76" s="83"/>
      <c r="P76" s="83"/>
      <c r="Q76" s="83"/>
      <c r="R76" s="83"/>
      <c r="S76" s="83"/>
      <c r="T76" s="83">
        <f t="shared" ref="T76" si="38">SUM(H76:S76)</f>
        <v>1</v>
      </c>
      <c r="U76" s="83" t="str">
        <f t="shared" si="35"/>
        <v>T6</v>
      </c>
      <c r="V76" s="83"/>
      <c r="W76" s="83"/>
      <c r="X76" s="85">
        <v>1</v>
      </c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</row>
    <row r="77" spans="1:52" s="78" customFormat="1" x14ac:dyDescent="0.25">
      <c r="A77" s="99"/>
      <c r="B77" s="99"/>
      <c r="C77" s="99"/>
      <c r="D77" s="102"/>
      <c r="E77" s="104"/>
      <c r="F77" s="104"/>
      <c r="G77" s="84" t="s">
        <v>29</v>
      </c>
      <c r="H77" s="83"/>
      <c r="I77" s="83"/>
      <c r="J77" s="83"/>
      <c r="K77" s="83"/>
      <c r="L77" s="83"/>
      <c r="M77" s="83"/>
      <c r="N77" s="83"/>
      <c r="O77" s="83">
        <v>1</v>
      </c>
      <c r="P77" s="83"/>
      <c r="Q77" s="83"/>
      <c r="R77" s="83"/>
      <c r="S77" s="83"/>
      <c r="T77" s="83">
        <f t="shared" si="36"/>
        <v>1</v>
      </c>
      <c r="U77" s="83" t="str">
        <f t="shared" si="35"/>
        <v>T8</v>
      </c>
      <c r="V77" s="83"/>
      <c r="W77" s="83"/>
      <c r="X77" s="85"/>
      <c r="Y77" s="83"/>
      <c r="Z77" s="83"/>
      <c r="AA77" s="83"/>
      <c r="AB77" s="83"/>
      <c r="AC77" s="83"/>
      <c r="AD77" s="83"/>
      <c r="AE77" s="83">
        <v>1</v>
      </c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</row>
    <row r="78" spans="1:52" s="73" customFormat="1" x14ac:dyDescent="0.25">
      <c r="A78" s="74" t="s">
        <v>31</v>
      </c>
      <c r="B78" s="74"/>
      <c r="C78" s="74"/>
      <c r="D78" s="74"/>
      <c r="E78" s="75">
        <f t="shared" ref="E78:V78" si="39">SUM(E71:E77)</f>
        <v>1280</v>
      </c>
      <c r="F78" s="75">
        <f t="shared" si="39"/>
        <v>1000</v>
      </c>
      <c r="G78" s="75">
        <f t="shared" si="39"/>
        <v>0</v>
      </c>
      <c r="H78" s="75">
        <f t="shared" si="39"/>
        <v>0</v>
      </c>
      <c r="I78" s="75">
        <f t="shared" si="39"/>
        <v>0</v>
      </c>
      <c r="J78" s="75">
        <f t="shared" si="39"/>
        <v>0</v>
      </c>
      <c r="K78" s="75">
        <f t="shared" si="39"/>
        <v>1</v>
      </c>
      <c r="L78" s="75">
        <f t="shared" si="39"/>
        <v>2</v>
      </c>
      <c r="M78" s="75">
        <f t="shared" si="39"/>
        <v>1</v>
      </c>
      <c r="N78" s="75">
        <f t="shared" si="39"/>
        <v>1</v>
      </c>
      <c r="O78" s="75">
        <f t="shared" si="39"/>
        <v>2</v>
      </c>
      <c r="P78" s="75">
        <f t="shared" si="39"/>
        <v>0</v>
      </c>
      <c r="Q78" s="75">
        <f t="shared" si="39"/>
        <v>0</v>
      </c>
      <c r="R78" s="75">
        <f t="shared" si="39"/>
        <v>0</v>
      </c>
      <c r="S78" s="75">
        <f t="shared" si="39"/>
        <v>0</v>
      </c>
      <c r="T78" s="75">
        <f t="shared" si="39"/>
        <v>7</v>
      </c>
      <c r="U78" s="75">
        <f t="shared" si="39"/>
        <v>0</v>
      </c>
      <c r="V78" s="75">
        <f t="shared" si="39"/>
        <v>0</v>
      </c>
      <c r="W78" s="75">
        <f t="shared" ref="W78:AZ78" si="40">SUM(W71:W77)</f>
        <v>1</v>
      </c>
      <c r="X78" s="75">
        <f t="shared" si="40"/>
        <v>1</v>
      </c>
      <c r="Y78" s="75">
        <f t="shared" si="40"/>
        <v>0</v>
      </c>
      <c r="Z78" s="75">
        <f t="shared" si="40"/>
        <v>1</v>
      </c>
      <c r="AA78" s="75">
        <f t="shared" si="40"/>
        <v>0</v>
      </c>
      <c r="AB78" s="75">
        <f t="shared" si="40"/>
        <v>0</v>
      </c>
      <c r="AC78" s="75">
        <f t="shared" si="40"/>
        <v>0</v>
      </c>
      <c r="AD78" s="75">
        <f t="shared" si="40"/>
        <v>0</v>
      </c>
      <c r="AE78" s="75">
        <f t="shared" si="40"/>
        <v>1</v>
      </c>
      <c r="AF78" s="75">
        <f t="shared" si="40"/>
        <v>0</v>
      </c>
      <c r="AG78" s="75">
        <f t="shared" si="40"/>
        <v>0</v>
      </c>
      <c r="AH78" s="75">
        <f t="shared" si="40"/>
        <v>0</v>
      </c>
      <c r="AI78" s="75">
        <f t="shared" si="40"/>
        <v>1</v>
      </c>
      <c r="AJ78" s="75">
        <f t="shared" si="40"/>
        <v>0</v>
      </c>
      <c r="AK78" s="75">
        <f t="shared" si="40"/>
        <v>0</v>
      </c>
      <c r="AL78" s="75">
        <f t="shared" si="40"/>
        <v>0</v>
      </c>
      <c r="AM78" s="75">
        <f t="shared" si="40"/>
        <v>0</v>
      </c>
      <c r="AN78" s="75">
        <f t="shared" si="40"/>
        <v>1</v>
      </c>
      <c r="AO78" s="75">
        <f t="shared" si="40"/>
        <v>1</v>
      </c>
      <c r="AP78" s="75">
        <f t="shared" si="40"/>
        <v>0</v>
      </c>
      <c r="AQ78" s="75">
        <f t="shared" si="40"/>
        <v>0</v>
      </c>
      <c r="AR78" s="75">
        <f t="shared" si="40"/>
        <v>0</v>
      </c>
      <c r="AS78" s="75">
        <f t="shared" si="40"/>
        <v>0</v>
      </c>
      <c r="AT78" s="75">
        <f t="shared" si="40"/>
        <v>0</v>
      </c>
      <c r="AU78" s="75">
        <f t="shared" si="40"/>
        <v>0</v>
      </c>
      <c r="AV78" s="75">
        <f t="shared" si="40"/>
        <v>0</v>
      </c>
      <c r="AW78" s="75">
        <f t="shared" si="40"/>
        <v>0</v>
      </c>
      <c r="AX78" s="75">
        <f t="shared" si="40"/>
        <v>0</v>
      </c>
      <c r="AY78" s="75">
        <f t="shared" si="40"/>
        <v>0</v>
      </c>
      <c r="AZ78" s="75">
        <f t="shared" si="40"/>
        <v>0</v>
      </c>
    </row>
    <row r="79" spans="1:52" s="78" customFormat="1" x14ac:dyDescent="0.25">
      <c r="A79" s="98" t="s">
        <v>101</v>
      </c>
      <c r="B79" s="98" t="s">
        <v>107</v>
      </c>
      <c r="C79" s="98" t="s">
        <v>108</v>
      </c>
      <c r="D79" s="101" t="s">
        <v>32</v>
      </c>
      <c r="E79" s="103">
        <v>2940</v>
      </c>
      <c r="F79" s="103">
        <v>0</v>
      </c>
      <c r="G79" s="84" t="s">
        <v>33</v>
      </c>
      <c r="H79" s="83"/>
      <c r="I79" s="83">
        <v>1</v>
      </c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>
        <f t="shared" si="34"/>
        <v>1</v>
      </c>
      <c r="U79" s="83" t="str">
        <f t="shared" si="35"/>
        <v>T2</v>
      </c>
      <c r="V79" s="83"/>
      <c r="W79" s="83">
        <v>1</v>
      </c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</row>
    <row r="80" spans="1:52" s="78" customFormat="1" x14ac:dyDescent="0.25">
      <c r="A80" s="99"/>
      <c r="B80" s="99"/>
      <c r="C80" s="99"/>
      <c r="D80" s="102"/>
      <c r="E80" s="104"/>
      <c r="F80" s="104"/>
      <c r="G80" s="84" t="s">
        <v>34</v>
      </c>
      <c r="H80" s="83"/>
      <c r="I80" s="83"/>
      <c r="J80" s="83">
        <v>1</v>
      </c>
      <c r="K80" s="83"/>
      <c r="L80" s="83"/>
      <c r="M80" s="83"/>
      <c r="N80" s="83"/>
      <c r="O80" s="83"/>
      <c r="P80" s="83"/>
      <c r="Q80" s="83"/>
      <c r="R80" s="83"/>
      <c r="S80" s="83"/>
      <c r="T80" s="83">
        <f t="shared" ref="T80" si="41">SUM(H80:S80)</f>
        <v>1</v>
      </c>
      <c r="U80" s="83" t="str">
        <f t="shared" si="35"/>
        <v>T3</v>
      </c>
      <c r="V80" s="83"/>
      <c r="W80" s="83"/>
      <c r="X80" s="83">
        <v>1</v>
      </c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</row>
    <row r="81" spans="1:52" s="78" customFormat="1" x14ac:dyDescent="0.25">
      <c r="A81" s="99"/>
      <c r="B81" s="99"/>
      <c r="C81" s="99"/>
      <c r="D81" s="102"/>
      <c r="E81" s="104"/>
      <c r="F81" s="104"/>
      <c r="G81" s="84" t="s">
        <v>34</v>
      </c>
      <c r="H81" s="83"/>
      <c r="I81" s="83"/>
      <c r="J81" s="83"/>
      <c r="K81" s="83">
        <v>1</v>
      </c>
      <c r="L81" s="83"/>
      <c r="M81" s="83"/>
      <c r="N81" s="83"/>
      <c r="O81" s="83"/>
      <c r="P81" s="83"/>
      <c r="Q81" s="83"/>
      <c r="R81" s="83"/>
      <c r="S81" s="83"/>
      <c r="T81" s="83">
        <f t="shared" si="34"/>
        <v>1</v>
      </c>
      <c r="U81" s="83" t="str">
        <f t="shared" si="35"/>
        <v>T4</v>
      </c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>
        <v>1</v>
      </c>
      <c r="AV81" s="83"/>
      <c r="AW81" s="83"/>
      <c r="AX81" s="83"/>
      <c r="AY81" s="83"/>
      <c r="AZ81" s="83"/>
    </row>
    <row r="82" spans="1:52" s="78" customFormat="1" x14ac:dyDescent="0.25">
      <c r="A82" s="99"/>
      <c r="B82" s="99"/>
      <c r="C82" s="99"/>
      <c r="D82" s="102"/>
      <c r="E82" s="104"/>
      <c r="F82" s="104"/>
      <c r="G82" s="84" t="s">
        <v>34</v>
      </c>
      <c r="H82" s="83"/>
      <c r="I82" s="83"/>
      <c r="J82" s="83"/>
      <c r="K82" s="83"/>
      <c r="L82" s="83">
        <v>1</v>
      </c>
      <c r="M82" s="83"/>
      <c r="N82" s="83"/>
      <c r="O82" s="83"/>
      <c r="P82" s="83"/>
      <c r="Q82" s="83"/>
      <c r="R82" s="83"/>
      <c r="S82" s="83"/>
      <c r="T82" s="83">
        <f t="shared" ref="T82:T85" si="42">SUM(H82:S82)</f>
        <v>1</v>
      </c>
      <c r="U82" s="83" t="str">
        <f t="shared" si="35"/>
        <v>T5</v>
      </c>
      <c r="V82" s="83"/>
      <c r="W82" s="83"/>
      <c r="X82" s="83"/>
      <c r="Y82" s="83">
        <v>1</v>
      </c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</row>
    <row r="83" spans="1:52" s="78" customFormat="1" x14ac:dyDescent="0.25">
      <c r="A83" s="99"/>
      <c r="B83" s="99"/>
      <c r="C83" s="99"/>
      <c r="D83" s="102"/>
      <c r="E83" s="104"/>
      <c r="F83" s="104"/>
      <c r="G83" s="84" t="s">
        <v>34</v>
      </c>
      <c r="H83" s="83"/>
      <c r="I83" s="83"/>
      <c r="J83" s="83"/>
      <c r="K83" s="83"/>
      <c r="L83" s="83"/>
      <c r="M83" s="83"/>
      <c r="N83" s="83">
        <v>1</v>
      </c>
      <c r="O83" s="83"/>
      <c r="P83" s="83"/>
      <c r="Q83" s="83"/>
      <c r="R83" s="83"/>
      <c r="S83" s="83"/>
      <c r="T83" s="83">
        <f t="shared" si="42"/>
        <v>1</v>
      </c>
      <c r="U83" s="83" t="str">
        <f t="shared" si="35"/>
        <v>T7</v>
      </c>
      <c r="V83" s="83"/>
      <c r="W83" s="83"/>
      <c r="X83" s="83"/>
      <c r="Y83" s="83"/>
      <c r="Z83" s="83"/>
      <c r="AA83" s="83"/>
      <c r="AB83" s="83">
        <v>1</v>
      </c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</row>
    <row r="84" spans="1:52" s="78" customFormat="1" x14ac:dyDescent="0.25">
      <c r="A84" s="99"/>
      <c r="B84" s="99"/>
      <c r="C84" s="99"/>
      <c r="D84" s="102"/>
      <c r="E84" s="104"/>
      <c r="F84" s="104"/>
      <c r="G84" s="84" t="s">
        <v>34</v>
      </c>
      <c r="H84" s="83"/>
      <c r="I84" s="83"/>
      <c r="J84" s="83"/>
      <c r="K84" s="83"/>
      <c r="L84" s="83"/>
      <c r="M84" s="83"/>
      <c r="N84" s="83"/>
      <c r="O84" s="83">
        <v>1</v>
      </c>
      <c r="P84" s="83"/>
      <c r="Q84" s="83"/>
      <c r="R84" s="83"/>
      <c r="S84" s="83"/>
      <c r="T84" s="83">
        <f t="shared" ref="T84" si="43">SUM(H84:S84)</f>
        <v>1</v>
      </c>
      <c r="U84" s="83" t="str">
        <f t="shared" si="35"/>
        <v>T8</v>
      </c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>
        <v>1</v>
      </c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</row>
    <row r="85" spans="1:52" s="78" customFormat="1" x14ac:dyDescent="0.25">
      <c r="A85" s="99"/>
      <c r="B85" s="99"/>
      <c r="C85" s="99"/>
      <c r="D85" s="102"/>
      <c r="E85" s="104"/>
      <c r="F85" s="104"/>
      <c r="G85" s="84" t="s">
        <v>34</v>
      </c>
      <c r="H85" s="83"/>
      <c r="I85" s="83"/>
      <c r="J85" s="83"/>
      <c r="K85" s="83"/>
      <c r="L85" s="83"/>
      <c r="M85" s="83"/>
      <c r="N85" s="83"/>
      <c r="O85" s="83"/>
      <c r="P85" s="83"/>
      <c r="Q85" s="83">
        <v>1</v>
      </c>
      <c r="R85" s="83"/>
      <c r="S85" s="83"/>
      <c r="T85" s="83">
        <f t="shared" si="42"/>
        <v>1</v>
      </c>
      <c r="U85" s="83" t="str">
        <f t="shared" si="35"/>
        <v>T10</v>
      </c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>
        <v>1</v>
      </c>
      <c r="AY85" s="83"/>
      <c r="AZ85" s="83"/>
    </row>
    <row r="86" spans="1:52" s="78" customFormat="1" x14ac:dyDescent="0.25">
      <c r="A86" s="99"/>
      <c r="B86" s="99"/>
      <c r="C86" s="99"/>
      <c r="D86" s="102"/>
      <c r="E86" s="104"/>
      <c r="F86" s="104"/>
      <c r="G86" s="84" t="s">
        <v>34</v>
      </c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>
        <v>1</v>
      </c>
      <c r="S86" s="83"/>
      <c r="T86" s="83">
        <f t="shared" si="34"/>
        <v>1</v>
      </c>
      <c r="U86" s="83" t="str">
        <f t="shared" si="35"/>
        <v>T11</v>
      </c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>
        <v>1</v>
      </c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</row>
    <row r="87" spans="1:52" s="73" customFormat="1" x14ac:dyDescent="0.25">
      <c r="A87" s="74" t="s">
        <v>31</v>
      </c>
      <c r="B87" s="74"/>
      <c r="C87" s="74"/>
      <c r="D87" s="74"/>
      <c r="E87" s="75">
        <f t="shared" ref="E87:AZ87" si="44">SUM(E79:E86)</f>
        <v>2940</v>
      </c>
      <c r="F87" s="75">
        <f t="shared" si="44"/>
        <v>0</v>
      </c>
      <c r="G87" s="75">
        <f t="shared" si="44"/>
        <v>0</v>
      </c>
      <c r="H87" s="75">
        <f t="shared" si="44"/>
        <v>0</v>
      </c>
      <c r="I87" s="75">
        <f t="shared" si="44"/>
        <v>1</v>
      </c>
      <c r="J87" s="75">
        <f t="shared" si="44"/>
        <v>1</v>
      </c>
      <c r="K87" s="75">
        <f t="shared" si="44"/>
        <v>1</v>
      </c>
      <c r="L87" s="75">
        <f t="shared" si="44"/>
        <v>1</v>
      </c>
      <c r="M87" s="75">
        <f t="shared" si="44"/>
        <v>0</v>
      </c>
      <c r="N87" s="75">
        <f t="shared" si="44"/>
        <v>1</v>
      </c>
      <c r="O87" s="75">
        <f t="shared" si="44"/>
        <v>1</v>
      </c>
      <c r="P87" s="75">
        <f t="shared" si="44"/>
        <v>0</v>
      </c>
      <c r="Q87" s="75">
        <f t="shared" si="44"/>
        <v>1</v>
      </c>
      <c r="R87" s="75">
        <f t="shared" si="44"/>
        <v>1</v>
      </c>
      <c r="S87" s="75">
        <f t="shared" si="44"/>
        <v>0</v>
      </c>
      <c r="T87" s="75">
        <f t="shared" si="44"/>
        <v>8</v>
      </c>
      <c r="U87" s="75">
        <f t="shared" si="44"/>
        <v>0</v>
      </c>
      <c r="V87" s="75">
        <f t="shared" si="44"/>
        <v>0</v>
      </c>
      <c r="W87" s="75">
        <f t="shared" si="44"/>
        <v>1</v>
      </c>
      <c r="X87" s="75">
        <f t="shared" si="44"/>
        <v>1</v>
      </c>
      <c r="Y87" s="75">
        <f t="shared" si="44"/>
        <v>1</v>
      </c>
      <c r="Z87" s="75">
        <f t="shared" si="44"/>
        <v>0</v>
      </c>
      <c r="AA87" s="75">
        <f t="shared" si="44"/>
        <v>0</v>
      </c>
      <c r="AB87" s="75">
        <f t="shared" si="44"/>
        <v>1</v>
      </c>
      <c r="AC87" s="75">
        <f t="shared" si="44"/>
        <v>0</v>
      </c>
      <c r="AD87" s="75">
        <f t="shared" si="44"/>
        <v>0</v>
      </c>
      <c r="AE87" s="75">
        <f t="shared" si="44"/>
        <v>0</v>
      </c>
      <c r="AF87" s="75">
        <f t="shared" si="44"/>
        <v>0</v>
      </c>
      <c r="AG87" s="75">
        <f t="shared" si="44"/>
        <v>0</v>
      </c>
      <c r="AH87" s="75">
        <f t="shared" si="44"/>
        <v>1</v>
      </c>
      <c r="AI87" s="75">
        <f t="shared" si="44"/>
        <v>0</v>
      </c>
      <c r="AJ87" s="75">
        <f t="shared" si="44"/>
        <v>0</v>
      </c>
      <c r="AK87" s="75">
        <f t="shared" si="44"/>
        <v>0</v>
      </c>
      <c r="AL87" s="75">
        <f t="shared" si="44"/>
        <v>1</v>
      </c>
      <c r="AM87" s="75">
        <f t="shared" si="44"/>
        <v>0</v>
      </c>
      <c r="AN87" s="75">
        <f t="shared" si="44"/>
        <v>0</v>
      </c>
      <c r="AO87" s="75">
        <f t="shared" si="44"/>
        <v>0</v>
      </c>
      <c r="AP87" s="75">
        <f t="shared" si="44"/>
        <v>0</v>
      </c>
      <c r="AQ87" s="75">
        <f t="shared" si="44"/>
        <v>0</v>
      </c>
      <c r="AR87" s="75">
        <f t="shared" si="44"/>
        <v>0</v>
      </c>
      <c r="AS87" s="75">
        <f t="shared" si="44"/>
        <v>0</v>
      </c>
      <c r="AT87" s="75">
        <f t="shared" si="44"/>
        <v>0</v>
      </c>
      <c r="AU87" s="75">
        <f t="shared" si="44"/>
        <v>1</v>
      </c>
      <c r="AV87" s="75">
        <f t="shared" si="44"/>
        <v>0</v>
      </c>
      <c r="AW87" s="75">
        <f t="shared" si="44"/>
        <v>0</v>
      </c>
      <c r="AX87" s="75">
        <f t="shared" si="44"/>
        <v>1</v>
      </c>
      <c r="AY87" s="75">
        <f t="shared" si="44"/>
        <v>0</v>
      </c>
      <c r="AZ87" s="75">
        <f t="shared" si="44"/>
        <v>0</v>
      </c>
    </row>
    <row r="88" spans="1:52" s="78" customFormat="1" x14ac:dyDescent="0.25">
      <c r="A88" s="76" t="s">
        <v>35</v>
      </c>
      <c r="B88" s="76"/>
      <c r="C88" s="76"/>
      <c r="D88" s="76"/>
      <c r="E88" s="77">
        <f t="shared" ref="E88:T88" si="45">SUM(E87,E78)</f>
        <v>4220</v>
      </c>
      <c r="F88" s="77">
        <f t="shared" si="45"/>
        <v>1000</v>
      </c>
      <c r="G88" s="77">
        <f t="shared" si="45"/>
        <v>0</v>
      </c>
      <c r="H88" s="77">
        <f t="shared" si="45"/>
        <v>0</v>
      </c>
      <c r="I88" s="77">
        <f t="shared" si="45"/>
        <v>1</v>
      </c>
      <c r="J88" s="77">
        <f t="shared" si="45"/>
        <v>1</v>
      </c>
      <c r="K88" s="77">
        <f t="shared" si="45"/>
        <v>2</v>
      </c>
      <c r="L88" s="77">
        <f t="shared" si="45"/>
        <v>3</v>
      </c>
      <c r="M88" s="77">
        <f t="shared" si="45"/>
        <v>1</v>
      </c>
      <c r="N88" s="77">
        <f t="shared" si="45"/>
        <v>2</v>
      </c>
      <c r="O88" s="77">
        <f t="shared" si="45"/>
        <v>3</v>
      </c>
      <c r="P88" s="77">
        <f t="shared" si="45"/>
        <v>0</v>
      </c>
      <c r="Q88" s="77">
        <f t="shared" si="45"/>
        <v>1</v>
      </c>
      <c r="R88" s="77">
        <f t="shared" si="45"/>
        <v>1</v>
      </c>
      <c r="S88" s="77">
        <f t="shared" si="45"/>
        <v>0</v>
      </c>
      <c r="T88" s="77">
        <f t="shared" si="45"/>
        <v>15</v>
      </c>
      <c r="U88" s="77">
        <f t="array" ref="U88">SUM(ROUNDUP(H88:S88/6,0))</f>
        <v>9</v>
      </c>
      <c r="V88" s="77">
        <f t="shared" ref="V88:AZ88" si="46">SUM(V87,V78)</f>
        <v>0</v>
      </c>
      <c r="W88" s="77">
        <f t="shared" si="46"/>
        <v>2</v>
      </c>
      <c r="X88" s="77">
        <f t="shared" si="46"/>
        <v>2</v>
      </c>
      <c r="Y88" s="77">
        <f t="shared" si="46"/>
        <v>1</v>
      </c>
      <c r="Z88" s="77">
        <f t="shared" si="46"/>
        <v>1</v>
      </c>
      <c r="AA88" s="77">
        <f t="shared" si="46"/>
        <v>0</v>
      </c>
      <c r="AB88" s="77">
        <f t="shared" si="46"/>
        <v>1</v>
      </c>
      <c r="AC88" s="77">
        <f t="shared" si="46"/>
        <v>0</v>
      </c>
      <c r="AD88" s="77">
        <f t="shared" si="46"/>
        <v>0</v>
      </c>
      <c r="AE88" s="77">
        <f t="shared" si="46"/>
        <v>1</v>
      </c>
      <c r="AF88" s="77">
        <f t="shared" si="46"/>
        <v>0</v>
      </c>
      <c r="AG88" s="77">
        <f t="shared" si="46"/>
        <v>0</v>
      </c>
      <c r="AH88" s="77">
        <f t="shared" si="46"/>
        <v>1</v>
      </c>
      <c r="AI88" s="77">
        <f t="shared" si="46"/>
        <v>1</v>
      </c>
      <c r="AJ88" s="77">
        <f t="shared" si="46"/>
        <v>0</v>
      </c>
      <c r="AK88" s="77">
        <f t="shared" si="46"/>
        <v>0</v>
      </c>
      <c r="AL88" s="77">
        <f t="shared" si="46"/>
        <v>1</v>
      </c>
      <c r="AM88" s="77">
        <f t="shared" si="46"/>
        <v>0</v>
      </c>
      <c r="AN88" s="77">
        <f t="shared" si="46"/>
        <v>1</v>
      </c>
      <c r="AO88" s="77">
        <f t="shared" si="46"/>
        <v>1</v>
      </c>
      <c r="AP88" s="77">
        <f t="shared" si="46"/>
        <v>0</v>
      </c>
      <c r="AQ88" s="77">
        <f t="shared" si="46"/>
        <v>0</v>
      </c>
      <c r="AR88" s="77">
        <f t="shared" si="46"/>
        <v>0</v>
      </c>
      <c r="AS88" s="77">
        <f t="shared" si="46"/>
        <v>0</v>
      </c>
      <c r="AT88" s="77">
        <f t="shared" si="46"/>
        <v>0</v>
      </c>
      <c r="AU88" s="77">
        <f t="shared" si="46"/>
        <v>1</v>
      </c>
      <c r="AV88" s="77">
        <f t="shared" si="46"/>
        <v>0</v>
      </c>
      <c r="AW88" s="77">
        <f t="shared" si="46"/>
        <v>0</v>
      </c>
      <c r="AX88" s="77">
        <f t="shared" si="46"/>
        <v>1</v>
      </c>
      <c r="AY88" s="77">
        <f t="shared" si="46"/>
        <v>0</v>
      </c>
      <c r="AZ88" s="77">
        <f t="shared" si="46"/>
        <v>0</v>
      </c>
    </row>
    <row r="89" spans="1:52" s="78" customFormat="1" x14ac:dyDescent="0.25">
      <c r="A89" s="98" t="s">
        <v>101</v>
      </c>
      <c r="B89" s="117" t="s">
        <v>109</v>
      </c>
      <c r="C89" s="98" t="s">
        <v>110</v>
      </c>
      <c r="D89" s="101" t="s">
        <v>65</v>
      </c>
      <c r="E89" s="103">
        <v>9200</v>
      </c>
      <c r="F89" s="103">
        <v>0</v>
      </c>
      <c r="G89" s="84" t="s">
        <v>67</v>
      </c>
      <c r="H89" s="83"/>
      <c r="I89" s="83"/>
      <c r="J89" s="83">
        <v>2</v>
      </c>
      <c r="K89" s="83"/>
      <c r="L89" s="83"/>
      <c r="M89" s="83"/>
      <c r="N89" s="83"/>
      <c r="O89" s="83"/>
      <c r="P89" s="83"/>
      <c r="Q89" s="83"/>
      <c r="R89" s="83"/>
      <c r="S89" s="83"/>
      <c r="T89" s="83">
        <f t="shared" si="34"/>
        <v>2</v>
      </c>
      <c r="U89" s="83" t="str">
        <f t="shared" si="35"/>
        <v>T3</v>
      </c>
      <c r="V89" s="83"/>
      <c r="W89" s="83">
        <v>1</v>
      </c>
      <c r="X89" s="83">
        <v>1</v>
      </c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</row>
    <row r="90" spans="1:52" s="78" customFormat="1" x14ac:dyDescent="0.25">
      <c r="A90" s="99"/>
      <c r="B90" s="118"/>
      <c r="C90" s="99"/>
      <c r="D90" s="102"/>
      <c r="E90" s="104"/>
      <c r="F90" s="104"/>
      <c r="G90" s="84" t="s">
        <v>66</v>
      </c>
      <c r="H90" s="83"/>
      <c r="I90" s="83"/>
      <c r="J90" s="83"/>
      <c r="K90" s="83">
        <v>2</v>
      </c>
      <c r="L90" s="83"/>
      <c r="M90" s="83"/>
      <c r="N90" s="83"/>
      <c r="O90" s="83"/>
      <c r="P90" s="83"/>
      <c r="Q90" s="83"/>
      <c r="R90" s="83"/>
      <c r="S90" s="83"/>
      <c r="T90" s="83">
        <f t="shared" si="34"/>
        <v>2</v>
      </c>
      <c r="U90" s="83" t="str">
        <f t="shared" si="35"/>
        <v>T4</v>
      </c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>
        <v>1</v>
      </c>
      <c r="AV90" s="83"/>
      <c r="AW90" s="83"/>
      <c r="AX90" s="83">
        <v>1</v>
      </c>
      <c r="AY90" s="83"/>
      <c r="AZ90" s="83"/>
    </row>
    <row r="91" spans="1:52" s="78" customFormat="1" x14ac:dyDescent="0.25">
      <c r="A91" s="99"/>
      <c r="B91" s="118"/>
      <c r="C91" s="99"/>
      <c r="D91" s="102"/>
      <c r="E91" s="104"/>
      <c r="F91" s="104"/>
      <c r="G91" s="84" t="s">
        <v>66</v>
      </c>
      <c r="H91" s="83"/>
      <c r="I91" s="83"/>
      <c r="J91" s="83"/>
      <c r="K91" s="83"/>
      <c r="L91" s="83">
        <v>2</v>
      </c>
      <c r="M91" s="83"/>
      <c r="N91" s="83"/>
      <c r="O91" s="83"/>
      <c r="P91" s="83"/>
      <c r="Q91" s="83"/>
      <c r="R91" s="83"/>
      <c r="S91" s="83"/>
      <c r="T91" s="83">
        <f t="shared" si="34"/>
        <v>2</v>
      </c>
      <c r="U91" s="83" t="str">
        <f t="shared" si="35"/>
        <v>T5</v>
      </c>
      <c r="V91" s="83"/>
      <c r="W91" s="83"/>
      <c r="X91" s="83"/>
      <c r="Y91" s="83"/>
      <c r="Z91" s="83"/>
      <c r="AA91" s="83">
        <v>1</v>
      </c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>
        <v>1</v>
      </c>
      <c r="AV91" s="83"/>
      <c r="AW91" s="83"/>
      <c r="AX91" s="83"/>
      <c r="AY91" s="83"/>
      <c r="AZ91" s="83"/>
    </row>
    <row r="92" spans="1:52" s="78" customFormat="1" x14ac:dyDescent="0.25">
      <c r="A92" s="99"/>
      <c r="B92" s="118"/>
      <c r="C92" s="99"/>
      <c r="D92" s="102"/>
      <c r="E92" s="104"/>
      <c r="F92" s="104"/>
      <c r="G92" s="84" t="s">
        <v>67</v>
      </c>
      <c r="H92" s="83"/>
      <c r="I92" s="83"/>
      <c r="J92" s="83"/>
      <c r="K92" s="83"/>
      <c r="L92" s="83"/>
      <c r="M92" s="83">
        <v>1</v>
      </c>
      <c r="N92" s="83"/>
      <c r="O92" s="83"/>
      <c r="P92" s="83"/>
      <c r="Q92" s="83"/>
      <c r="R92" s="83"/>
      <c r="S92" s="83"/>
      <c r="T92" s="83">
        <f t="shared" si="34"/>
        <v>1</v>
      </c>
      <c r="U92" s="83" t="str">
        <f t="shared" si="35"/>
        <v>T6</v>
      </c>
      <c r="V92" s="83">
        <v>1</v>
      </c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</row>
    <row r="93" spans="1:52" s="78" customFormat="1" x14ac:dyDescent="0.25">
      <c r="A93" s="99"/>
      <c r="B93" s="118"/>
      <c r="C93" s="99"/>
      <c r="D93" s="102"/>
      <c r="E93" s="104"/>
      <c r="F93" s="104"/>
      <c r="G93" s="84" t="s">
        <v>66</v>
      </c>
      <c r="H93" s="83"/>
      <c r="I93" s="83"/>
      <c r="J93" s="83"/>
      <c r="K93" s="83"/>
      <c r="L93" s="83"/>
      <c r="M93" s="83">
        <v>2</v>
      </c>
      <c r="N93" s="83"/>
      <c r="O93" s="83"/>
      <c r="P93" s="83"/>
      <c r="Q93" s="83"/>
      <c r="R93" s="83"/>
      <c r="S93" s="83"/>
      <c r="T93" s="83">
        <f t="shared" ref="T93:T96" si="47">SUM(H93:S93)</f>
        <v>2</v>
      </c>
      <c r="U93" s="83" t="str">
        <f t="shared" si="35"/>
        <v>T6</v>
      </c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>
        <v>1</v>
      </c>
      <c r="AH93" s="83">
        <v>1</v>
      </c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</row>
    <row r="94" spans="1:52" s="78" customFormat="1" x14ac:dyDescent="0.25">
      <c r="A94" s="99"/>
      <c r="B94" s="118"/>
      <c r="C94" s="99"/>
      <c r="D94" s="102"/>
      <c r="E94" s="104"/>
      <c r="F94" s="104"/>
      <c r="G94" s="84" t="s">
        <v>66</v>
      </c>
      <c r="H94" s="83"/>
      <c r="I94" s="83"/>
      <c r="J94" s="83"/>
      <c r="K94" s="83"/>
      <c r="L94" s="83"/>
      <c r="M94" s="83"/>
      <c r="N94" s="83">
        <v>3</v>
      </c>
      <c r="O94" s="83"/>
      <c r="P94" s="83"/>
      <c r="Q94" s="83"/>
      <c r="R94" s="83"/>
      <c r="S94" s="83"/>
      <c r="T94" s="83">
        <f t="shared" ref="T94:T95" si="48">SUM(H94:S94)</f>
        <v>3</v>
      </c>
      <c r="U94" s="83" t="str">
        <f t="shared" si="35"/>
        <v>T7</v>
      </c>
      <c r="V94" s="83"/>
      <c r="W94" s="83"/>
      <c r="X94" s="83"/>
      <c r="Y94" s="83">
        <v>1</v>
      </c>
      <c r="Z94" s="83">
        <v>1</v>
      </c>
      <c r="AA94" s="83"/>
      <c r="AB94" s="83"/>
      <c r="AC94" s="83"/>
      <c r="AD94" s="83"/>
      <c r="AE94" s="83">
        <v>1</v>
      </c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</row>
    <row r="95" spans="1:52" s="78" customFormat="1" x14ac:dyDescent="0.25">
      <c r="A95" s="99"/>
      <c r="B95" s="118"/>
      <c r="C95" s="99"/>
      <c r="D95" s="102"/>
      <c r="E95" s="104"/>
      <c r="F95" s="104"/>
      <c r="G95" s="84" t="s">
        <v>66</v>
      </c>
      <c r="H95" s="83"/>
      <c r="I95" s="83"/>
      <c r="J95" s="83"/>
      <c r="K95" s="83"/>
      <c r="L95" s="83"/>
      <c r="M95" s="83"/>
      <c r="N95" s="83"/>
      <c r="O95" s="83">
        <v>3</v>
      </c>
      <c r="P95" s="83"/>
      <c r="Q95" s="83"/>
      <c r="R95" s="83"/>
      <c r="S95" s="83"/>
      <c r="T95" s="83">
        <f t="shared" si="48"/>
        <v>3</v>
      </c>
      <c r="U95" s="83" t="str">
        <f t="shared" si="35"/>
        <v>T8</v>
      </c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>
        <v>1</v>
      </c>
      <c r="AG95" s="83"/>
      <c r="AH95" s="83"/>
      <c r="AI95" s="83">
        <v>1</v>
      </c>
      <c r="AJ95" s="83">
        <v>1</v>
      </c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</row>
    <row r="96" spans="1:52" s="78" customFormat="1" x14ac:dyDescent="0.25">
      <c r="A96" s="99"/>
      <c r="B96" s="118"/>
      <c r="C96" s="99"/>
      <c r="D96" s="102"/>
      <c r="E96" s="104"/>
      <c r="F96" s="104"/>
      <c r="G96" s="84" t="s">
        <v>66</v>
      </c>
      <c r="H96" s="83"/>
      <c r="I96" s="83"/>
      <c r="J96" s="83"/>
      <c r="K96" s="83"/>
      <c r="L96" s="83"/>
      <c r="M96" s="83"/>
      <c r="N96" s="83"/>
      <c r="O96" s="83"/>
      <c r="P96" s="83">
        <v>3</v>
      </c>
      <c r="Q96" s="83"/>
      <c r="R96" s="83"/>
      <c r="S96" s="83"/>
      <c r="T96" s="83">
        <f t="shared" si="47"/>
        <v>3</v>
      </c>
      <c r="U96" s="83" t="str">
        <f t="shared" si="35"/>
        <v>T9</v>
      </c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>
        <v>1</v>
      </c>
      <c r="AL96" s="83"/>
      <c r="AM96" s="83"/>
      <c r="AN96" s="83"/>
      <c r="AO96" s="83"/>
      <c r="AP96" s="83"/>
      <c r="AQ96" s="83"/>
      <c r="AR96" s="83">
        <v>1</v>
      </c>
      <c r="AS96" s="83">
        <v>1</v>
      </c>
      <c r="AT96" s="83"/>
      <c r="AU96" s="83"/>
      <c r="AV96" s="83"/>
      <c r="AW96" s="83"/>
      <c r="AX96" s="83"/>
      <c r="AY96" s="83"/>
      <c r="AZ96" s="83"/>
    </row>
    <row r="97" spans="1:52" s="78" customFormat="1" x14ac:dyDescent="0.25">
      <c r="A97" s="99"/>
      <c r="B97" s="118"/>
      <c r="C97" s="99"/>
      <c r="D97" s="102"/>
      <c r="E97" s="104"/>
      <c r="F97" s="104"/>
      <c r="G97" s="84" t="s">
        <v>66</v>
      </c>
      <c r="H97" s="83"/>
      <c r="I97" s="83"/>
      <c r="J97" s="83"/>
      <c r="K97" s="83"/>
      <c r="L97" s="83"/>
      <c r="M97" s="83"/>
      <c r="N97" s="83"/>
      <c r="O97" s="83"/>
      <c r="P97" s="83"/>
      <c r="Q97" s="83">
        <v>2</v>
      </c>
      <c r="R97" s="83"/>
      <c r="S97" s="83"/>
      <c r="T97" s="83">
        <f t="shared" si="34"/>
        <v>2</v>
      </c>
      <c r="U97" s="83" t="str">
        <f t="shared" si="35"/>
        <v>T10</v>
      </c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>
        <v>1</v>
      </c>
      <c r="AV97" s="83"/>
      <c r="AW97" s="83"/>
      <c r="AX97" s="83"/>
      <c r="AY97" s="83">
        <v>1</v>
      </c>
      <c r="AZ97" s="83"/>
    </row>
    <row r="98" spans="1:52" s="78" customFormat="1" x14ac:dyDescent="0.25">
      <c r="A98" s="76" t="s">
        <v>35</v>
      </c>
      <c r="B98" s="76"/>
      <c r="C98" s="76"/>
      <c r="D98" s="76"/>
      <c r="E98" s="77">
        <f t="shared" ref="E98:T98" si="49">SUM(E89:E97)</f>
        <v>9200</v>
      </c>
      <c r="F98" s="77">
        <f t="shared" si="49"/>
        <v>0</v>
      </c>
      <c r="G98" s="77">
        <f t="shared" si="49"/>
        <v>0</v>
      </c>
      <c r="H98" s="77">
        <f t="shared" si="49"/>
        <v>0</v>
      </c>
      <c r="I98" s="77">
        <f t="shared" si="49"/>
        <v>0</v>
      </c>
      <c r="J98" s="77">
        <f t="shared" si="49"/>
        <v>2</v>
      </c>
      <c r="K98" s="77">
        <f t="shared" si="49"/>
        <v>2</v>
      </c>
      <c r="L98" s="77">
        <f t="shared" si="49"/>
        <v>2</v>
      </c>
      <c r="M98" s="77">
        <f t="shared" si="49"/>
        <v>3</v>
      </c>
      <c r="N98" s="77">
        <f t="shared" si="49"/>
        <v>3</v>
      </c>
      <c r="O98" s="77">
        <f t="shared" si="49"/>
        <v>3</v>
      </c>
      <c r="P98" s="77">
        <f t="shared" si="49"/>
        <v>3</v>
      </c>
      <c r="Q98" s="77">
        <f t="shared" si="49"/>
        <v>2</v>
      </c>
      <c r="R98" s="77">
        <f t="shared" si="49"/>
        <v>0</v>
      </c>
      <c r="S98" s="77">
        <f t="shared" si="49"/>
        <v>0</v>
      </c>
      <c r="T98" s="77">
        <f t="shared" si="49"/>
        <v>20</v>
      </c>
      <c r="U98" s="77">
        <f t="array" ref="U98">SUM(ROUNDUP(H98:S98/6,0))</f>
        <v>8</v>
      </c>
      <c r="V98" s="77">
        <f t="shared" ref="V98:AZ98" si="50">SUM(V89:V97)</f>
        <v>1</v>
      </c>
      <c r="W98" s="77">
        <f t="shared" si="50"/>
        <v>1</v>
      </c>
      <c r="X98" s="77">
        <f t="shared" si="50"/>
        <v>1</v>
      </c>
      <c r="Y98" s="77">
        <f t="shared" si="50"/>
        <v>1</v>
      </c>
      <c r="Z98" s="77">
        <f t="shared" si="50"/>
        <v>1</v>
      </c>
      <c r="AA98" s="77">
        <f t="shared" si="50"/>
        <v>1</v>
      </c>
      <c r="AB98" s="77">
        <f t="shared" si="50"/>
        <v>0</v>
      </c>
      <c r="AC98" s="77">
        <f t="shared" si="50"/>
        <v>0</v>
      </c>
      <c r="AD98" s="77">
        <f t="shared" si="50"/>
        <v>0</v>
      </c>
      <c r="AE98" s="77">
        <f t="shared" si="50"/>
        <v>1</v>
      </c>
      <c r="AF98" s="77">
        <f t="shared" si="50"/>
        <v>1</v>
      </c>
      <c r="AG98" s="77">
        <f t="shared" si="50"/>
        <v>1</v>
      </c>
      <c r="AH98" s="77">
        <f t="shared" si="50"/>
        <v>1</v>
      </c>
      <c r="AI98" s="77">
        <f t="shared" si="50"/>
        <v>1</v>
      </c>
      <c r="AJ98" s="77">
        <f t="shared" si="50"/>
        <v>1</v>
      </c>
      <c r="AK98" s="77">
        <f t="shared" si="50"/>
        <v>1</v>
      </c>
      <c r="AL98" s="77">
        <f t="shared" si="50"/>
        <v>0</v>
      </c>
      <c r="AM98" s="77">
        <f t="shared" si="50"/>
        <v>0</v>
      </c>
      <c r="AN98" s="77">
        <f t="shared" si="50"/>
        <v>0</v>
      </c>
      <c r="AO98" s="77">
        <f t="shared" si="50"/>
        <v>0</v>
      </c>
      <c r="AP98" s="77">
        <f t="shared" si="50"/>
        <v>0</v>
      </c>
      <c r="AQ98" s="77">
        <f t="shared" si="50"/>
        <v>0</v>
      </c>
      <c r="AR98" s="77">
        <f t="shared" si="50"/>
        <v>1</v>
      </c>
      <c r="AS98" s="77">
        <f t="shared" si="50"/>
        <v>1</v>
      </c>
      <c r="AT98" s="77">
        <f t="shared" si="50"/>
        <v>0</v>
      </c>
      <c r="AU98" s="77">
        <f t="shared" si="50"/>
        <v>3</v>
      </c>
      <c r="AV98" s="77">
        <f t="shared" si="50"/>
        <v>0</v>
      </c>
      <c r="AW98" s="77">
        <f t="shared" si="50"/>
        <v>0</v>
      </c>
      <c r="AX98" s="77">
        <f t="shared" si="50"/>
        <v>1</v>
      </c>
      <c r="AY98" s="77">
        <f t="shared" si="50"/>
        <v>1</v>
      </c>
      <c r="AZ98" s="77">
        <f t="shared" si="50"/>
        <v>0</v>
      </c>
    </row>
    <row r="99" spans="1:52" s="78" customFormat="1" x14ac:dyDescent="0.25">
      <c r="A99" s="98" t="s">
        <v>101</v>
      </c>
      <c r="B99" s="98" t="s">
        <v>111</v>
      </c>
      <c r="C99" s="98" t="s">
        <v>112</v>
      </c>
      <c r="D99" s="101" t="s">
        <v>65</v>
      </c>
      <c r="E99" s="103">
        <v>13200</v>
      </c>
      <c r="F99" s="103">
        <v>0</v>
      </c>
      <c r="G99" s="84" t="s">
        <v>67</v>
      </c>
      <c r="H99" s="83"/>
      <c r="I99" s="83">
        <v>3</v>
      </c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>
        <f t="shared" si="34"/>
        <v>3</v>
      </c>
      <c r="U99" s="83" t="str">
        <f t="shared" si="35"/>
        <v>T2</v>
      </c>
      <c r="V99" s="83">
        <v>1</v>
      </c>
      <c r="W99" s="83"/>
      <c r="X99" s="83"/>
      <c r="Y99" s="83">
        <v>1</v>
      </c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>
        <v>1</v>
      </c>
      <c r="AV99" s="83"/>
      <c r="AW99" s="83"/>
      <c r="AX99" s="83"/>
      <c r="AY99" s="83"/>
      <c r="AZ99" s="83"/>
    </row>
    <row r="100" spans="1:52" s="78" customFormat="1" x14ac:dyDescent="0.25">
      <c r="A100" s="99"/>
      <c r="B100" s="99"/>
      <c r="C100" s="99"/>
      <c r="D100" s="102"/>
      <c r="E100" s="104"/>
      <c r="F100" s="104"/>
      <c r="G100" s="84" t="s">
        <v>66</v>
      </c>
      <c r="H100" s="83"/>
      <c r="I100" s="83"/>
      <c r="J100" s="83">
        <v>3</v>
      </c>
      <c r="K100" s="83"/>
      <c r="L100" s="83"/>
      <c r="M100" s="83"/>
      <c r="N100" s="83"/>
      <c r="O100" s="83"/>
      <c r="P100" s="83"/>
      <c r="Q100" s="83"/>
      <c r="R100" s="83"/>
      <c r="S100" s="83"/>
      <c r="T100" s="83">
        <f t="shared" si="34"/>
        <v>3</v>
      </c>
      <c r="U100" s="83" t="str">
        <f t="shared" si="35"/>
        <v>T3</v>
      </c>
      <c r="V100" s="83"/>
      <c r="W100" s="83">
        <v>1</v>
      </c>
      <c r="X100" s="83">
        <v>1</v>
      </c>
      <c r="Y100" s="83"/>
      <c r="Z100" s="83"/>
      <c r="AA100" s="83"/>
      <c r="AB100" s="83">
        <v>1</v>
      </c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</row>
    <row r="101" spans="1:52" s="78" customFormat="1" x14ac:dyDescent="0.25">
      <c r="A101" s="99"/>
      <c r="B101" s="99"/>
      <c r="C101" s="99"/>
      <c r="D101" s="102"/>
      <c r="E101" s="104"/>
      <c r="F101" s="104"/>
      <c r="G101" s="84" t="s">
        <v>66</v>
      </c>
      <c r="H101" s="83"/>
      <c r="I101" s="83"/>
      <c r="J101" s="83"/>
      <c r="K101" s="83">
        <v>3</v>
      </c>
      <c r="L101" s="83"/>
      <c r="M101" s="83"/>
      <c r="N101" s="83"/>
      <c r="O101" s="83"/>
      <c r="P101" s="83"/>
      <c r="Q101" s="83"/>
      <c r="R101" s="83"/>
      <c r="S101" s="83"/>
      <c r="T101" s="83">
        <f t="shared" si="34"/>
        <v>3</v>
      </c>
      <c r="U101" s="83" t="str">
        <f t="shared" si="35"/>
        <v>T4</v>
      </c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>
        <v>1</v>
      </c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>
        <v>1</v>
      </c>
      <c r="AV101" s="83"/>
      <c r="AW101" s="83"/>
      <c r="AX101" s="83">
        <v>1</v>
      </c>
      <c r="AY101" s="83"/>
      <c r="AZ101" s="83"/>
    </row>
    <row r="102" spans="1:52" s="78" customFormat="1" x14ac:dyDescent="0.25">
      <c r="A102" s="99"/>
      <c r="B102" s="99"/>
      <c r="C102" s="99"/>
      <c r="D102" s="102"/>
      <c r="E102" s="104"/>
      <c r="F102" s="104"/>
      <c r="G102" s="84" t="s">
        <v>66</v>
      </c>
      <c r="H102" s="83"/>
      <c r="I102" s="83"/>
      <c r="J102" s="83"/>
      <c r="K102" s="83"/>
      <c r="L102" s="83">
        <v>3</v>
      </c>
      <c r="M102" s="83"/>
      <c r="N102" s="83"/>
      <c r="O102" s="83"/>
      <c r="P102" s="83"/>
      <c r="Q102" s="83"/>
      <c r="R102" s="83"/>
      <c r="S102" s="83"/>
      <c r="T102" s="83">
        <f t="shared" ref="T102:T103" si="51">SUM(H102:S102)</f>
        <v>3</v>
      </c>
      <c r="U102" s="83" t="str">
        <f t="shared" si="35"/>
        <v>T5</v>
      </c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>
        <v>1</v>
      </c>
      <c r="AG102" s="83">
        <v>1</v>
      </c>
      <c r="AH102" s="83">
        <v>1</v>
      </c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</row>
    <row r="103" spans="1:52" s="78" customFormat="1" x14ac:dyDescent="0.25">
      <c r="A103" s="99"/>
      <c r="B103" s="99"/>
      <c r="C103" s="99"/>
      <c r="D103" s="102"/>
      <c r="E103" s="104"/>
      <c r="F103" s="104"/>
      <c r="G103" s="84" t="s">
        <v>66</v>
      </c>
      <c r="H103" s="83"/>
      <c r="I103" s="83"/>
      <c r="J103" s="83"/>
      <c r="K103" s="83"/>
      <c r="L103" s="83"/>
      <c r="M103" s="83">
        <v>3</v>
      </c>
      <c r="N103" s="83"/>
      <c r="O103" s="83"/>
      <c r="P103" s="83"/>
      <c r="Q103" s="83"/>
      <c r="R103" s="83"/>
      <c r="S103" s="83"/>
      <c r="T103" s="83">
        <f t="shared" si="51"/>
        <v>3</v>
      </c>
      <c r="U103" s="83" t="str">
        <f t="shared" si="35"/>
        <v>T6</v>
      </c>
      <c r="V103" s="83"/>
      <c r="W103" s="83"/>
      <c r="X103" s="83"/>
      <c r="Y103" s="83"/>
      <c r="Z103" s="83"/>
      <c r="AA103" s="83">
        <v>1</v>
      </c>
      <c r="AB103" s="83"/>
      <c r="AC103" s="83"/>
      <c r="AD103" s="83"/>
      <c r="AE103" s="83"/>
      <c r="AF103" s="83"/>
      <c r="AG103" s="83"/>
      <c r="AH103" s="83"/>
      <c r="AI103" s="83"/>
      <c r="AJ103" s="83"/>
      <c r="AK103" s="83">
        <v>1</v>
      </c>
      <c r="AL103" s="83"/>
      <c r="AM103" s="83"/>
      <c r="AN103" s="83"/>
      <c r="AO103" s="83"/>
      <c r="AP103" s="83"/>
      <c r="AQ103" s="83"/>
      <c r="AR103" s="83"/>
      <c r="AS103" s="83"/>
      <c r="AT103" s="83"/>
      <c r="AU103" s="83">
        <v>1</v>
      </c>
      <c r="AV103" s="83"/>
      <c r="AW103" s="83"/>
      <c r="AX103" s="83"/>
      <c r="AY103" s="83"/>
      <c r="AZ103" s="83"/>
    </row>
    <row r="104" spans="1:52" s="78" customFormat="1" x14ac:dyDescent="0.25">
      <c r="A104" s="99"/>
      <c r="B104" s="99"/>
      <c r="C104" s="99"/>
      <c r="D104" s="102"/>
      <c r="E104" s="104"/>
      <c r="F104" s="104"/>
      <c r="G104" s="84" t="s">
        <v>66</v>
      </c>
      <c r="H104" s="83"/>
      <c r="I104" s="83"/>
      <c r="J104" s="83"/>
      <c r="K104" s="83"/>
      <c r="L104" s="83"/>
      <c r="M104" s="83"/>
      <c r="N104" s="83">
        <v>3</v>
      </c>
      <c r="O104" s="83"/>
      <c r="P104" s="83"/>
      <c r="Q104" s="83"/>
      <c r="R104" s="83"/>
      <c r="S104" s="83"/>
      <c r="T104" s="83">
        <f t="shared" si="34"/>
        <v>3</v>
      </c>
      <c r="U104" s="83" t="str">
        <f t="shared" si="35"/>
        <v>T7</v>
      </c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>
        <v>1</v>
      </c>
      <c r="AM104" s="83"/>
      <c r="AN104" s="83"/>
      <c r="AO104" s="83"/>
      <c r="AP104" s="83"/>
      <c r="AQ104" s="83"/>
      <c r="AR104" s="83"/>
      <c r="AS104" s="83"/>
      <c r="AT104" s="83">
        <v>1</v>
      </c>
      <c r="AU104" s="83">
        <v>1</v>
      </c>
      <c r="AV104" s="83"/>
      <c r="AW104" s="83"/>
      <c r="AX104" s="83"/>
      <c r="AY104" s="83"/>
      <c r="AZ104" s="83"/>
    </row>
    <row r="105" spans="1:52" s="78" customFormat="1" x14ac:dyDescent="0.25">
      <c r="A105" s="99"/>
      <c r="B105" s="99"/>
      <c r="C105" s="99"/>
      <c r="D105" s="102"/>
      <c r="E105" s="104"/>
      <c r="F105" s="104"/>
      <c r="G105" s="84" t="s">
        <v>66</v>
      </c>
      <c r="H105" s="83"/>
      <c r="I105" s="83"/>
      <c r="J105" s="83"/>
      <c r="K105" s="83"/>
      <c r="L105" s="83"/>
      <c r="M105" s="83"/>
      <c r="N105" s="83"/>
      <c r="O105" s="83">
        <v>3</v>
      </c>
      <c r="P105" s="83"/>
      <c r="Q105" s="83"/>
      <c r="R105" s="83"/>
      <c r="S105" s="83"/>
      <c r="T105" s="83">
        <f t="shared" si="34"/>
        <v>3</v>
      </c>
      <c r="U105" s="83" t="str">
        <f t="shared" si="35"/>
        <v>T8</v>
      </c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>
        <v>1</v>
      </c>
      <c r="AK105" s="83"/>
      <c r="AL105" s="83"/>
      <c r="AM105" s="83"/>
      <c r="AN105" s="83"/>
      <c r="AO105" s="83"/>
      <c r="AP105" s="83"/>
      <c r="AQ105" s="88">
        <v>1</v>
      </c>
      <c r="AR105" s="83"/>
      <c r="AS105" s="83"/>
      <c r="AT105" s="83"/>
      <c r="AU105" s="83">
        <v>1</v>
      </c>
      <c r="AV105" s="83"/>
      <c r="AW105" s="83"/>
      <c r="AX105" s="83"/>
      <c r="AY105" s="83"/>
      <c r="AZ105" s="83"/>
    </row>
    <row r="106" spans="1:52" s="78" customFormat="1" x14ac:dyDescent="0.25">
      <c r="A106" s="99"/>
      <c r="B106" s="99"/>
      <c r="C106" s="99"/>
      <c r="D106" s="102"/>
      <c r="E106" s="104"/>
      <c r="F106" s="104"/>
      <c r="G106" s="84" t="s">
        <v>67</v>
      </c>
      <c r="H106" s="83"/>
      <c r="I106" s="83"/>
      <c r="J106" s="83"/>
      <c r="K106" s="83"/>
      <c r="L106" s="83"/>
      <c r="M106" s="83"/>
      <c r="N106" s="83"/>
      <c r="O106" s="83"/>
      <c r="P106" s="83">
        <v>2</v>
      </c>
      <c r="Q106" s="83"/>
      <c r="R106" s="83"/>
      <c r="S106" s="83"/>
      <c r="T106" s="83">
        <f t="shared" si="34"/>
        <v>2</v>
      </c>
      <c r="U106" s="83" t="str">
        <f t="shared" si="35"/>
        <v>T9</v>
      </c>
      <c r="V106" s="83"/>
      <c r="W106" s="83"/>
      <c r="X106" s="83"/>
      <c r="Y106" s="83"/>
      <c r="Z106" s="83"/>
      <c r="AA106" s="83"/>
      <c r="AB106" s="83"/>
      <c r="AC106" s="83">
        <v>1</v>
      </c>
      <c r="AD106" s="83">
        <v>1</v>
      </c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</row>
    <row r="107" spans="1:52" s="78" customFormat="1" x14ac:dyDescent="0.25">
      <c r="A107" s="99"/>
      <c r="B107" s="99"/>
      <c r="C107" s="99"/>
      <c r="D107" s="102"/>
      <c r="E107" s="104"/>
      <c r="F107" s="104"/>
      <c r="G107" s="84" t="s">
        <v>66</v>
      </c>
      <c r="H107" s="83"/>
      <c r="I107" s="83"/>
      <c r="J107" s="83"/>
      <c r="K107" s="83"/>
      <c r="L107" s="83"/>
      <c r="M107" s="83"/>
      <c r="N107" s="83"/>
      <c r="O107" s="83"/>
      <c r="P107" s="83"/>
      <c r="Q107" s="83">
        <v>2</v>
      </c>
      <c r="R107" s="83"/>
      <c r="S107" s="83"/>
      <c r="T107" s="83">
        <f t="shared" ref="T107" si="52">SUM(H107:S107)</f>
        <v>2</v>
      </c>
      <c r="U107" s="83" t="str">
        <f t="shared" si="35"/>
        <v>T10</v>
      </c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>
        <v>1</v>
      </c>
      <c r="AV107" s="83"/>
      <c r="AW107" s="83"/>
      <c r="AX107" s="83"/>
      <c r="AY107" s="83"/>
      <c r="AZ107" s="83">
        <v>1</v>
      </c>
    </row>
    <row r="108" spans="1:52" s="78" customFormat="1" x14ac:dyDescent="0.25">
      <c r="A108" s="99"/>
      <c r="B108" s="99"/>
      <c r="C108" s="99"/>
      <c r="D108" s="102"/>
      <c r="E108" s="104"/>
      <c r="F108" s="104"/>
      <c r="G108" s="84" t="s">
        <v>66</v>
      </c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>
        <v>2</v>
      </c>
      <c r="S108" s="83"/>
      <c r="T108" s="83">
        <f t="shared" ref="T108:T109" si="53">SUM(H108:S108)</f>
        <v>2</v>
      </c>
      <c r="U108" s="83" t="str">
        <f t="shared" si="35"/>
        <v>T11</v>
      </c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>
        <v>1</v>
      </c>
      <c r="AO108" s="83">
        <v>1</v>
      </c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</row>
    <row r="109" spans="1:52" s="78" customFormat="1" x14ac:dyDescent="0.25">
      <c r="A109" s="99"/>
      <c r="B109" s="99"/>
      <c r="C109" s="99"/>
      <c r="D109" s="102"/>
      <c r="E109" s="104"/>
      <c r="F109" s="104"/>
      <c r="G109" s="84" t="s">
        <v>66</v>
      </c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>
        <v>2</v>
      </c>
      <c r="T109" s="83">
        <f t="shared" si="53"/>
        <v>2</v>
      </c>
      <c r="U109" s="83" t="str">
        <f t="shared" si="35"/>
        <v>T12</v>
      </c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>
        <v>1</v>
      </c>
      <c r="AN109" s="83"/>
      <c r="AO109" s="83"/>
      <c r="AP109" s="83">
        <v>1</v>
      </c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</row>
    <row r="110" spans="1:52" s="78" customFormat="1" x14ac:dyDescent="0.25">
      <c r="A110" s="99"/>
      <c r="B110" s="99"/>
      <c r="C110" s="99"/>
      <c r="D110" s="102"/>
      <c r="E110" s="104"/>
      <c r="F110" s="104"/>
      <c r="G110" s="86" t="s">
        <v>376</v>
      </c>
      <c r="H110" s="83"/>
      <c r="I110" s="83"/>
      <c r="J110" s="83"/>
      <c r="K110" s="83"/>
      <c r="L110" s="83"/>
      <c r="M110" s="83">
        <v>1</v>
      </c>
      <c r="N110" s="83"/>
      <c r="O110" s="83"/>
      <c r="P110" s="83"/>
      <c r="Q110" s="83"/>
      <c r="R110" s="83"/>
      <c r="S110" s="83"/>
      <c r="T110" s="83">
        <f t="shared" si="34"/>
        <v>1</v>
      </c>
      <c r="U110" s="83" t="str">
        <f t="shared" si="35"/>
        <v>T6</v>
      </c>
      <c r="V110" s="83"/>
      <c r="W110" s="83"/>
      <c r="X110" s="83"/>
      <c r="Y110" s="83"/>
      <c r="Z110" s="83">
        <v>1</v>
      </c>
      <c r="AA110" s="83"/>
      <c r="AB110" s="83"/>
      <c r="AC110" s="83"/>
      <c r="AD110" s="83"/>
      <c r="AE110" s="83"/>
      <c r="AF110" s="83"/>
      <c r="AG110" s="83"/>
      <c r="AH110" s="85"/>
      <c r="AI110" s="83"/>
      <c r="AJ110" s="83"/>
      <c r="AK110" s="83"/>
      <c r="AL110" s="83"/>
      <c r="AM110" s="83"/>
      <c r="AN110" s="83"/>
      <c r="AO110" s="83"/>
      <c r="AP110" s="83"/>
      <c r="AQ110" s="83"/>
      <c r="AR110" s="85"/>
      <c r="AS110" s="83"/>
      <c r="AT110" s="83"/>
      <c r="AU110" s="83"/>
      <c r="AV110" s="83"/>
      <c r="AW110" s="83"/>
      <c r="AX110" s="83"/>
      <c r="AY110" s="83"/>
      <c r="AZ110" s="83"/>
    </row>
    <row r="111" spans="1:52" s="78" customFormat="1" x14ac:dyDescent="0.25">
      <c r="A111" s="76" t="s">
        <v>35</v>
      </c>
      <c r="B111" s="76"/>
      <c r="C111" s="76"/>
      <c r="D111" s="76"/>
      <c r="E111" s="77">
        <f t="shared" ref="E111:T111" si="54">SUM(E99:E110)</f>
        <v>13200</v>
      </c>
      <c r="F111" s="77">
        <f t="shared" si="54"/>
        <v>0</v>
      </c>
      <c r="G111" s="77">
        <f t="shared" si="54"/>
        <v>0</v>
      </c>
      <c r="H111" s="77">
        <f t="shared" si="54"/>
        <v>0</v>
      </c>
      <c r="I111" s="77">
        <f t="shared" si="54"/>
        <v>3</v>
      </c>
      <c r="J111" s="77">
        <f t="shared" si="54"/>
        <v>3</v>
      </c>
      <c r="K111" s="77">
        <f t="shared" si="54"/>
        <v>3</v>
      </c>
      <c r="L111" s="77">
        <f t="shared" si="54"/>
        <v>3</v>
      </c>
      <c r="M111" s="77">
        <f t="shared" si="54"/>
        <v>4</v>
      </c>
      <c r="N111" s="77">
        <f t="shared" si="54"/>
        <v>3</v>
      </c>
      <c r="O111" s="77">
        <f t="shared" si="54"/>
        <v>3</v>
      </c>
      <c r="P111" s="77">
        <f t="shared" si="54"/>
        <v>2</v>
      </c>
      <c r="Q111" s="77">
        <f t="shared" si="54"/>
        <v>2</v>
      </c>
      <c r="R111" s="77">
        <f t="shared" si="54"/>
        <v>2</v>
      </c>
      <c r="S111" s="77">
        <f t="shared" si="54"/>
        <v>2</v>
      </c>
      <c r="T111" s="77">
        <f t="shared" si="54"/>
        <v>30</v>
      </c>
      <c r="U111" s="77">
        <f t="array" ref="U111">SUM(ROUNDUP(H111:S111/6,0))</f>
        <v>11</v>
      </c>
      <c r="V111" s="77">
        <f t="shared" ref="V111:AZ111" si="55">SUM(V99:V110)</f>
        <v>1</v>
      </c>
      <c r="W111" s="77">
        <f t="shared" si="55"/>
        <v>1</v>
      </c>
      <c r="X111" s="77">
        <f t="shared" si="55"/>
        <v>1</v>
      </c>
      <c r="Y111" s="77">
        <f t="shared" si="55"/>
        <v>1</v>
      </c>
      <c r="Z111" s="77">
        <f t="shared" si="55"/>
        <v>1</v>
      </c>
      <c r="AA111" s="77">
        <f t="shared" si="55"/>
        <v>1</v>
      </c>
      <c r="AB111" s="77">
        <f t="shared" si="55"/>
        <v>1</v>
      </c>
      <c r="AC111" s="77">
        <f t="shared" si="55"/>
        <v>1</v>
      </c>
      <c r="AD111" s="77">
        <f t="shared" si="55"/>
        <v>1</v>
      </c>
      <c r="AE111" s="77">
        <f t="shared" si="55"/>
        <v>0</v>
      </c>
      <c r="AF111" s="77">
        <f t="shared" si="55"/>
        <v>1</v>
      </c>
      <c r="AG111" s="77">
        <f t="shared" si="55"/>
        <v>1</v>
      </c>
      <c r="AH111" s="77">
        <f t="shared" si="55"/>
        <v>1</v>
      </c>
      <c r="AI111" s="77">
        <f t="shared" si="55"/>
        <v>1</v>
      </c>
      <c r="AJ111" s="77">
        <f t="shared" si="55"/>
        <v>1</v>
      </c>
      <c r="AK111" s="77">
        <f t="shared" si="55"/>
        <v>1</v>
      </c>
      <c r="AL111" s="77">
        <f t="shared" si="55"/>
        <v>1</v>
      </c>
      <c r="AM111" s="77">
        <f t="shared" si="55"/>
        <v>1</v>
      </c>
      <c r="AN111" s="77">
        <f t="shared" si="55"/>
        <v>1</v>
      </c>
      <c r="AO111" s="77">
        <f t="shared" si="55"/>
        <v>1</v>
      </c>
      <c r="AP111" s="77">
        <f t="shared" si="55"/>
        <v>1</v>
      </c>
      <c r="AQ111" s="77">
        <f t="shared" si="55"/>
        <v>1</v>
      </c>
      <c r="AR111" s="77">
        <f t="shared" si="55"/>
        <v>0</v>
      </c>
      <c r="AS111" s="77">
        <f t="shared" si="55"/>
        <v>0</v>
      </c>
      <c r="AT111" s="77">
        <f t="shared" si="55"/>
        <v>1</v>
      </c>
      <c r="AU111" s="77">
        <f t="shared" si="55"/>
        <v>6</v>
      </c>
      <c r="AV111" s="77">
        <f t="shared" si="55"/>
        <v>0</v>
      </c>
      <c r="AW111" s="77">
        <f t="shared" si="55"/>
        <v>0</v>
      </c>
      <c r="AX111" s="77">
        <f t="shared" si="55"/>
        <v>1</v>
      </c>
      <c r="AY111" s="77">
        <f t="shared" si="55"/>
        <v>0</v>
      </c>
      <c r="AZ111" s="77">
        <f t="shared" si="55"/>
        <v>1</v>
      </c>
    </row>
    <row r="112" spans="1:52" s="78" customFormat="1" x14ac:dyDescent="0.25">
      <c r="A112" s="98" t="s">
        <v>101</v>
      </c>
      <c r="B112" s="98" t="s">
        <v>113</v>
      </c>
      <c r="C112" s="98" t="s">
        <v>114</v>
      </c>
      <c r="D112" s="101" t="s">
        <v>65</v>
      </c>
      <c r="E112" s="103">
        <v>13700</v>
      </c>
      <c r="F112" s="103">
        <v>0</v>
      </c>
      <c r="G112" s="84" t="s">
        <v>67</v>
      </c>
      <c r="H112" s="83"/>
      <c r="I112" s="83">
        <v>1</v>
      </c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>
        <f t="shared" si="34"/>
        <v>1</v>
      </c>
      <c r="U112" s="83" t="str">
        <f t="shared" si="35"/>
        <v>T2</v>
      </c>
      <c r="V112" s="83">
        <v>1</v>
      </c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</row>
    <row r="113" spans="1:52" s="78" customFormat="1" x14ac:dyDescent="0.25">
      <c r="A113" s="99"/>
      <c r="B113" s="99"/>
      <c r="C113" s="99"/>
      <c r="D113" s="102"/>
      <c r="E113" s="104"/>
      <c r="F113" s="104"/>
      <c r="G113" s="84" t="s">
        <v>66</v>
      </c>
      <c r="H113" s="83"/>
      <c r="I113" s="83">
        <v>3</v>
      </c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>
        <f t="shared" si="34"/>
        <v>3</v>
      </c>
      <c r="U113" s="83" t="str">
        <f t="shared" si="35"/>
        <v>T2</v>
      </c>
      <c r="V113" s="83"/>
      <c r="W113" s="83">
        <v>1</v>
      </c>
      <c r="X113" s="83">
        <v>1</v>
      </c>
      <c r="Y113" s="83">
        <v>1</v>
      </c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</row>
    <row r="114" spans="1:52" s="78" customFormat="1" x14ac:dyDescent="0.25">
      <c r="A114" s="99"/>
      <c r="B114" s="99"/>
      <c r="C114" s="99"/>
      <c r="D114" s="102"/>
      <c r="E114" s="104"/>
      <c r="F114" s="104"/>
      <c r="G114" s="84" t="s">
        <v>66</v>
      </c>
      <c r="H114" s="83"/>
      <c r="I114" s="83"/>
      <c r="J114" s="83">
        <v>3</v>
      </c>
      <c r="K114" s="83"/>
      <c r="L114" s="83"/>
      <c r="M114" s="83"/>
      <c r="N114" s="83"/>
      <c r="O114" s="83"/>
      <c r="P114" s="83"/>
      <c r="Q114" s="83"/>
      <c r="R114" s="83"/>
      <c r="S114" s="83"/>
      <c r="T114" s="83">
        <f t="shared" si="34"/>
        <v>3</v>
      </c>
      <c r="U114" s="83" t="str">
        <f t="shared" si="35"/>
        <v>T3</v>
      </c>
      <c r="V114" s="83"/>
      <c r="W114" s="83"/>
      <c r="X114" s="83"/>
      <c r="Y114" s="83">
        <v>1</v>
      </c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>
        <v>1</v>
      </c>
      <c r="AV114" s="83"/>
      <c r="AW114" s="83"/>
      <c r="AX114" s="83">
        <v>1</v>
      </c>
      <c r="AY114" s="83"/>
      <c r="AZ114" s="83"/>
    </row>
    <row r="115" spans="1:52" s="78" customFormat="1" x14ac:dyDescent="0.25">
      <c r="A115" s="99"/>
      <c r="B115" s="99"/>
      <c r="C115" s="99"/>
      <c r="D115" s="102"/>
      <c r="E115" s="104"/>
      <c r="F115" s="104"/>
      <c r="G115" s="84" t="s">
        <v>66</v>
      </c>
      <c r="H115" s="83"/>
      <c r="I115" s="83"/>
      <c r="J115" s="83"/>
      <c r="K115" s="83">
        <v>3</v>
      </c>
      <c r="L115" s="83"/>
      <c r="M115" s="83"/>
      <c r="N115" s="83"/>
      <c r="O115" s="83"/>
      <c r="P115" s="83"/>
      <c r="Q115" s="83"/>
      <c r="R115" s="83"/>
      <c r="S115" s="83"/>
      <c r="T115" s="83">
        <f t="shared" si="34"/>
        <v>3</v>
      </c>
      <c r="U115" s="83" t="str">
        <f t="shared" si="35"/>
        <v>T4</v>
      </c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>
        <v>1</v>
      </c>
      <c r="AG115" s="83"/>
      <c r="AH115" s="83"/>
      <c r="AI115" s="83"/>
      <c r="AJ115" s="83"/>
      <c r="AK115" s="83"/>
      <c r="AL115" s="83">
        <v>1</v>
      </c>
      <c r="AM115" s="83"/>
      <c r="AN115" s="83"/>
      <c r="AO115" s="83"/>
      <c r="AP115" s="83"/>
      <c r="AQ115" s="83"/>
      <c r="AR115" s="83"/>
      <c r="AS115" s="83"/>
      <c r="AT115" s="83"/>
      <c r="AU115" s="83">
        <v>1</v>
      </c>
      <c r="AV115" s="83"/>
      <c r="AW115" s="83"/>
      <c r="AX115" s="83"/>
      <c r="AY115" s="83"/>
      <c r="AZ115" s="83"/>
    </row>
    <row r="116" spans="1:52" s="78" customFormat="1" x14ac:dyDescent="0.25">
      <c r="A116" s="99"/>
      <c r="B116" s="99"/>
      <c r="C116" s="99"/>
      <c r="D116" s="102"/>
      <c r="E116" s="104"/>
      <c r="F116" s="104"/>
      <c r="G116" s="84" t="s">
        <v>66</v>
      </c>
      <c r="H116" s="83"/>
      <c r="I116" s="83"/>
      <c r="J116" s="83"/>
      <c r="K116" s="83"/>
      <c r="L116" s="83">
        <v>3</v>
      </c>
      <c r="M116" s="83"/>
      <c r="N116" s="83"/>
      <c r="O116" s="83"/>
      <c r="P116" s="83"/>
      <c r="Q116" s="83"/>
      <c r="R116" s="83"/>
      <c r="S116" s="83"/>
      <c r="T116" s="83">
        <f t="shared" si="34"/>
        <v>3</v>
      </c>
      <c r="U116" s="83" t="str">
        <f t="shared" si="35"/>
        <v>T5</v>
      </c>
      <c r="V116" s="83"/>
      <c r="W116" s="83"/>
      <c r="X116" s="83"/>
      <c r="Y116" s="83"/>
      <c r="Z116" s="83">
        <v>1</v>
      </c>
      <c r="AA116" s="83">
        <v>1</v>
      </c>
      <c r="AB116" s="83"/>
      <c r="AC116" s="83"/>
      <c r="AD116" s="83"/>
      <c r="AE116" s="83"/>
      <c r="AF116" s="83"/>
      <c r="AG116" s="83">
        <v>1</v>
      </c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</row>
    <row r="117" spans="1:52" s="78" customFormat="1" x14ac:dyDescent="0.25">
      <c r="A117" s="99"/>
      <c r="B117" s="99"/>
      <c r="C117" s="99"/>
      <c r="D117" s="102"/>
      <c r="E117" s="104"/>
      <c r="F117" s="104"/>
      <c r="G117" s="84" t="s">
        <v>66</v>
      </c>
      <c r="H117" s="83"/>
      <c r="I117" s="83"/>
      <c r="J117" s="83"/>
      <c r="K117" s="83"/>
      <c r="L117" s="83"/>
      <c r="M117" s="83">
        <v>3</v>
      </c>
      <c r="N117" s="83"/>
      <c r="O117" s="83"/>
      <c r="P117" s="83"/>
      <c r="Q117" s="83"/>
      <c r="R117" s="83"/>
      <c r="S117" s="83"/>
      <c r="T117" s="83">
        <f t="shared" si="34"/>
        <v>3</v>
      </c>
      <c r="U117" s="83" t="str">
        <f t="shared" si="35"/>
        <v>T6</v>
      </c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8">
        <v>1</v>
      </c>
      <c r="AK117" s="83">
        <v>1</v>
      </c>
      <c r="AL117" s="83"/>
      <c r="AM117" s="83"/>
      <c r="AN117" s="83"/>
      <c r="AO117" s="83"/>
      <c r="AP117" s="83"/>
      <c r="AQ117" s="83"/>
      <c r="AR117" s="83"/>
      <c r="AS117" s="83"/>
      <c r="AT117" s="83"/>
      <c r="AU117" s="83">
        <v>1</v>
      </c>
      <c r="AV117" s="83"/>
      <c r="AW117" s="83"/>
      <c r="AX117" s="83"/>
      <c r="AY117" s="83"/>
      <c r="AZ117" s="83"/>
    </row>
    <row r="118" spans="1:52" s="78" customFormat="1" x14ac:dyDescent="0.25">
      <c r="A118" s="99"/>
      <c r="B118" s="99"/>
      <c r="C118" s="99"/>
      <c r="D118" s="102"/>
      <c r="E118" s="104"/>
      <c r="F118" s="104"/>
      <c r="G118" s="84" t="s">
        <v>67</v>
      </c>
      <c r="H118" s="83"/>
      <c r="I118" s="83"/>
      <c r="J118" s="83"/>
      <c r="K118" s="83"/>
      <c r="L118" s="83"/>
      <c r="M118" s="83"/>
      <c r="N118" s="83">
        <v>1</v>
      </c>
      <c r="O118" s="83"/>
      <c r="P118" s="83"/>
      <c r="Q118" s="83"/>
      <c r="R118" s="83"/>
      <c r="S118" s="83"/>
      <c r="T118" s="83">
        <f t="shared" ref="T118" si="56">SUM(H118:S118)</f>
        <v>1</v>
      </c>
      <c r="U118" s="83" t="str">
        <f t="shared" si="35"/>
        <v>T7</v>
      </c>
      <c r="V118" s="83"/>
      <c r="W118" s="83"/>
      <c r="X118" s="83">
        <v>1</v>
      </c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</row>
    <row r="119" spans="1:52" s="78" customFormat="1" x14ac:dyDescent="0.25">
      <c r="A119" s="99"/>
      <c r="B119" s="99"/>
      <c r="C119" s="99"/>
      <c r="D119" s="102"/>
      <c r="E119" s="104"/>
      <c r="F119" s="104"/>
      <c r="G119" s="84" t="s">
        <v>66</v>
      </c>
      <c r="H119" s="83"/>
      <c r="I119" s="83"/>
      <c r="J119" s="83"/>
      <c r="K119" s="83"/>
      <c r="L119" s="83"/>
      <c r="M119" s="83"/>
      <c r="N119" s="83">
        <v>2</v>
      </c>
      <c r="O119" s="83"/>
      <c r="P119" s="83"/>
      <c r="Q119" s="83"/>
      <c r="R119" s="83"/>
      <c r="S119" s="83"/>
      <c r="T119" s="83">
        <f t="shared" si="34"/>
        <v>2</v>
      </c>
      <c r="U119" s="83" t="str">
        <f t="shared" si="35"/>
        <v>T7</v>
      </c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>
        <v>1</v>
      </c>
      <c r="AS119" s="83">
        <v>1</v>
      </c>
      <c r="AT119" s="83"/>
      <c r="AU119" s="83"/>
      <c r="AV119" s="83"/>
      <c r="AW119" s="83"/>
      <c r="AX119" s="83"/>
      <c r="AY119" s="83"/>
      <c r="AZ119" s="83"/>
    </row>
    <row r="120" spans="1:52" s="78" customFormat="1" x14ac:dyDescent="0.25">
      <c r="A120" s="99"/>
      <c r="B120" s="99"/>
      <c r="C120" s="99"/>
      <c r="D120" s="102"/>
      <c r="E120" s="104"/>
      <c r="F120" s="104"/>
      <c r="G120" s="84" t="s">
        <v>66</v>
      </c>
      <c r="H120" s="83"/>
      <c r="I120" s="83"/>
      <c r="J120" s="83"/>
      <c r="K120" s="83"/>
      <c r="L120" s="83"/>
      <c r="M120" s="83"/>
      <c r="N120" s="83"/>
      <c r="O120" s="83">
        <v>3</v>
      </c>
      <c r="P120" s="83"/>
      <c r="Q120" s="83"/>
      <c r="R120" s="83"/>
      <c r="S120" s="83"/>
      <c r="T120" s="83">
        <f t="shared" ref="T120:T122" si="57">SUM(H120:S120)</f>
        <v>3</v>
      </c>
      <c r="U120" s="83" t="str">
        <f t="shared" si="35"/>
        <v>T8</v>
      </c>
      <c r="V120" s="83"/>
      <c r="W120" s="83"/>
      <c r="X120" s="83"/>
      <c r="Y120" s="83"/>
      <c r="Z120" s="83"/>
      <c r="AA120" s="83"/>
      <c r="AB120" s="83">
        <v>1</v>
      </c>
      <c r="AC120" s="83"/>
      <c r="AD120" s="83">
        <v>1</v>
      </c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>
        <v>1</v>
      </c>
      <c r="AV120" s="83"/>
      <c r="AW120" s="83"/>
      <c r="AX120" s="83"/>
      <c r="AY120" s="83"/>
      <c r="AZ120" s="83"/>
    </row>
    <row r="121" spans="1:52" s="78" customFormat="1" x14ac:dyDescent="0.25">
      <c r="A121" s="99"/>
      <c r="B121" s="99"/>
      <c r="C121" s="99"/>
      <c r="D121" s="102"/>
      <c r="E121" s="104"/>
      <c r="F121" s="104"/>
      <c r="G121" s="84" t="s">
        <v>66</v>
      </c>
      <c r="H121" s="83"/>
      <c r="I121" s="83"/>
      <c r="J121" s="83"/>
      <c r="K121" s="83"/>
      <c r="L121" s="83"/>
      <c r="M121" s="83"/>
      <c r="N121" s="83"/>
      <c r="O121" s="83"/>
      <c r="P121" s="83">
        <v>2</v>
      </c>
      <c r="Q121" s="83"/>
      <c r="R121" s="83"/>
      <c r="S121" s="83"/>
      <c r="T121" s="83">
        <f t="shared" si="57"/>
        <v>2</v>
      </c>
      <c r="U121" s="83" t="str">
        <f t="shared" si="35"/>
        <v>T9</v>
      </c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>
        <v>1</v>
      </c>
      <c r="AV121" s="83"/>
      <c r="AW121" s="83"/>
      <c r="AX121" s="83"/>
      <c r="AY121" s="83">
        <v>1</v>
      </c>
      <c r="AZ121" s="83"/>
    </row>
    <row r="122" spans="1:52" s="78" customFormat="1" x14ac:dyDescent="0.25">
      <c r="A122" s="99"/>
      <c r="B122" s="99"/>
      <c r="C122" s="99"/>
      <c r="D122" s="102"/>
      <c r="E122" s="104"/>
      <c r="F122" s="104"/>
      <c r="G122" s="84" t="s">
        <v>66</v>
      </c>
      <c r="H122" s="83"/>
      <c r="I122" s="83"/>
      <c r="J122" s="83"/>
      <c r="K122" s="83"/>
      <c r="L122" s="83"/>
      <c r="M122" s="83"/>
      <c r="N122" s="83"/>
      <c r="O122" s="83"/>
      <c r="P122" s="83"/>
      <c r="Q122" s="83">
        <v>2</v>
      </c>
      <c r="R122" s="83"/>
      <c r="S122" s="83"/>
      <c r="T122" s="83">
        <f t="shared" si="57"/>
        <v>2</v>
      </c>
      <c r="U122" s="83" t="str">
        <f t="shared" si="35"/>
        <v>T10</v>
      </c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>
        <v>1</v>
      </c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>
        <v>1</v>
      </c>
      <c r="AV122" s="83"/>
      <c r="AW122" s="83"/>
      <c r="AX122" s="83"/>
      <c r="AY122" s="83"/>
      <c r="AZ122" s="83"/>
    </row>
    <row r="123" spans="1:52" s="78" customFormat="1" x14ac:dyDescent="0.25">
      <c r="A123" s="99"/>
      <c r="B123" s="99"/>
      <c r="C123" s="99"/>
      <c r="D123" s="102"/>
      <c r="E123" s="104"/>
      <c r="F123" s="104"/>
      <c r="G123" s="84" t="s">
        <v>66</v>
      </c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>
        <v>2</v>
      </c>
      <c r="S123" s="83"/>
      <c r="T123" s="83">
        <f t="shared" ref="T123:T124" si="58">SUM(H123:S123)</f>
        <v>2</v>
      </c>
      <c r="U123" s="83" t="str">
        <f t="shared" si="35"/>
        <v>T11</v>
      </c>
      <c r="V123" s="83"/>
      <c r="W123" s="83">
        <v>1</v>
      </c>
      <c r="X123" s="83"/>
      <c r="Y123" s="83"/>
      <c r="Z123" s="83"/>
      <c r="AA123" s="83"/>
      <c r="AB123" s="83"/>
      <c r="AC123" s="83"/>
      <c r="AD123" s="83"/>
      <c r="AE123" s="83">
        <v>1</v>
      </c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</row>
    <row r="124" spans="1:52" s="78" customFormat="1" x14ac:dyDescent="0.25">
      <c r="A124" s="99"/>
      <c r="B124" s="99"/>
      <c r="C124" s="99"/>
      <c r="D124" s="102"/>
      <c r="E124" s="104"/>
      <c r="F124" s="104"/>
      <c r="G124" s="84" t="s">
        <v>66</v>
      </c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>
        <v>2</v>
      </c>
      <c r="T124" s="83">
        <f t="shared" si="58"/>
        <v>2</v>
      </c>
      <c r="U124" s="83" t="str">
        <f t="shared" si="35"/>
        <v>T12</v>
      </c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>
        <v>1</v>
      </c>
      <c r="AJ124" s="83"/>
      <c r="AK124" s="83"/>
      <c r="AL124" s="83"/>
      <c r="AM124" s="85">
        <v>1</v>
      </c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</row>
    <row r="125" spans="1:52" s="78" customFormat="1" x14ac:dyDescent="0.25">
      <c r="A125" s="76" t="s">
        <v>35</v>
      </c>
      <c r="B125" s="76"/>
      <c r="C125" s="76"/>
      <c r="D125" s="76"/>
      <c r="E125" s="77">
        <f t="shared" ref="E125:T125" si="59">SUM(E112:E124)</f>
        <v>13700</v>
      </c>
      <c r="F125" s="77">
        <f t="shared" si="59"/>
        <v>0</v>
      </c>
      <c r="G125" s="77">
        <f t="shared" si="59"/>
        <v>0</v>
      </c>
      <c r="H125" s="77">
        <f t="shared" si="59"/>
        <v>0</v>
      </c>
      <c r="I125" s="77">
        <f t="shared" si="59"/>
        <v>4</v>
      </c>
      <c r="J125" s="77">
        <f t="shared" si="59"/>
        <v>3</v>
      </c>
      <c r="K125" s="77">
        <f t="shared" si="59"/>
        <v>3</v>
      </c>
      <c r="L125" s="77">
        <f t="shared" si="59"/>
        <v>3</v>
      </c>
      <c r="M125" s="77">
        <f t="shared" si="59"/>
        <v>3</v>
      </c>
      <c r="N125" s="77">
        <f t="shared" si="59"/>
        <v>3</v>
      </c>
      <c r="O125" s="77">
        <f t="shared" si="59"/>
        <v>3</v>
      </c>
      <c r="P125" s="77">
        <f t="shared" si="59"/>
        <v>2</v>
      </c>
      <c r="Q125" s="77">
        <f t="shared" si="59"/>
        <v>2</v>
      </c>
      <c r="R125" s="77">
        <f t="shared" si="59"/>
        <v>2</v>
      </c>
      <c r="S125" s="77">
        <f t="shared" si="59"/>
        <v>2</v>
      </c>
      <c r="T125" s="77">
        <f t="shared" si="59"/>
        <v>30</v>
      </c>
      <c r="U125" s="77">
        <f t="array" ref="U125">SUM(ROUNDUP(H125:S125/6,0))</f>
        <v>11</v>
      </c>
      <c r="V125" s="77">
        <f>SUM(V112:V124)</f>
        <v>1</v>
      </c>
      <c r="W125" s="77">
        <f t="shared" ref="W125:AZ125" si="60">SUM(W112:W124)</f>
        <v>2</v>
      </c>
      <c r="X125" s="77">
        <f t="shared" si="60"/>
        <v>2</v>
      </c>
      <c r="Y125" s="77">
        <f t="shared" si="60"/>
        <v>2</v>
      </c>
      <c r="Z125" s="77">
        <f t="shared" si="60"/>
        <v>1</v>
      </c>
      <c r="AA125" s="77">
        <f t="shared" si="60"/>
        <v>1</v>
      </c>
      <c r="AB125" s="77">
        <f t="shared" si="60"/>
        <v>1</v>
      </c>
      <c r="AC125" s="77">
        <f t="shared" si="60"/>
        <v>0</v>
      </c>
      <c r="AD125" s="77">
        <f t="shared" si="60"/>
        <v>1</v>
      </c>
      <c r="AE125" s="77">
        <f t="shared" si="60"/>
        <v>1</v>
      </c>
      <c r="AF125" s="77">
        <f t="shared" si="60"/>
        <v>1</v>
      </c>
      <c r="AG125" s="77">
        <f t="shared" si="60"/>
        <v>1</v>
      </c>
      <c r="AH125" s="77">
        <f t="shared" si="60"/>
        <v>1</v>
      </c>
      <c r="AI125" s="77">
        <f t="shared" si="60"/>
        <v>1</v>
      </c>
      <c r="AJ125" s="77">
        <f t="shared" si="60"/>
        <v>1</v>
      </c>
      <c r="AK125" s="77">
        <f t="shared" si="60"/>
        <v>1</v>
      </c>
      <c r="AL125" s="77">
        <f t="shared" si="60"/>
        <v>1</v>
      </c>
      <c r="AM125" s="77">
        <f t="shared" si="60"/>
        <v>1</v>
      </c>
      <c r="AN125" s="77">
        <f t="shared" si="60"/>
        <v>0</v>
      </c>
      <c r="AO125" s="77">
        <f t="shared" si="60"/>
        <v>0</v>
      </c>
      <c r="AP125" s="77">
        <f t="shared" si="60"/>
        <v>0</v>
      </c>
      <c r="AQ125" s="77">
        <f t="shared" si="60"/>
        <v>0</v>
      </c>
      <c r="AR125" s="77">
        <f t="shared" si="60"/>
        <v>1</v>
      </c>
      <c r="AS125" s="77">
        <f t="shared" si="60"/>
        <v>1</v>
      </c>
      <c r="AT125" s="77">
        <f t="shared" si="60"/>
        <v>0</v>
      </c>
      <c r="AU125" s="77">
        <f t="shared" si="60"/>
        <v>6</v>
      </c>
      <c r="AV125" s="77">
        <f t="shared" si="60"/>
        <v>0</v>
      </c>
      <c r="AW125" s="77">
        <f t="shared" si="60"/>
        <v>0</v>
      </c>
      <c r="AX125" s="77">
        <f t="shared" si="60"/>
        <v>1</v>
      </c>
      <c r="AY125" s="77">
        <f t="shared" si="60"/>
        <v>1</v>
      </c>
      <c r="AZ125" s="77">
        <f t="shared" si="60"/>
        <v>0</v>
      </c>
    </row>
    <row r="126" spans="1:52" s="78" customFormat="1" x14ac:dyDescent="0.25">
      <c r="A126" s="98" t="s">
        <v>101</v>
      </c>
      <c r="B126" s="98" t="s">
        <v>115</v>
      </c>
      <c r="C126" s="98" t="s">
        <v>116</v>
      </c>
      <c r="D126" s="101" t="s">
        <v>65</v>
      </c>
      <c r="E126" s="103">
        <v>22200</v>
      </c>
      <c r="F126" s="103">
        <v>0</v>
      </c>
      <c r="G126" s="84" t="s">
        <v>67</v>
      </c>
      <c r="H126" s="83"/>
      <c r="I126" s="83">
        <v>1</v>
      </c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>
        <f t="shared" si="34"/>
        <v>1</v>
      </c>
      <c r="U126" s="83" t="str">
        <f t="shared" si="35"/>
        <v>T2</v>
      </c>
      <c r="V126" s="83">
        <v>1</v>
      </c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</row>
    <row r="127" spans="1:52" s="78" customFormat="1" x14ac:dyDescent="0.25">
      <c r="A127" s="99"/>
      <c r="B127" s="99"/>
      <c r="C127" s="99"/>
      <c r="D127" s="102"/>
      <c r="E127" s="104"/>
      <c r="F127" s="104"/>
      <c r="G127" s="84" t="s">
        <v>66</v>
      </c>
      <c r="H127" s="83"/>
      <c r="I127" s="83">
        <v>3</v>
      </c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>
        <f t="shared" si="34"/>
        <v>3</v>
      </c>
      <c r="U127" s="83" t="str">
        <f t="shared" si="35"/>
        <v>T2</v>
      </c>
      <c r="V127" s="83"/>
      <c r="W127" s="83"/>
      <c r="X127" s="83"/>
      <c r="Y127" s="83">
        <v>1</v>
      </c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>
        <v>1</v>
      </c>
      <c r="AU127" s="83"/>
      <c r="AV127" s="83"/>
      <c r="AW127" s="83">
        <v>1</v>
      </c>
      <c r="AX127" s="83"/>
      <c r="AY127" s="83"/>
      <c r="AZ127" s="83"/>
    </row>
    <row r="128" spans="1:52" s="78" customFormat="1" x14ac:dyDescent="0.25">
      <c r="A128" s="99"/>
      <c r="B128" s="99"/>
      <c r="C128" s="99"/>
      <c r="D128" s="102"/>
      <c r="E128" s="104"/>
      <c r="F128" s="104"/>
      <c r="G128" s="84" t="s">
        <v>66</v>
      </c>
      <c r="H128" s="83"/>
      <c r="I128" s="83"/>
      <c r="J128" s="83">
        <v>5</v>
      </c>
      <c r="K128" s="83"/>
      <c r="L128" s="83"/>
      <c r="M128" s="83"/>
      <c r="N128" s="83"/>
      <c r="O128" s="83"/>
      <c r="P128" s="83"/>
      <c r="Q128" s="83"/>
      <c r="R128" s="83"/>
      <c r="S128" s="83"/>
      <c r="T128" s="83">
        <f t="shared" ref="T128:T130" si="61">SUM(H128:S128)</f>
        <v>5</v>
      </c>
      <c r="U128" s="83" t="str">
        <f t="shared" ref="U128:U139" si="62">IF($T128=0,0,"T"&amp;MATCH($T128,$H128:$S128))</f>
        <v>T3</v>
      </c>
      <c r="V128" s="83"/>
      <c r="W128" s="83"/>
      <c r="X128" s="83"/>
      <c r="Y128" s="83"/>
      <c r="Z128" s="83">
        <v>1</v>
      </c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>
        <v>1</v>
      </c>
      <c r="AO128" s="83">
        <v>1</v>
      </c>
      <c r="AP128" s="83">
        <v>1</v>
      </c>
      <c r="AQ128" s="83">
        <v>1</v>
      </c>
      <c r="AR128" s="83"/>
      <c r="AS128" s="83"/>
      <c r="AT128" s="83"/>
      <c r="AU128" s="83"/>
      <c r="AV128" s="83"/>
      <c r="AW128" s="83"/>
      <c r="AX128" s="83"/>
      <c r="AY128" s="83"/>
      <c r="AZ128" s="83"/>
    </row>
    <row r="129" spans="1:52" s="78" customFormat="1" x14ac:dyDescent="0.25">
      <c r="A129" s="99"/>
      <c r="B129" s="99"/>
      <c r="C129" s="99"/>
      <c r="D129" s="102"/>
      <c r="E129" s="104"/>
      <c r="F129" s="104"/>
      <c r="G129" s="84" t="s">
        <v>66</v>
      </c>
      <c r="H129" s="83"/>
      <c r="I129" s="83"/>
      <c r="J129" s="83"/>
      <c r="K129" s="83">
        <v>5</v>
      </c>
      <c r="L129" s="83"/>
      <c r="M129" s="83"/>
      <c r="N129" s="83"/>
      <c r="O129" s="83"/>
      <c r="P129" s="83"/>
      <c r="Q129" s="83"/>
      <c r="R129" s="83"/>
      <c r="S129" s="83"/>
      <c r="T129" s="83">
        <f t="shared" si="61"/>
        <v>5</v>
      </c>
      <c r="U129" s="83" t="str">
        <f t="shared" si="62"/>
        <v>T4</v>
      </c>
      <c r="V129" s="83"/>
      <c r="W129" s="83"/>
      <c r="X129" s="83"/>
      <c r="Y129" s="83">
        <v>1</v>
      </c>
      <c r="Z129" s="83"/>
      <c r="AA129" s="83"/>
      <c r="AB129" s="83">
        <v>1</v>
      </c>
      <c r="AC129" s="83"/>
      <c r="AD129" s="83"/>
      <c r="AE129" s="83"/>
      <c r="AF129" s="83">
        <v>1</v>
      </c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>
        <v>1</v>
      </c>
      <c r="AV129" s="83"/>
      <c r="AW129" s="83"/>
      <c r="AX129" s="83">
        <v>1</v>
      </c>
      <c r="AY129" s="83"/>
      <c r="AZ129" s="83"/>
    </row>
    <row r="130" spans="1:52" s="78" customFormat="1" x14ac:dyDescent="0.25">
      <c r="A130" s="99"/>
      <c r="B130" s="99"/>
      <c r="C130" s="99"/>
      <c r="D130" s="102"/>
      <c r="E130" s="104"/>
      <c r="F130" s="104"/>
      <c r="G130" s="84" t="s">
        <v>66</v>
      </c>
      <c r="H130" s="83"/>
      <c r="I130" s="83"/>
      <c r="J130" s="83"/>
      <c r="K130" s="83"/>
      <c r="L130" s="83">
        <v>5</v>
      </c>
      <c r="M130" s="83"/>
      <c r="N130" s="83"/>
      <c r="O130" s="83"/>
      <c r="P130" s="83"/>
      <c r="Q130" s="83"/>
      <c r="R130" s="83"/>
      <c r="S130" s="83"/>
      <c r="T130" s="83">
        <f t="shared" si="61"/>
        <v>5</v>
      </c>
      <c r="U130" s="83" t="str">
        <f t="shared" si="62"/>
        <v>T5</v>
      </c>
      <c r="V130" s="83"/>
      <c r="W130" s="83"/>
      <c r="X130" s="83"/>
      <c r="Y130" s="83"/>
      <c r="Z130" s="83"/>
      <c r="AA130" s="83">
        <v>1</v>
      </c>
      <c r="AB130" s="83"/>
      <c r="AC130" s="83"/>
      <c r="AD130" s="83"/>
      <c r="AE130" s="83"/>
      <c r="AF130" s="83">
        <v>1</v>
      </c>
      <c r="AG130" s="83">
        <v>1</v>
      </c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>
        <v>1</v>
      </c>
      <c r="AV130" s="83"/>
      <c r="AW130" s="83">
        <v>1</v>
      </c>
      <c r="AX130" s="83"/>
      <c r="AY130" s="83"/>
      <c r="AZ130" s="83"/>
    </row>
    <row r="131" spans="1:52" s="78" customFormat="1" x14ac:dyDescent="0.25">
      <c r="A131" s="99"/>
      <c r="B131" s="99"/>
      <c r="C131" s="99"/>
      <c r="D131" s="102"/>
      <c r="E131" s="104"/>
      <c r="F131" s="104"/>
      <c r="G131" s="84" t="s">
        <v>67</v>
      </c>
      <c r="H131" s="83"/>
      <c r="I131" s="83"/>
      <c r="J131" s="83"/>
      <c r="K131" s="83"/>
      <c r="L131" s="83"/>
      <c r="M131" s="83">
        <v>1</v>
      </c>
      <c r="N131" s="83"/>
      <c r="O131" s="83"/>
      <c r="P131" s="83"/>
      <c r="Q131" s="83"/>
      <c r="R131" s="83"/>
      <c r="S131" s="83"/>
      <c r="T131" s="83">
        <f t="shared" ref="T131" si="63">SUM(H131:S131)</f>
        <v>1</v>
      </c>
      <c r="U131" s="83" t="str">
        <f t="shared" si="62"/>
        <v>T6</v>
      </c>
      <c r="V131" s="83"/>
      <c r="W131" s="83">
        <v>1</v>
      </c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</row>
    <row r="132" spans="1:52" s="78" customFormat="1" x14ac:dyDescent="0.25">
      <c r="A132" s="99"/>
      <c r="B132" s="99"/>
      <c r="C132" s="99"/>
      <c r="D132" s="102"/>
      <c r="E132" s="104"/>
      <c r="F132" s="104"/>
      <c r="G132" s="84" t="s">
        <v>66</v>
      </c>
      <c r="H132" s="83"/>
      <c r="I132" s="83"/>
      <c r="J132" s="83"/>
      <c r="K132" s="83"/>
      <c r="L132" s="83"/>
      <c r="M132" s="83">
        <v>4</v>
      </c>
      <c r="N132" s="83"/>
      <c r="O132" s="83"/>
      <c r="P132" s="83"/>
      <c r="Q132" s="83"/>
      <c r="R132" s="83"/>
      <c r="S132" s="83"/>
      <c r="T132" s="83">
        <f t="shared" ref="T132:T139" si="64">SUM(H132:S132)</f>
        <v>4</v>
      </c>
      <c r="U132" s="83" t="str">
        <f t="shared" si="62"/>
        <v>T6</v>
      </c>
      <c r="V132" s="83"/>
      <c r="W132" s="83"/>
      <c r="X132" s="83"/>
      <c r="Y132" s="83"/>
      <c r="Z132" s="83"/>
      <c r="AA132" s="83"/>
      <c r="AB132" s="83">
        <v>1</v>
      </c>
      <c r="AC132" s="83">
        <v>1</v>
      </c>
      <c r="AD132" s="83"/>
      <c r="AE132" s="83"/>
      <c r="AF132" s="83"/>
      <c r="AG132" s="83">
        <v>1</v>
      </c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>
        <v>1</v>
      </c>
      <c r="AV132" s="83"/>
      <c r="AW132" s="83"/>
      <c r="AX132" s="83"/>
      <c r="AY132" s="83"/>
      <c r="AZ132" s="83"/>
    </row>
    <row r="133" spans="1:52" s="78" customFormat="1" x14ac:dyDescent="0.25">
      <c r="A133" s="99"/>
      <c r="B133" s="99"/>
      <c r="C133" s="99"/>
      <c r="D133" s="102"/>
      <c r="E133" s="104"/>
      <c r="F133" s="104"/>
      <c r="G133" s="84" t="s">
        <v>66</v>
      </c>
      <c r="H133" s="83"/>
      <c r="I133" s="83"/>
      <c r="J133" s="83"/>
      <c r="K133" s="83"/>
      <c r="L133" s="83"/>
      <c r="M133" s="83"/>
      <c r="N133" s="83">
        <v>5</v>
      </c>
      <c r="O133" s="83"/>
      <c r="P133" s="83"/>
      <c r="Q133" s="83"/>
      <c r="R133" s="83"/>
      <c r="S133" s="83"/>
      <c r="T133" s="83">
        <f t="shared" si="64"/>
        <v>5</v>
      </c>
      <c r="U133" s="83" t="str">
        <f t="shared" si="62"/>
        <v>T7</v>
      </c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>
        <v>1</v>
      </c>
      <c r="AI133" s="83"/>
      <c r="AJ133" s="83">
        <v>1</v>
      </c>
      <c r="AK133" s="83">
        <v>1</v>
      </c>
      <c r="AL133" s="83">
        <v>1</v>
      </c>
      <c r="AM133" s="83"/>
      <c r="AN133" s="83"/>
      <c r="AO133" s="83"/>
      <c r="AP133" s="83"/>
      <c r="AQ133" s="83"/>
      <c r="AR133" s="83"/>
      <c r="AS133" s="83"/>
      <c r="AT133" s="83"/>
      <c r="AU133" s="83">
        <v>1</v>
      </c>
      <c r="AV133" s="83"/>
      <c r="AW133" s="83"/>
      <c r="AX133" s="83"/>
      <c r="AY133" s="83"/>
      <c r="AZ133" s="83"/>
    </row>
    <row r="134" spans="1:52" s="78" customFormat="1" x14ac:dyDescent="0.25">
      <c r="A134" s="99"/>
      <c r="B134" s="99"/>
      <c r="C134" s="99"/>
      <c r="D134" s="102"/>
      <c r="E134" s="104"/>
      <c r="F134" s="104"/>
      <c r="G134" s="84" t="s">
        <v>66</v>
      </c>
      <c r="H134" s="83"/>
      <c r="I134" s="83"/>
      <c r="J134" s="83"/>
      <c r="K134" s="83"/>
      <c r="L134" s="83"/>
      <c r="M134" s="83"/>
      <c r="N134" s="83"/>
      <c r="O134" s="83">
        <v>5</v>
      </c>
      <c r="P134" s="83"/>
      <c r="Q134" s="83"/>
      <c r="R134" s="83"/>
      <c r="S134" s="83"/>
      <c r="T134" s="83">
        <f t="shared" si="64"/>
        <v>5</v>
      </c>
      <c r="U134" s="83" t="str">
        <f t="shared" si="62"/>
        <v>T8</v>
      </c>
      <c r="V134" s="83"/>
      <c r="W134" s="83">
        <v>1</v>
      </c>
      <c r="X134" s="83"/>
      <c r="Y134" s="83"/>
      <c r="Z134" s="83"/>
      <c r="AA134" s="83"/>
      <c r="AB134" s="83"/>
      <c r="AC134" s="83"/>
      <c r="AD134" s="83"/>
      <c r="AE134" s="83">
        <v>1</v>
      </c>
      <c r="AF134" s="83"/>
      <c r="AG134" s="83"/>
      <c r="AH134" s="83"/>
      <c r="AI134" s="83">
        <v>1</v>
      </c>
      <c r="AJ134" s="83"/>
      <c r="AK134" s="83"/>
      <c r="AL134" s="83"/>
      <c r="AM134" s="83"/>
      <c r="AN134" s="83"/>
      <c r="AO134" s="83"/>
      <c r="AP134" s="83"/>
      <c r="AQ134" s="83"/>
      <c r="AR134" s="83"/>
      <c r="AS134" s="88">
        <v>1</v>
      </c>
      <c r="AT134" s="83">
        <v>1</v>
      </c>
      <c r="AU134" s="83"/>
      <c r="AV134" s="83"/>
      <c r="AW134" s="83"/>
      <c r="AX134" s="83"/>
      <c r="AY134" s="83"/>
      <c r="AZ134" s="83"/>
    </row>
    <row r="135" spans="1:52" s="78" customFormat="1" x14ac:dyDescent="0.25">
      <c r="A135" s="99"/>
      <c r="B135" s="99"/>
      <c r="C135" s="99"/>
      <c r="D135" s="102"/>
      <c r="E135" s="104"/>
      <c r="F135" s="104"/>
      <c r="G135" s="84" t="s">
        <v>67</v>
      </c>
      <c r="H135" s="83"/>
      <c r="I135" s="83"/>
      <c r="J135" s="83"/>
      <c r="K135" s="83"/>
      <c r="L135" s="83"/>
      <c r="M135" s="83"/>
      <c r="N135" s="83"/>
      <c r="O135" s="83"/>
      <c r="P135" s="83">
        <v>1</v>
      </c>
      <c r="Q135" s="83"/>
      <c r="R135" s="83"/>
      <c r="S135" s="83"/>
      <c r="T135" s="83">
        <f t="shared" si="64"/>
        <v>1</v>
      </c>
      <c r="U135" s="83" t="str">
        <f t="shared" si="62"/>
        <v>T9</v>
      </c>
      <c r="V135" s="83"/>
      <c r="W135" s="83"/>
      <c r="X135" s="83">
        <v>1</v>
      </c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</row>
    <row r="136" spans="1:52" s="78" customFormat="1" x14ac:dyDescent="0.25">
      <c r="A136" s="99"/>
      <c r="B136" s="99"/>
      <c r="C136" s="99"/>
      <c r="D136" s="102"/>
      <c r="E136" s="104"/>
      <c r="F136" s="104"/>
      <c r="G136" s="84" t="s">
        <v>66</v>
      </c>
      <c r="H136" s="83"/>
      <c r="I136" s="83"/>
      <c r="J136" s="83"/>
      <c r="K136" s="83"/>
      <c r="L136" s="83"/>
      <c r="M136" s="83"/>
      <c r="N136" s="83"/>
      <c r="O136" s="83"/>
      <c r="P136" s="83">
        <v>4</v>
      </c>
      <c r="Q136" s="83"/>
      <c r="R136" s="83"/>
      <c r="S136" s="83"/>
      <c r="T136" s="83">
        <f t="shared" si="64"/>
        <v>4</v>
      </c>
      <c r="U136" s="83" t="str">
        <f t="shared" si="62"/>
        <v>T9</v>
      </c>
      <c r="V136" s="83"/>
      <c r="W136" s="83"/>
      <c r="X136" s="83"/>
      <c r="Y136" s="83"/>
      <c r="Z136" s="83">
        <v>1</v>
      </c>
      <c r="AA136" s="83">
        <v>1</v>
      </c>
      <c r="AB136" s="83"/>
      <c r="AC136" s="83"/>
      <c r="AD136" s="83"/>
      <c r="AE136" s="83"/>
      <c r="AF136" s="83"/>
      <c r="AG136" s="83"/>
      <c r="AH136" s="83"/>
      <c r="AI136" s="83"/>
      <c r="AJ136" s="83">
        <v>1</v>
      </c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>
        <v>1</v>
      </c>
      <c r="AV136" s="83"/>
      <c r="AW136" s="83"/>
      <c r="AX136" s="83"/>
      <c r="AY136" s="83"/>
      <c r="AZ136" s="83"/>
    </row>
    <row r="137" spans="1:52" s="78" customFormat="1" x14ac:dyDescent="0.25">
      <c r="A137" s="99"/>
      <c r="B137" s="99"/>
      <c r="C137" s="99"/>
      <c r="D137" s="102"/>
      <c r="E137" s="104"/>
      <c r="F137" s="104"/>
      <c r="G137" s="84" t="s">
        <v>66</v>
      </c>
      <c r="H137" s="83"/>
      <c r="I137" s="83"/>
      <c r="J137" s="83"/>
      <c r="K137" s="83"/>
      <c r="L137" s="83"/>
      <c r="M137" s="83"/>
      <c r="N137" s="83"/>
      <c r="O137" s="83"/>
      <c r="P137" s="83"/>
      <c r="Q137" s="83">
        <v>4</v>
      </c>
      <c r="R137" s="83"/>
      <c r="S137" s="83"/>
      <c r="T137" s="83">
        <f t="shared" si="64"/>
        <v>4</v>
      </c>
      <c r="U137" s="83" t="str">
        <f t="shared" si="62"/>
        <v>T10</v>
      </c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>
        <v>1</v>
      </c>
      <c r="AJ137" s="83"/>
      <c r="AK137" s="83">
        <v>1</v>
      </c>
      <c r="AL137" s="83"/>
      <c r="AM137" s="83"/>
      <c r="AN137" s="83"/>
      <c r="AO137" s="83"/>
      <c r="AP137" s="83"/>
      <c r="AQ137" s="83"/>
      <c r="AR137" s="83"/>
      <c r="AS137" s="83"/>
      <c r="AT137" s="83"/>
      <c r="AU137" s="83">
        <v>1</v>
      </c>
      <c r="AV137" s="83"/>
      <c r="AW137" s="83"/>
      <c r="AX137" s="83"/>
      <c r="AY137" s="83"/>
      <c r="AZ137" s="83">
        <v>1</v>
      </c>
    </row>
    <row r="138" spans="1:52" s="78" customFormat="1" x14ac:dyDescent="0.25">
      <c r="A138" s="99"/>
      <c r="B138" s="99"/>
      <c r="C138" s="99"/>
      <c r="D138" s="102"/>
      <c r="E138" s="104"/>
      <c r="F138" s="104"/>
      <c r="G138" s="84" t="s">
        <v>66</v>
      </c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>
        <v>3</v>
      </c>
      <c r="S138" s="83"/>
      <c r="T138" s="83">
        <f t="shared" si="64"/>
        <v>3</v>
      </c>
      <c r="U138" s="83" t="str">
        <f t="shared" si="62"/>
        <v>T11</v>
      </c>
      <c r="V138" s="83"/>
      <c r="W138" s="83">
        <v>1</v>
      </c>
      <c r="X138" s="83">
        <v>1</v>
      </c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>
        <v>1</v>
      </c>
      <c r="AS138" s="83"/>
      <c r="AT138" s="83"/>
      <c r="AU138" s="83"/>
      <c r="AV138" s="83"/>
      <c r="AW138" s="83"/>
      <c r="AX138" s="83"/>
      <c r="AY138" s="83"/>
      <c r="AZ138" s="83"/>
    </row>
    <row r="139" spans="1:52" s="78" customFormat="1" x14ac:dyDescent="0.25">
      <c r="A139" s="99"/>
      <c r="B139" s="99"/>
      <c r="C139" s="99"/>
      <c r="D139" s="102"/>
      <c r="E139" s="104"/>
      <c r="F139" s="104"/>
      <c r="G139" s="84" t="s">
        <v>66</v>
      </c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>
        <v>3</v>
      </c>
      <c r="T139" s="83">
        <f t="shared" si="64"/>
        <v>3</v>
      </c>
      <c r="U139" s="83" t="str">
        <f t="shared" si="62"/>
        <v>T12</v>
      </c>
      <c r="V139" s="83"/>
      <c r="W139" s="83"/>
      <c r="X139" s="83">
        <v>1</v>
      </c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>
        <v>1</v>
      </c>
      <c r="AN139" s="83"/>
      <c r="AO139" s="83"/>
      <c r="AP139" s="83"/>
      <c r="AQ139" s="83"/>
      <c r="AR139" s="83"/>
      <c r="AS139" s="83"/>
      <c r="AT139" s="83"/>
      <c r="AU139" s="83">
        <v>1</v>
      </c>
      <c r="AV139" s="83"/>
      <c r="AW139" s="83"/>
      <c r="AX139" s="83"/>
      <c r="AY139" s="83"/>
      <c r="AZ139" s="83"/>
    </row>
  </sheetData>
  <autoFilter ref="A5:AZ139"/>
  <mergeCells count="120">
    <mergeCell ref="Z3:AA3"/>
    <mergeCell ref="AX3:AZ3"/>
    <mergeCell ref="AB3:AD3"/>
    <mergeCell ref="M3:M4"/>
    <mergeCell ref="N3:N4"/>
    <mergeCell ref="O3:O4"/>
    <mergeCell ref="G2:G4"/>
    <mergeCell ref="H2:T2"/>
    <mergeCell ref="P3:P4"/>
    <mergeCell ref="Q3:Q4"/>
    <mergeCell ref="R3:R4"/>
    <mergeCell ref="S3:S4"/>
    <mergeCell ref="A2:A4"/>
    <mergeCell ref="B2:B4"/>
    <mergeCell ref="D2:D4"/>
    <mergeCell ref="E2:F3"/>
    <mergeCell ref="C2:C4"/>
    <mergeCell ref="AZ4:AZ5"/>
    <mergeCell ref="T3:T4"/>
    <mergeCell ref="U2:U4"/>
    <mergeCell ref="H3:H4"/>
    <mergeCell ref="I3:I4"/>
    <mergeCell ref="J3:J4"/>
    <mergeCell ref="K3:K4"/>
    <mergeCell ref="L3:L4"/>
    <mergeCell ref="V2:AZ2"/>
    <mergeCell ref="AF3:AM3"/>
    <mergeCell ref="AN3:AT3"/>
    <mergeCell ref="F71:F77"/>
    <mergeCell ref="F79:F86"/>
    <mergeCell ref="B71:B77"/>
    <mergeCell ref="C71:C77"/>
    <mergeCell ref="D71:D77"/>
    <mergeCell ref="E71:E77"/>
    <mergeCell ref="E79:E86"/>
    <mergeCell ref="D79:D86"/>
    <mergeCell ref="C79:C86"/>
    <mergeCell ref="F6:F8"/>
    <mergeCell ref="F31:F36"/>
    <mergeCell ref="F67:F68"/>
    <mergeCell ref="A10:A15"/>
    <mergeCell ref="F10:F15"/>
    <mergeCell ref="A38:A47"/>
    <mergeCell ref="F38:F47"/>
    <mergeCell ref="A31:A36"/>
    <mergeCell ref="D6:D8"/>
    <mergeCell ref="C6:C8"/>
    <mergeCell ref="B6:B8"/>
    <mergeCell ref="B31:B36"/>
    <mergeCell ref="C31:C36"/>
    <mergeCell ref="D31:D36"/>
    <mergeCell ref="E31:E36"/>
    <mergeCell ref="D10:D15"/>
    <mergeCell ref="C10:C15"/>
    <mergeCell ref="B10:B15"/>
    <mergeCell ref="C126:C139"/>
    <mergeCell ref="A126:A139"/>
    <mergeCell ref="B126:B139"/>
    <mergeCell ref="A6:A8"/>
    <mergeCell ref="A67:A68"/>
    <mergeCell ref="A71:A77"/>
    <mergeCell ref="B79:B86"/>
    <mergeCell ref="A79:A86"/>
    <mergeCell ref="A89:A97"/>
    <mergeCell ref="B89:B97"/>
    <mergeCell ref="C89:C97"/>
    <mergeCell ref="A99:A110"/>
    <mergeCell ref="B99:B110"/>
    <mergeCell ref="F89:F97"/>
    <mergeCell ref="D99:D110"/>
    <mergeCell ref="E99:E110"/>
    <mergeCell ref="F99:F110"/>
    <mergeCell ref="D112:D124"/>
    <mergeCell ref="E112:E124"/>
    <mergeCell ref="F112:F124"/>
    <mergeCell ref="F126:F139"/>
    <mergeCell ref="F17:F21"/>
    <mergeCell ref="A49:A60"/>
    <mergeCell ref="D17:D21"/>
    <mergeCell ref="E17:E21"/>
    <mergeCell ref="E10:E15"/>
    <mergeCell ref="E38:E47"/>
    <mergeCell ref="D38:D47"/>
    <mergeCell ref="C38:C47"/>
    <mergeCell ref="B38:B47"/>
    <mergeCell ref="F49:F60"/>
    <mergeCell ref="A1:AZ1"/>
    <mergeCell ref="C99:C110"/>
    <mergeCell ref="A112:A124"/>
    <mergeCell ref="B112:B124"/>
    <mergeCell ref="C112:C124"/>
    <mergeCell ref="AU3:AW3"/>
    <mergeCell ref="A23:A28"/>
    <mergeCell ref="B23:B28"/>
    <mergeCell ref="C23:C28"/>
    <mergeCell ref="D23:D28"/>
    <mergeCell ref="E23:E28"/>
    <mergeCell ref="F23:F28"/>
    <mergeCell ref="E6:E8"/>
    <mergeCell ref="A17:A21"/>
    <mergeCell ref="B17:B21"/>
    <mergeCell ref="C17:C21"/>
    <mergeCell ref="B67:B68"/>
    <mergeCell ref="C67:C68"/>
    <mergeCell ref="D67:D68"/>
    <mergeCell ref="E67:E68"/>
    <mergeCell ref="D126:D139"/>
    <mergeCell ref="E126:E139"/>
    <mergeCell ref="D89:D97"/>
    <mergeCell ref="E89:E97"/>
    <mergeCell ref="A62:A65"/>
    <mergeCell ref="B62:B65"/>
    <mergeCell ref="C62:C65"/>
    <mergeCell ref="D62:D65"/>
    <mergeCell ref="E62:E65"/>
    <mergeCell ref="F62:F65"/>
    <mergeCell ref="B49:B60"/>
    <mergeCell ref="C49:C60"/>
    <mergeCell ref="D49:D60"/>
    <mergeCell ref="E49:E60"/>
  </mergeCells>
  <phoneticPr fontId="14" type="noConversion"/>
  <printOptions horizontalCentered="1"/>
  <pageMargins left="0" right="0" top="0" bottom="0" header="0" footer="0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AF932"/>
  <sheetViews>
    <sheetView showGridLines="0" showZeros="0" zoomScale="92" zoomScaleNormal="92" zoomScaleSheetLayoutView="90" workbookViewId="0">
      <pane xSplit="7" ySplit="2" topLeftCell="H12" activePane="bottomRight" state="frozen"/>
      <selection pane="topRight" activeCell="H1" sqref="H1"/>
      <selection pane="bottomLeft" activeCell="A6" sqref="A6"/>
      <selection pane="bottomRight" activeCell="D19" sqref="D19"/>
    </sheetView>
  </sheetViews>
  <sheetFormatPr defaultColWidth="8.85546875" defaultRowHeight="12" x14ac:dyDescent="0.25"/>
  <cols>
    <col min="1" max="1" width="12.7109375" style="4" customWidth="1"/>
    <col min="2" max="2" width="16.7109375" style="4" customWidth="1"/>
    <col min="3" max="3" width="8.42578125" style="6" customWidth="1"/>
    <col min="4" max="4" width="17.42578125" style="5" customWidth="1"/>
    <col min="5" max="6" width="8" style="7" customWidth="1"/>
    <col min="7" max="7" width="20" style="4" customWidth="1"/>
    <col min="8" max="22" width="5.28515625" style="4" customWidth="1"/>
    <col min="23" max="23" width="12" style="4" customWidth="1"/>
    <col min="24" max="29" width="5.28515625" style="4" customWidth="1"/>
    <col min="30" max="30" width="5.7109375" style="4" customWidth="1"/>
    <col min="31" max="31" width="9.28515625" style="4" customWidth="1"/>
    <col min="32" max="32" width="5.28515625" style="4" customWidth="1"/>
    <col min="33" max="35" width="8.85546875" style="4" customWidth="1"/>
    <col min="36" max="16384" width="8.85546875" style="4"/>
  </cols>
  <sheetData>
    <row r="1" spans="1:32" ht="18.75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6"/>
    </row>
    <row r="2" spans="1:32" s="58" customFormat="1" ht="131.25" x14ac:dyDescent="0.25">
      <c r="A2" s="50" t="s">
        <v>1</v>
      </c>
      <c r="B2" s="26" t="s">
        <v>2</v>
      </c>
      <c r="C2" s="26" t="s">
        <v>3</v>
      </c>
      <c r="D2" s="26" t="s">
        <v>4</v>
      </c>
      <c r="E2" s="51" t="s">
        <v>301</v>
      </c>
      <c r="F2" s="51" t="s">
        <v>302</v>
      </c>
      <c r="G2" s="26" t="s">
        <v>6</v>
      </c>
      <c r="H2" s="25" t="s">
        <v>7</v>
      </c>
      <c r="I2" s="52" t="s">
        <v>303</v>
      </c>
      <c r="J2" s="52" t="s">
        <v>304</v>
      </c>
      <c r="K2" s="52" t="s">
        <v>305</v>
      </c>
      <c r="L2" s="52" t="s">
        <v>306</v>
      </c>
      <c r="M2" s="52" t="s">
        <v>307</v>
      </c>
      <c r="N2" s="52" t="s">
        <v>308</v>
      </c>
      <c r="O2" s="52" t="s">
        <v>309</v>
      </c>
      <c r="P2" s="52" t="s">
        <v>310</v>
      </c>
      <c r="Q2" s="52" t="s">
        <v>311</v>
      </c>
      <c r="R2" s="52" t="s">
        <v>312</v>
      </c>
      <c r="S2" s="52" t="s">
        <v>313</v>
      </c>
      <c r="T2" s="52" t="s">
        <v>314</v>
      </c>
      <c r="U2" s="52" t="s">
        <v>315</v>
      </c>
      <c r="V2" s="52" t="s">
        <v>316</v>
      </c>
      <c r="W2" s="52" t="s">
        <v>317</v>
      </c>
      <c r="X2" s="52" t="s">
        <v>318</v>
      </c>
      <c r="Y2" s="52" t="s">
        <v>319</v>
      </c>
      <c r="Z2" s="52" t="s">
        <v>320</v>
      </c>
      <c r="AA2" s="52" t="s">
        <v>321</v>
      </c>
      <c r="AB2" s="52" t="s">
        <v>322</v>
      </c>
      <c r="AC2" s="52" t="s">
        <v>323</v>
      </c>
      <c r="AD2" s="52" t="s">
        <v>324</v>
      </c>
      <c r="AE2" s="52" t="s">
        <v>325</v>
      </c>
      <c r="AF2" s="53" t="s">
        <v>326</v>
      </c>
    </row>
    <row r="3" spans="1:32" s="9" customFormat="1" x14ac:dyDescent="0.25">
      <c r="A3" s="37" t="s">
        <v>327</v>
      </c>
      <c r="B3" s="13" t="s">
        <v>25</v>
      </c>
      <c r="C3" s="13" t="s">
        <v>26</v>
      </c>
      <c r="D3" s="13" t="s">
        <v>346</v>
      </c>
      <c r="E3" s="27">
        <v>50</v>
      </c>
      <c r="F3" s="27">
        <v>1950</v>
      </c>
      <c r="G3" s="13" t="s">
        <v>258</v>
      </c>
      <c r="H3" s="14" t="s">
        <v>265</v>
      </c>
      <c r="I3" s="14"/>
      <c r="J3" s="14">
        <v>1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44"/>
    </row>
    <row r="4" spans="1:32" s="9" customFormat="1" x14ac:dyDescent="0.25">
      <c r="A4" s="38" t="s">
        <v>327</v>
      </c>
      <c r="B4" s="15" t="s">
        <v>25</v>
      </c>
      <c r="C4" s="15" t="s">
        <v>26</v>
      </c>
      <c r="D4" s="15" t="s">
        <v>346</v>
      </c>
      <c r="E4" s="28"/>
      <c r="F4" s="28"/>
      <c r="G4" s="15" t="s">
        <v>258</v>
      </c>
      <c r="H4" s="17" t="s">
        <v>269</v>
      </c>
      <c r="I4" s="17"/>
      <c r="J4" s="17"/>
      <c r="K4" s="17"/>
      <c r="L4" s="17"/>
      <c r="M4" s="17"/>
      <c r="N4" s="17"/>
      <c r="O4" s="17">
        <v>1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45"/>
    </row>
    <row r="5" spans="1:32" s="9" customFormat="1" x14ac:dyDescent="0.25">
      <c r="A5" s="38" t="s">
        <v>327</v>
      </c>
      <c r="B5" s="15" t="s">
        <v>25</v>
      </c>
      <c r="C5" s="15" t="s">
        <v>26</v>
      </c>
      <c r="D5" s="15" t="s">
        <v>346</v>
      </c>
      <c r="E5" s="28"/>
      <c r="F5" s="28"/>
      <c r="G5" s="15" t="s">
        <v>30</v>
      </c>
      <c r="H5" s="17" t="s">
        <v>261</v>
      </c>
      <c r="I5" s="17"/>
      <c r="J5" s="17">
        <v>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45">
        <v>1</v>
      </c>
    </row>
    <row r="6" spans="1:32" s="9" customFormat="1" x14ac:dyDescent="0.25">
      <c r="A6" s="38" t="s">
        <v>327</v>
      </c>
      <c r="B6" s="15" t="s">
        <v>25</v>
      </c>
      <c r="C6" s="15" t="s">
        <v>26</v>
      </c>
      <c r="D6" s="15" t="s">
        <v>346</v>
      </c>
      <c r="E6" s="28"/>
      <c r="F6" s="28"/>
      <c r="G6" s="15" t="s">
        <v>30</v>
      </c>
      <c r="H6" s="17" t="s">
        <v>265</v>
      </c>
      <c r="I6" s="17"/>
      <c r="J6" s="17">
        <v>1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>
        <v>1</v>
      </c>
      <c r="AE6" s="17"/>
      <c r="AF6" s="45"/>
    </row>
    <row r="7" spans="1:32" s="9" customFormat="1" x14ac:dyDescent="0.25">
      <c r="A7" s="38" t="s">
        <v>327</v>
      </c>
      <c r="B7" s="15" t="s">
        <v>25</v>
      </c>
      <c r="C7" s="15" t="s">
        <v>26</v>
      </c>
      <c r="D7" s="15" t="s">
        <v>346</v>
      </c>
      <c r="E7" s="28"/>
      <c r="F7" s="28"/>
      <c r="G7" s="15" t="s">
        <v>30</v>
      </c>
      <c r="H7" s="17" t="s">
        <v>267</v>
      </c>
      <c r="I7" s="17"/>
      <c r="J7" s="17"/>
      <c r="K7" s="17"/>
      <c r="L7" s="17"/>
      <c r="M7" s="17">
        <v>1</v>
      </c>
      <c r="N7" s="17"/>
      <c r="O7" s="17">
        <v>1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45"/>
    </row>
    <row r="8" spans="1:32" s="9" customFormat="1" x14ac:dyDescent="0.25">
      <c r="A8" s="38" t="s">
        <v>327</v>
      </c>
      <c r="B8" s="15" t="s">
        <v>25</v>
      </c>
      <c r="C8" s="15" t="s">
        <v>26</v>
      </c>
      <c r="D8" s="15" t="s">
        <v>346</v>
      </c>
      <c r="E8" s="28"/>
      <c r="F8" s="28"/>
      <c r="G8" s="15" t="s">
        <v>30</v>
      </c>
      <c r="H8" s="17" t="s">
        <v>269</v>
      </c>
      <c r="I8" s="17"/>
      <c r="J8" s="17"/>
      <c r="K8" s="17"/>
      <c r="L8" s="17"/>
      <c r="M8" s="17"/>
      <c r="N8" s="17">
        <v>1</v>
      </c>
      <c r="O8" s="17">
        <v>1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45"/>
    </row>
    <row r="9" spans="1:32" s="9" customFormat="1" x14ac:dyDescent="0.25">
      <c r="A9" s="38" t="s">
        <v>327</v>
      </c>
      <c r="B9" s="15" t="s">
        <v>25</v>
      </c>
      <c r="C9" s="15" t="s">
        <v>26</v>
      </c>
      <c r="D9" s="15" t="s">
        <v>346</v>
      </c>
      <c r="E9" s="28"/>
      <c r="F9" s="28"/>
      <c r="G9" s="15" t="s">
        <v>30</v>
      </c>
      <c r="H9" s="17" t="s">
        <v>272</v>
      </c>
      <c r="I9" s="17"/>
      <c r="J9" s="17">
        <v>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45">
        <v>1</v>
      </c>
    </row>
    <row r="10" spans="1:32" s="9" customFormat="1" x14ac:dyDescent="0.25">
      <c r="A10" s="38" t="s">
        <v>327</v>
      </c>
      <c r="B10" s="15" t="s">
        <v>25</v>
      </c>
      <c r="C10" s="15" t="s">
        <v>26</v>
      </c>
      <c r="D10" s="15" t="s">
        <v>346</v>
      </c>
      <c r="E10" s="28"/>
      <c r="F10" s="28"/>
      <c r="G10" s="15" t="s">
        <v>30</v>
      </c>
      <c r="H10" s="17" t="s">
        <v>273</v>
      </c>
      <c r="I10" s="17"/>
      <c r="J10" s="17"/>
      <c r="K10" s="17"/>
      <c r="L10" s="17"/>
      <c r="M10" s="17"/>
      <c r="N10" s="17"/>
      <c r="O10" s="17"/>
      <c r="P10" s="17">
        <v>1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45"/>
    </row>
    <row r="11" spans="1:32" s="9" customFormat="1" x14ac:dyDescent="0.25">
      <c r="A11" s="38" t="s">
        <v>327</v>
      </c>
      <c r="B11" s="15" t="s">
        <v>25</v>
      </c>
      <c r="C11" s="15" t="s">
        <v>26</v>
      </c>
      <c r="D11" s="15" t="s">
        <v>346</v>
      </c>
      <c r="E11" s="28"/>
      <c r="F11" s="28"/>
      <c r="G11" s="15" t="s">
        <v>30</v>
      </c>
      <c r="H11" s="17" t="s">
        <v>274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>
        <v>1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45"/>
    </row>
    <row r="12" spans="1:32" s="9" customFormat="1" x14ac:dyDescent="0.25">
      <c r="A12" s="38" t="s">
        <v>327</v>
      </c>
      <c r="B12" s="15" t="s">
        <v>25</v>
      </c>
      <c r="C12" s="15" t="s">
        <v>26</v>
      </c>
      <c r="D12" s="15" t="s">
        <v>346</v>
      </c>
      <c r="E12" s="28"/>
      <c r="F12" s="28"/>
      <c r="G12" s="15" t="s">
        <v>30</v>
      </c>
      <c r="H12" s="17" t="s">
        <v>275</v>
      </c>
      <c r="I12" s="17"/>
      <c r="J12" s="17"/>
      <c r="K12" s="17"/>
      <c r="L12" s="17"/>
      <c r="M12" s="17"/>
      <c r="N12" s="17"/>
      <c r="O12" s="17">
        <v>1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45"/>
    </row>
    <row r="13" spans="1:32" s="9" customFormat="1" x14ac:dyDescent="0.25">
      <c r="A13" s="38" t="s">
        <v>327</v>
      </c>
      <c r="B13" s="15" t="s">
        <v>25</v>
      </c>
      <c r="C13" s="15" t="s">
        <v>26</v>
      </c>
      <c r="D13" s="15" t="s">
        <v>346</v>
      </c>
      <c r="E13" s="28"/>
      <c r="F13" s="28"/>
      <c r="G13" s="15" t="s">
        <v>30</v>
      </c>
      <c r="H13" s="17" t="s">
        <v>276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>
        <v>1</v>
      </c>
      <c r="AE13" s="17"/>
      <c r="AF13" s="45"/>
    </row>
    <row r="14" spans="1:32" s="9" customFormat="1" x14ac:dyDescent="0.25">
      <c r="A14" s="38" t="s">
        <v>327</v>
      </c>
      <c r="B14" s="15" t="s">
        <v>25</v>
      </c>
      <c r="C14" s="15" t="s">
        <v>26</v>
      </c>
      <c r="D14" s="15" t="s">
        <v>347</v>
      </c>
      <c r="E14" s="28">
        <v>8000</v>
      </c>
      <c r="F14" s="28">
        <v>0</v>
      </c>
      <c r="G14" s="15" t="s">
        <v>256</v>
      </c>
      <c r="H14" s="17" t="s">
        <v>261</v>
      </c>
      <c r="I14" s="17"/>
      <c r="J14" s="17">
        <v>1</v>
      </c>
      <c r="K14" s="17"/>
      <c r="L14" s="17">
        <v>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45"/>
    </row>
    <row r="15" spans="1:32" s="9" customFormat="1" x14ac:dyDescent="0.25">
      <c r="A15" s="38" t="s">
        <v>327</v>
      </c>
      <c r="B15" s="15" t="s">
        <v>25</v>
      </c>
      <c r="C15" s="15" t="s">
        <v>26</v>
      </c>
      <c r="D15" s="15" t="s">
        <v>347</v>
      </c>
      <c r="E15" s="28"/>
      <c r="F15" s="28"/>
      <c r="G15" s="15" t="s">
        <v>256</v>
      </c>
      <c r="H15" s="17" t="s">
        <v>265</v>
      </c>
      <c r="I15" s="17"/>
      <c r="J15" s="17">
        <v>1</v>
      </c>
      <c r="K15" s="17">
        <v>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45"/>
    </row>
    <row r="16" spans="1:32" s="9" customFormat="1" ht="24" x14ac:dyDescent="0.25">
      <c r="A16" s="38" t="s">
        <v>327</v>
      </c>
      <c r="B16" s="15" t="s">
        <v>25</v>
      </c>
      <c r="C16" s="15" t="s">
        <v>26</v>
      </c>
      <c r="D16" s="15" t="s">
        <v>347</v>
      </c>
      <c r="E16" s="28"/>
      <c r="F16" s="28"/>
      <c r="G16" s="15" t="s">
        <v>257</v>
      </c>
      <c r="H16" s="17" t="s">
        <v>265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>
        <v>1</v>
      </c>
      <c r="AB16" s="17"/>
      <c r="AC16" s="17">
        <v>1</v>
      </c>
      <c r="AD16" s="17"/>
      <c r="AE16" s="17"/>
      <c r="AF16" s="45"/>
    </row>
    <row r="17" spans="1:32" s="9" customFormat="1" ht="24" x14ac:dyDescent="0.25">
      <c r="A17" s="38" t="s">
        <v>327</v>
      </c>
      <c r="B17" s="15" t="s">
        <v>25</v>
      </c>
      <c r="C17" s="15" t="s">
        <v>26</v>
      </c>
      <c r="D17" s="15" t="s">
        <v>347</v>
      </c>
      <c r="E17" s="28"/>
      <c r="F17" s="28"/>
      <c r="G17" s="15" t="s">
        <v>257</v>
      </c>
      <c r="H17" s="17" t="s">
        <v>267</v>
      </c>
      <c r="I17" s="17"/>
      <c r="J17" s="17"/>
      <c r="K17" s="17"/>
      <c r="L17" s="17"/>
      <c r="M17" s="17">
        <v>1</v>
      </c>
      <c r="N17" s="17">
        <v>1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45"/>
    </row>
    <row r="18" spans="1:32" s="9" customFormat="1" ht="24" x14ac:dyDescent="0.25">
      <c r="A18" s="38" t="s">
        <v>327</v>
      </c>
      <c r="B18" s="15" t="s">
        <v>25</v>
      </c>
      <c r="C18" s="15" t="s">
        <v>26</v>
      </c>
      <c r="D18" s="15" t="s">
        <v>347</v>
      </c>
      <c r="E18" s="28"/>
      <c r="F18" s="28"/>
      <c r="G18" s="15" t="s">
        <v>257</v>
      </c>
      <c r="H18" s="17" t="s">
        <v>269</v>
      </c>
      <c r="I18" s="17"/>
      <c r="J18" s="17"/>
      <c r="K18" s="17">
        <v>1</v>
      </c>
      <c r="L18" s="17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45"/>
    </row>
    <row r="19" spans="1:32" s="9" customFormat="1" ht="24" x14ac:dyDescent="0.25">
      <c r="A19" s="38" t="s">
        <v>327</v>
      </c>
      <c r="B19" s="15" t="s">
        <v>25</v>
      </c>
      <c r="C19" s="15" t="s">
        <v>26</v>
      </c>
      <c r="D19" s="15" t="s">
        <v>347</v>
      </c>
      <c r="E19" s="28"/>
      <c r="F19" s="28"/>
      <c r="G19" s="15" t="s">
        <v>257</v>
      </c>
      <c r="H19" s="17" t="s">
        <v>272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>
        <v>1</v>
      </c>
      <c r="X19" s="17">
        <v>1</v>
      </c>
      <c r="Y19" s="17"/>
      <c r="Z19" s="17"/>
      <c r="AA19" s="17"/>
      <c r="AB19" s="17"/>
      <c r="AC19" s="17"/>
      <c r="AD19" s="17"/>
      <c r="AE19" s="17"/>
      <c r="AF19" s="45"/>
    </row>
    <row r="20" spans="1:32" s="9" customFormat="1" ht="24" x14ac:dyDescent="0.25">
      <c r="A20" s="38" t="s">
        <v>327</v>
      </c>
      <c r="B20" s="15" t="s">
        <v>25</v>
      </c>
      <c r="C20" s="15" t="s">
        <v>26</v>
      </c>
      <c r="D20" s="15" t="s">
        <v>347</v>
      </c>
      <c r="E20" s="28"/>
      <c r="F20" s="28"/>
      <c r="G20" s="15" t="s">
        <v>257</v>
      </c>
      <c r="H20" s="17" t="s">
        <v>273</v>
      </c>
      <c r="I20" s="17"/>
      <c r="J20" s="17"/>
      <c r="K20" s="17"/>
      <c r="L20" s="17"/>
      <c r="M20" s="17"/>
      <c r="N20" s="17"/>
      <c r="O20" s="17"/>
      <c r="P20" s="17"/>
      <c r="Q20" s="17"/>
      <c r="R20" s="17">
        <v>1</v>
      </c>
      <c r="S20" s="17">
        <v>1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45"/>
    </row>
    <row r="21" spans="1:32" s="9" customFormat="1" ht="24" x14ac:dyDescent="0.25">
      <c r="A21" s="38" t="s">
        <v>327</v>
      </c>
      <c r="B21" s="15" t="s">
        <v>25</v>
      </c>
      <c r="C21" s="15" t="s">
        <v>26</v>
      </c>
      <c r="D21" s="15" t="s">
        <v>347</v>
      </c>
      <c r="E21" s="28"/>
      <c r="F21" s="28"/>
      <c r="G21" s="15" t="s">
        <v>257</v>
      </c>
      <c r="H21" s="17" t="s">
        <v>274</v>
      </c>
      <c r="I21" s="17"/>
      <c r="J21" s="17"/>
      <c r="K21" s="17"/>
      <c r="L21" s="17"/>
      <c r="M21" s="17"/>
      <c r="N21" s="17"/>
      <c r="O21" s="17">
        <v>1</v>
      </c>
      <c r="P21" s="17">
        <v>1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45"/>
    </row>
    <row r="22" spans="1:32" s="9" customFormat="1" ht="24" x14ac:dyDescent="0.25">
      <c r="A22" s="38" t="s">
        <v>327</v>
      </c>
      <c r="B22" s="15" t="s">
        <v>25</v>
      </c>
      <c r="C22" s="15" t="s">
        <v>26</v>
      </c>
      <c r="D22" s="15" t="s">
        <v>347</v>
      </c>
      <c r="E22" s="28"/>
      <c r="F22" s="28"/>
      <c r="G22" s="15" t="s">
        <v>257</v>
      </c>
      <c r="H22" s="17" t="s">
        <v>275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>
        <v>1</v>
      </c>
      <c r="U22" s="17"/>
      <c r="V22" s="17"/>
      <c r="W22" s="17"/>
      <c r="X22" s="17"/>
      <c r="Y22" s="17"/>
      <c r="Z22" s="17"/>
      <c r="AA22" s="17"/>
      <c r="AB22" s="17"/>
      <c r="AC22" s="17"/>
      <c r="AD22" s="17">
        <v>1</v>
      </c>
      <c r="AE22" s="17"/>
      <c r="AF22" s="45"/>
    </row>
    <row r="23" spans="1:32" s="9" customFormat="1" ht="24" x14ac:dyDescent="0.25">
      <c r="A23" s="38" t="s">
        <v>327</v>
      </c>
      <c r="B23" s="15" t="s">
        <v>25</v>
      </c>
      <c r="C23" s="15" t="s">
        <v>26</v>
      </c>
      <c r="D23" s="15" t="s">
        <v>347</v>
      </c>
      <c r="E23" s="28"/>
      <c r="F23" s="28"/>
      <c r="G23" s="15" t="s">
        <v>257</v>
      </c>
      <c r="H23" s="17" t="s">
        <v>276</v>
      </c>
      <c r="I23" s="17"/>
      <c r="J23" s="17"/>
      <c r="K23" s="17"/>
      <c r="L23" s="17"/>
      <c r="M23" s="17"/>
      <c r="N23" s="17"/>
      <c r="O23" s="17"/>
      <c r="P23" s="17"/>
      <c r="Q23" s="17">
        <v>1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5"/>
    </row>
    <row r="24" spans="1:32" s="8" customFormat="1" ht="24" x14ac:dyDescent="0.25">
      <c r="A24" s="38" t="s">
        <v>327</v>
      </c>
      <c r="B24" s="15" t="s">
        <v>36</v>
      </c>
      <c r="C24" s="15" t="s">
        <v>37</v>
      </c>
      <c r="D24" s="15" t="s">
        <v>347</v>
      </c>
      <c r="E24" s="28">
        <v>1500</v>
      </c>
      <c r="F24" s="28">
        <v>0</v>
      </c>
      <c r="G24" s="15" t="s">
        <v>257</v>
      </c>
      <c r="H24" s="17" t="s">
        <v>261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>
        <v>1</v>
      </c>
      <c r="AB24" s="18"/>
      <c r="AC24" s="18"/>
      <c r="AD24" s="18"/>
      <c r="AE24" s="18"/>
      <c r="AF24" s="46"/>
    </row>
    <row r="25" spans="1:32" s="8" customFormat="1" ht="24" x14ac:dyDescent="0.25">
      <c r="A25" s="38" t="s">
        <v>327</v>
      </c>
      <c r="B25" s="15" t="s">
        <v>36</v>
      </c>
      <c r="C25" s="15" t="s">
        <v>37</v>
      </c>
      <c r="D25" s="15" t="s">
        <v>347</v>
      </c>
      <c r="E25" s="28"/>
      <c r="F25" s="28"/>
      <c r="G25" s="15" t="s">
        <v>257</v>
      </c>
      <c r="H25" s="17" t="s">
        <v>267</v>
      </c>
      <c r="I25" s="18"/>
      <c r="J25" s="18"/>
      <c r="K25" s="18"/>
      <c r="L25" s="18"/>
      <c r="M25" s="18"/>
      <c r="N25" s="18"/>
      <c r="O25" s="18">
        <v>1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46"/>
    </row>
    <row r="26" spans="1:32" s="8" customFormat="1" ht="24" x14ac:dyDescent="0.25">
      <c r="A26" s="38" t="s">
        <v>327</v>
      </c>
      <c r="B26" s="15" t="s">
        <v>36</v>
      </c>
      <c r="C26" s="15" t="s">
        <v>37</v>
      </c>
      <c r="D26" s="15" t="s">
        <v>347</v>
      </c>
      <c r="E26" s="28"/>
      <c r="F26" s="28"/>
      <c r="G26" s="15" t="s">
        <v>257</v>
      </c>
      <c r="H26" s="17" t="s">
        <v>272</v>
      </c>
      <c r="I26" s="18"/>
      <c r="J26" s="18"/>
      <c r="K26" s="18"/>
      <c r="L26" s="18"/>
      <c r="M26" s="18"/>
      <c r="N26" s="18"/>
      <c r="O26" s="18"/>
      <c r="P26" s="18">
        <v>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46"/>
    </row>
    <row r="27" spans="1:32" s="8" customFormat="1" ht="24" x14ac:dyDescent="0.25">
      <c r="A27" s="38" t="s">
        <v>327</v>
      </c>
      <c r="B27" s="15" t="s">
        <v>36</v>
      </c>
      <c r="C27" s="15" t="s">
        <v>37</v>
      </c>
      <c r="D27" s="15" t="s">
        <v>347</v>
      </c>
      <c r="E27" s="28"/>
      <c r="F27" s="28"/>
      <c r="G27" s="15" t="s">
        <v>257</v>
      </c>
      <c r="H27" s="17" t="s">
        <v>274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v>1</v>
      </c>
      <c r="AD27" s="18"/>
      <c r="AE27" s="18"/>
      <c r="AF27" s="46"/>
    </row>
    <row r="28" spans="1:32" s="8" customFormat="1" x14ac:dyDescent="0.25">
      <c r="A28" s="39" t="s">
        <v>328</v>
      </c>
      <c r="B28" s="2" t="s">
        <v>39</v>
      </c>
      <c r="C28" s="2" t="s">
        <v>40</v>
      </c>
      <c r="D28" s="15" t="s">
        <v>347</v>
      </c>
      <c r="E28" s="28">
        <v>2900</v>
      </c>
      <c r="F28" s="28">
        <v>0</v>
      </c>
      <c r="G28" s="15" t="s">
        <v>256</v>
      </c>
      <c r="H28" s="17" t="s">
        <v>265</v>
      </c>
      <c r="I28" s="18"/>
      <c r="J28" s="18">
        <v>1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46"/>
    </row>
    <row r="29" spans="1:32" s="8" customFormat="1" ht="24" x14ac:dyDescent="0.25">
      <c r="A29" s="39" t="s">
        <v>328</v>
      </c>
      <c r="B29" s="2" t="s">
        <v>39</v>
      </c>
      <c r="C29" s="2" t="s">
        <v>40</v>
      </c>
      <c r="D29" s="15" t="s">
        <v>347</v>
      </c>
      <c r="E29" s="28"/>
      <c r="F29" s="28"/>
      <c r="G29" s="15" t="s">
        <v>257</v>
      </c>
      <c r="H29" s="17" t="s">
        <v>267</v>
      </c>
      <c r="I29" s="18"/>
      <c r="J29" s="18"/>
      <c r="K29" s="18">
        <v>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46"/>
    </row>
    <row r="30" spans="1:32" s="8" customFormat="1" ht="24" x14ac:dyDescent="0.25">
      <c r="A30" s="39" t="s">
        <v>328</v>
      </c>
      <c r="B30" s="2" t="s">
        <v>39</v>
      </c>
      <c r="C30" s="2" t="s">
        <v>40</v>
      </c>
      <c r="D30" s="15" t="s">
        <v>347</v>
      </c>
      <c r="E30" s="28"/>
      <c r="F30" s="28"/>
      <c r="G30" s="15" t="s">
        <v>257</v>
      </c>
      <c r="H30" s="17" t="s">
        <v>269</v>
      </c>
      <c r="I30" s="18"/>
      <c r="J30" s="18"/>
      <c r="K30" s="18"/>
      <c r="L30" s="18"/>
      <c r="M30" s="18"/>
      <c r="N30" s="18"/>
      <c r="O30" s="18">
        <v>1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46"/>
    </row>
    <row r="31" spans="1:32" s="8" customFormat="1" ht="24" x14ac:dyDescent="0.25">
      <c r="A31" s="39" t="s">
        <v>328</v>
      </c>
      <c r="B31" s="2" t="s">
        <v>39</v>
      </c>
      <c r="C31" s="2" t="s">
        <v>40</v>
      </c>
      <c r="D31" s="15" t="s">
        <v>347</v>
      </c>
      <c r="E31" s="28"/>
      <c r="F31" s="28"/>
      <c r="G31" s="15" t="s">
        <v>257</v>
      </c>
      <c r="H31" s="17" t="s">
        <v>272</v>
      </c>
      <c r="I31" s="18"/>
      <c r="J31" s="18"/>
      <c r="K31" s="18"/>
      <c r="L31" s="18">
        <v>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46"/>
    </row>
    <row r="32" spans="1:32" s="8" customFormat="1" ht="24" x14ac:dyDescent="0.25">
      <c r="A32" s="39" t="s">
        <v>328</v>
      </c>
      <c r="B32" s="2" t="s">
        <v>39</v>
      </c>
      <c r="C32" s="2" t="s">
        <v>40</v>
      </c>
      <c r="D32" s="15" t="s">
        <v>347</v>
      </c>
      <c r="E32" s="28"/>
      <c r="F32" s="28"/>
      <c r="G32" s="15" t="s">
        <v>257</v>
      </c>
      <c r="H32" s="17" t="s">
        <v>273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>
        <v>1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46"/>
    </row>
    <row r="33" spans="1:32" s="8" customFormat="1" ht="24" x14ac:dyDescent="0.25">
      <c r="A33" s="39" t="s">
        <v>328</v>
      </c>
      <c r="B33" s="2" t="s">
        <v>39</v>
      </c>
      <c r="C33" s="2" t="s">
        <v>40</v>
      </c>
      <c r="D33" s="15" t="s">
        <v>347</v>
      </c>
      <c r="E33" s="28"/>
      <c r="F33" s="28"/>
      <c r="G33" s="15" t="s">
        <v>257</v>
      </c>
      <c r="H33" s="17" t="s">
        <v>274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>
        <v>1</v>
      </c>
      <c r="W33" s="18"/>
      <c r="X33" s="18"/>
      <c r="Y33" s="18"/>
      <c r="Z33" s="18"/>
      <c r="AA33" s="18"/>
      <c r="AB33" s="18"/>
      <c r="AC33" s="18"/>
      <c r="AD33" s="18"/>
      <c r="AE33" s="18"/>
      <c r="AF33" s="46"/>
    </row>
    <row r="34" spans="1:32" s="8" customFormat="1" ht="24" x14ac:dyDescent="0.25">
      <c r="A34" s="39" t="s">
        <v>328</v>
      </c>
      <c r="B34" s="2" t="s">
        <v>39</v>
      </c>
      <c r="C34" s="2" t="s">
        <v>40</v>
      </c>
      <c r="D34" s="15" t="s">
        <v>347</v>
      </c>
      <c r="E34" s="28"/>
      <c r="F34" s="28"/>
      <c r="G34" s="15" t="s">
        <v>257</v>
      </c>
      <c r="H34" s="17" t="s">
        <v>275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>
        <v>1</v>
      </c>
      <c r="AB34" s="18"/>
      <c r="AC34" s="18"/>
      <c r="AD34" s="18"/>
      <c r="AE34" s="18"/>
      <c r="AF34" s="46"/>
    </row>
    <row r="35" spans="1:32" s="8" customFormat="1" x14ac:dyDescent="0.25">
      <c r="A35" s="39" t="s">
        <v>328</v>
      </c>
      <c r="B35" s="15" t="s">
        <v>266</v>
      </c>
      <c r="C35" s="2" t="s">
        <v>41</v>
      </c>
      <c r="D35" s="15" t="s">
        <v>347</v>
      </c>
      <c r="E35" s="28">
        <v>1900</v>
      </c>
      <c r="F35" s="28">
        <v>0</v>
      </c>
      <c r="G35" s="15" t="s">
        <v>256</v>
      </c>
      <c r="H35" s="17" t="s">
        <v>265</v>
      </c>
      <c r="I35" s="18"/>
      <c r="J35" s="18"/>
      <c r="K35" s="18">
        <v>1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46"/>
    </row>
    <row r="36" spans="1:32" s="8" customFormat="1" ht="24" x14ac:dyDescent="0.25">
      <c r="A36" s="39" t="s">
        <v>328</v>
      </c>
      <c r="B36" s="15" t="s">
        <v>266</v>
      </c>
      <c r="C36" s="2" t="s">
        <v>41</v>
      </c>
      <c r="D36" s="15" t="s">
        <v>347</v>
      </c>
      <c r="E36" s="28"/>
      <c r="F36" s="28"/>
      <c r="G36" s="15" t="s">
        <v>257</v>
      </c>
      <c r="H36" s="17" t="s">
        <v>267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>
        <v>1</v>
      </c>
      <c r="AB36" s="18"/>
      <c r="AC36" s="18"/>
      <c r="AD36" s="18"/>
      <c r="AE36" s="18"/>
      <c r="AF36" s="46"/>
    </row>
    <row r="37" spans="1:32" s="8" customFormat="1" ht="24" x14ac:dyDescent="0.25">
      <c r="A37" s="39" t="s">
        <v>328</v>
      </c>
      <c r="B37" s="15" t="s">
        <v>266</v>
      </c>
      <c r="C37" s="2" t="s">
        <v>41</v>
      </c>
      <c r="D37" s="15" t="s">
        <v>347</v>
      </c>
      <c r="E37" s="28"/>
      <c r="F37" s="28"/>
      <c r="G37" s="15" t="s">
        <v>257</v>
      </c>
      <c r="H37" s="17" t="s">
        <v>269</v>
      </c>
      <c r="I37" s="18"/>
      <c r="J37" s="18">
        <v>1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46"/>
    </row>
    <row r="38" spans="1:32" s="8" customFormat="1" ht="24" x14ac:dyDescent="0.25">
      <c r="A38" s="39" t="s">
        <v>328</v>
      </c>
      <c r="B38" s="15" t="s">
        <v>266</v>
      </c>
      <c r="C38" s="2" t="s">
        <v>41</v>
      </c>
      <c r="D38" s="15" t="s">
        <v>347</v>
      </c>
      <c r="E38" s="28"/>
      <c r="F38" s="28"/>
      <c r="G38" s="15" t="s">
        <v>257</v>
      </c>
      <c r="H38" s="17" t="s">
        <v>272</v>
      </c>
      <c r="I38" s="18"/>
      <c r="J38" s="18"/>
      <c r="K38" s="18"/>
      <c r="L38" s="18"/>
      <c r="M38" s="18"/>
      <c r="N38" s="18"/>
      <c r="O38" s="18">
        <v>1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46"/>
    </row>
    <row r="39" spans="1:32" s="8" customFormat="1" ht="24" x14ac:dyDescent="0.25">
      <c r="A39" s="39" t="s">
        <v>328</v>
      </c>
      <c r="B39" s="15" t="s">
        <v>266</v>
      </c>
      <c r="C39" s="2" t="s">
        <v>41</v>
      </c>
      <c r="D39" s="15" t="s">
        <v>347</v>
      </c>
      <c r="E39" s="28"/>
      <c r="F39" s="28"/>
      <c r="G39" s="15" t="s">
        <v>257</v>
      </c>
      <c r="H39" s="17" t="s">
        <v>273</v>
      </c>
      <c r="I39" s="18"/>
      <c r="J39" s="18"/>
      <c r="K39" s="18"/>
      <c r="L39" s="18"/>
      <c r="M39" s="18"/>
      <c r="N39" s="18"/>
      <c r="O39" s="18"/>
      <c r="P39" s="18"/>
      <c r="Q39" s="18">
        <v>1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46"/>
    </row>
    <row r="40" spans="1:32" s="8" customFormat="1" ht="24" x14ac:dyDescent="0.25">
      <c r="A40" s="38" t="s">
        <v>328</v>
      </c>
      <c r="B40" s="15" t="s">
        <v>42</v>
      </c>
      <c r="C40" s="15" t="s">
        <v>43</v>
      </c>
      <c r="D40" s="15" t="s">
        <v>347</v>
      </c>
      <c r="E40" s="28">
        <v>300</v>
      </c>
      <c r="F40" s="28">
        <v>0</v>
      </c>
      <c r="G40" s="15" t="s">
        <v>257</v>
      </c>
      <c r="H40" s="17" t="s">
        <v>273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>
        <v>1</v>
      </c>
      <c r="AB40" s="18"/>
      <c r="AC40" s="18"/>
      <c r="AD40" s="18"/>
      <c r="AE40" s="18"/>
      <c r="AF40" s="46"/>
    </row>
    <row r="41" spans="1:32" s="8" customFormat="1" ht="24" x14ac:dyDescent="0.25">
      <c r="A41" s="40" t="s">
        <v>328</v>
      </c>
      <c r="B41" s="29" t="s">
        <v>44</v>
      </c>
      <c r="C41" s="29" t="s">
        <v>45</v>
      </c>
      <c r="D41" s="29" t="s">
        <v>347</v>
      </c>
      <c r="E41" s="30">
        <v>1010</v>
      </c>
      <c r="F41" s="30">
        <v>0</v>
      </c>
      <c r="G41" s="15" t="s">
        <v>257</v>
      </c>
      <c r="H41" s="20" t="s">
        <v>265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>
        <v>1</v>
      </c>
      <c r="AB41" s="19"/>
      <c r="AC41" s="19"/>
      <c r="AD41" s="19"/>
      <c r="AE41" s="19"/>
      <c r="AF41" s="47"/>
    </row>
    <row r="42" spans="1:32" s="8" customFormat="1" ht="24" x14ac:dyDescent="0.25">
      <c r="A42" s="40" t="s">
        <v>328</v>
      </c>
      <c r="B42" s="29" t="s">
        <v>44</v>
      </c>
      <c r="C42" s="29" t="s">
        <v>45</v>
      </c>
      <c r="D42" s="29" t="s">
        <v>347</v>
      </c>
      <c r="E42" s="30"/>
      <c r="F42" s="30"/>
      <c r="G42" s="15" t="s">
        <v>257</v>
      </c>
      <c r="H42" s="20" t="s">
        <v>272</v>
      </c>
      <c r="I42" s="19"/>
      <c r="J42" s="19">
        <v>1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47"/>
    </row>
    <row r="43" spans="1:32" s="8" customFormat="1" ht="24" x14ac:dyDescent="0.25">
      <c r="A43" s="40" t="s">
        <v>328</v>
      </c>
      <c r="B43" s="29" t="s">
        <v>44</v>
      </c>
      <c r="C43" s="29" t="s">
        <v>45</v>
      </c>
      <c r="D43" s="29" t="s">
        <v>347</v>
      </c>
      <c r="E43" s="30"/>
      <c r="F43" s="30"/>
      <c r="G43" s="15" t="s">
        <v>257</v>
      </c>
      <c r="H43" s="20" t="s">
        <v>275</v>
      </c>
      <c r="I43" s="1"/>
      <c r="J43" s="1"/>
      <c r="K43" s="1"/>
      <c r="L43" s="1"/>
      <c r="M43" s="1"/>
      <c r="N43" s="1"/>
      <c r="O43" s="1"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48"/>
    </row>
    <row r="44" spans="1:32" s="8" customFormat="1" ht="24" x14ac:dyDescent="0.25">
      <c r="A44" s="41" t="s">
        <v>328</v>
      </c>
      <c r="B44" s="15" t="s">
        <v>46</v>
      </c>
      <c r="C44" s="15" t="s">
        <v>47</v>
      </c>
      <c r="D44" s="15" t="s">
        <v>347</v>
      </c>
      <c r="E44" s="31">
        <v>3100</v>
      </c>
      <c r="F44" s="31"/>
      <c r="G44" s="15" t="s">
        <v>257</v>
      </c>
      <c r="H44" s="1" t="s">
        <v>261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1</v>
      </c>
      <c r="AB44" s="1"/>
      <c r="AC44" s="1"/>
      <c r="AD44" s="1"/>
      <c r="AE44" s="1"/>
      <c r="AF44" s="48"/>
    </row>
    <row r="45" spans="1:32" s="8" customFormat="1" ht="24" x14ac:dyDescent="0.25">
      <c r="A45" s="41" t="s">
        <v>328</v>
      </c>
      <c r="B45" s="15" t="s">
        <v>46</v>
      </c>
      <c r="C45" s="15" t="s">
        <v>47</v>
      </c>
      <c r="D45" s="15" t="s">
        <v>347</v>
      </c>
      <c r="E45" s="31"/>
      <c r="F45" s="31"/>
      <c r="G45" s="15" t="s">
        <v>257</v>
      </c>
      <c r="H45" s="1" t="s">
        <v>265</v>
      </c>
      <c r="I45" s="1"/>
      <c r="J45" s="1"/>
      <c r="K45" s="1"/>
      <c r="L45" s="1"/>
      <c r="M45" s="1"/>
      <c r="N45" s="1"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8"/>
    </row>
    <row r="46" spans="1:32" s="8" customFormat="1" x14ac:dyDescent="0.25">
      <c r="A46" s="41" t="s">
        <v>328</v>
      </c>
      <c r="B46" s="15" t="s">
        <v>46</v>
      </c>
      <c r="C46" s="15" t="s">
        <v>47</v>
      </c>
      <c r="D46" s="15" t="s">
        <v>347</v>
      </c>
      <c r="E46" s="31"/>
      <c r="F46" s="31"/>
      <c r="G46" s="15" t="s">
        <v>256</v>
      </c>
      <c r="H46" s="1" t="s">
        <v>267</v>
      </c>
      <c r="I46" s="1"/>
      <c r="J46" s="1"/>
      <c r="K46" s="1"/>
      <c r="L46" s="1"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48"/>
    </row>
    <row r="47" spans="1:32" s="8" customFormat="1" ht="24" x14ac:dyDescent="0.25">
      <c r="A47" s="41" t="s">
        <v>328</v>
      </c>
      <c r="B47" s="15" t="s">
        <v>46</v>
      </c>
      <c r="C47" s="15" t="s">
        <v>47</v>
      </c>
      <c r="D47" s="15" t="s">
        <v>347</v>
      </c>
      <c r="E47" s="31"/>
      <c r="F47" s="31"/>
      <c r="G47" s="15" t="s">
        <v>257</v>
      </c>
      <c r="H47" s="1" t="s">
        <v>269</v>
      </c>
      <c r="I47" s="1"/>
      <c r="J47" s="1">
        <v>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48"/>
    </row>
    <row r="48" spans="1:32" s="8" customFormat="1" ht="24" x14ac:dyDescent="0.25">
      <c r="A48" s="41" t="s">
        <v>328</v>
      </c>
      <c r="B48" s="15" t="s">
        <v>46</v>
      </c>
      <c r="C48" s="15" t="s">
        <v>47</v>
      </c>
      <c r="D48" s="15" t="s">
        <v>347</v>
      </c>
      <c r="E48" s="31"/>
      <c r="F48" s="31"/>
      <c r="G48" s="15" t="s">
        <v>257</v>
      </c>
      <c r="H48" s="1" t="s">
        <v>272</v>
      </c>
      <c r="I48" s="1"/>
      <c r="J48" s="1"/>
      <c r="K48" s="1"/>
      <c r="L48" s="1"/>
      <c r="M48" s="1"/>
      <c r="N48" s="1"/>
      <c r="O48" s="1"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8"/>
    </row>
    <row r="49" spans="1:32" s="8" customFormat="1" ht="24" x14ac:dyDescent="0.25">
      <c r="A49" s="41" t="s">
        <v>328</v>
      </c>
      <c r="B49" s="15" t="s">
        <v>46</v>
      </c>
      <c r="C49" s="15" t="s">
        <v>47</v>
      </c>
      <c r="D49" s="15" t="s">
        <v>347</v>
      </c>
      <c r="E49" s="31"/>
      <c r="F49" s="31"/>
      <c r="G49" s="15" t="s">
        <v>257</v>
      </c>
      <c r="H49" s="1" t="s">
        <v>273</v>
      </c>
      <c r="I49" s="1"/>
      <c r="J49" s="1"/>
      <c r="K49" s="1"/>
      <c r="L49" s="1"/>
      <c r="M49" s="1"/>
      <c r="N49" s="1"/>
      <c r="O49" s="1"/>
      <c r="P49" s="1">
        <v>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48"/>
    </row>
    <row r="50" spans="1:32" s="8" customFormat="1" ht="24" x14ac:dyDescent="0.25">
      <c r="A50" s="41" t="s">
        <v>328</v>
      </c>
      <c r="B50" s="15" t="s">
        <v>46</v>
      </c>
      <c r="C50" s="15" t="s">
        <v>47</v>
      </c>
      <c r="D50" s="15" t="s">
        <v>347</v>
      </c>
      <c r="E50" s="31"/>
      <c r="F50" s="31"/>
      <c r="G50" s="15" t="s">
        <v>257</v>
      </c>
      <c r="H50" s="1" t="s">
        <v>274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>
        <v>1</v>
      </c>
      <c r="AD50" s="1"/>
      <c r="AE50" s="1"/>
      <c r="AF50" s="48"/>
    </row>
    <row r="51" spans="1:32" s="8" customFormat="1" ht="24" x14ac:dyDescent="0.25">
      <c r="A51" s="41" t="s">
        <v>328</v>
      </c>
      <c r="B51" s="15" t="s">
        <v>46</v>
      </c>
      <c r="C51" s="15" t="s">
        <v>47</v>
      </c>
      <c r="D51" s="15" t="s">
        <v>347</v>
      </c>
      <c r="E51" s="31"/>
      <c r="F51" s="31"/>
      <c r="G51" s="15" t="s">
        <v>257</v>
      </c>
      <c r="H51" s="1" t="s">
        <v>275</v>
      </c>
      <c r="I51" s="1"/>
      <c r="J51" s="1"/>
      <c r="K51" s="1"/>
      <c r="L51" s="1"/>
      <c r="M51" s="1"/>
      <c r="N51" s="1"/>
      <c r="O51" s="1"/>
      <c r="P51" s="1"/>
      <c r="Q51" s="1"/>
      <c r="R51" s="1">
        <v>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48"/>
    </row>
    <row r="52" spans="1:32" s="8" customFormat="1" ht="24" x14ac:dyDescent="0.25">
      <c r="A52" s="41" t="s">
        <v>329</v>
      </c>
      <c r="B52" s="15" t="s">
        <v>49</v>
      </c>
      <c r="C52" s="2" t="s">
        <v>50</v>
      </c>
      <c r="D52" s="15" t="s">
        <v>347</v>
      </c>
      <c r="E52" s="31">
        <v>400</v>
      </c>
      <c r="F52" s="31">
        <v>0</v>
      </c>
      <c r="G52" s="15" t="s">
        <v>257</v>
      </c>
      <c r="H52" s="1" t="s">
        <v>269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>
        <v>1</v>
      </c>
      <c r="AB52" s="1"/>
      <c r="AC52" s="1"/>
      <c r="AD52" s="1"/>
      <c r="AE52" s="1"/>
      <c r="AF52" s="48"/>
    </row>
    <row r="53" spans="1:32" s="8" customFormat="1" ht="24" x14ac:dyDescent="0.25">
      <c r="A53" s="41" t="s">
        <v>329</v>
      </c>
      <c r="B53" s="15" t="s">
        <v>51</v>
      </c>
      <c r="C53" s="15" t="s">
        <v>52</v>
      </c>
      <c r="D53" s="15" t="s">
        <v>347</v>
      </c>
      <c r="E53" s="31">
        <v>1100</v>
      </c>
      <c r="F53" s="31">
        <v>0</v>
      </c>
      <c r="G53" s="15" t="s">
        <v>257</v>
      </c>
      <c r="H53" s="1" t="s">
        <v>272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v>1</v>
      </c>
      <c r="AB53" s="1"/>
      <c r="AC53" s="1"/>
      <c r="AD53" s="1"/>
      <c r="AE53" s="1"/>
      <c r="AF53" s="48"/>
    </row>
    <row r="54" spans="1:32" s="8" customFormat="1" ht="24" x14ac:dyDescent="0.25">
      <c r="A54" s="41" t="s">
        <v>329</v>
      </c>
      <c r="B54" s="15" t="s">
        <v>51</v>
      </c>
      <c r="C54" s="15" t="s">
        <v>52</v>
      </c>
      <c r="D54" s="15" t="s">
        <v>347</v>
      </c>
      <c r="E54" s="31"/>
      <c r="F54" s="31"/>
      <c r="G54" s="15" t="s">
        <v>257</v>
      </c>
      <c r="H54" s="1" t="s">
        <v>273</v>
      </c>
      <c r="I54" s="1"/>
      <c r="J54" s="1"/>
      <c r="K54" s="1">
        <v>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48"/>
    </row>
    <row r="55" spans="1:32" s="8" customFormat="1" ht="24" x14ac:dyDescent="0.25">
      <c r="A55" s="41" t="s">
        <v>329</v>
      </c>
      <c r="B55" s="15" t="s">
        <v>51</v>
      </c>
      <c r="C55" s="15" t="s">
        <v>52</v>
      </c>
      <c r="D55" s="15" t="s">
        <v>347</v>
      </c>
      <c r="E55" s="31"/>
      <c r="F55" s="31"/>
      <c r="G55" s="15" t="s">
        <v>257</v>
      </c>
      <c r="H55" s="1" t="s">
        <v>274</v>
      </c>
      <c r="I55" s="1"/>
      <c r="J55" s="1"/>
      <c r="K55" s="1"/>
      <c r="L55" s="1"/>
      <c r="M55" s="1"/>
      <c r="N55" s="1"/>
      <c r="O55" s="1">
        <v>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48"/>
    </row>
    <row r="56" spans="1:32" s="8" customFormat="1" x14ac:dyDescent="0.25">
      <c r="A56" s="41" t="s">
        <v>330</v>
      </c>
      <c r="B56" s="15" t="s">
        <v>54</v>
      </c>
      <c r="C56" s="15" t="s">
        <v>55</v>
      </c>
      <c r="D56" s="15" t="s">
        <v>346</v>
      </c>
      <c r="E56" s="31">
        <v>270</v>
      </c>
      <c r="F56" s="31">
        <v>0</v>
      </c>
      <c r="G56" s="15" t="s">
        <v>258</v>
      </c>
      <c r="H56" s="1" t="s">
        <v>267</v>
      </c>
      <c r="I56" s="1"/>
      <c r="J56" s="1"/>
      <c r="K56" s="1"/>
      <c r="L56" s="1"/>
      <c r="M56" s="1"/>
      <c r="N56" s="1"/>
      <c r="O56" s="1">
        <v>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48"/>
    </row>
    <row r="57" spans="1:32" s="8" customFormat="1" x14ac:dyDescent="0.25">
      <c r="A57" s="41" t="s">
        <v>330</v>
      </c>
      <c r="B57" s="15" t="s">
        <v>54</v>
      </c>
      <c r="C57" s="15" t="s">
        <v>55</v>
      </c>
      <c r="D57" s="15" t="s">
        <v>346</v>
      </c>
      <c r="E57" s="31"/>
      <c r="F57" s="31"/>
      <c r="G57" s="15" t="s">
        <v>258</v>
      </c>
      <c r="H57" s="1" t="s">
        <v>273</v>
      </c>
      <c r="I57" s="1"/>
      <c r="J57" s="1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48"/>
    </row>
    <row r="58" spans="1:32" s="8" customFormat="1" x14ac:dyDescent="0.25">
      <c r="A58" s="41" t="s">
        <v>330</v>
      </c>
      <c r="B58" s="15" t="s">
        <v>54</v>
      </c>
      <c r="C58" s="15" t="s">
        <v>55</v>
      </c>
      <c r="D58" s="15" t="s">
        <v>347</v>
      </c>
      <c r="E58" s="31">
        <v>2100</v>
      </c>
      <c r="F58" s="31">
        <v>0</v>
      </c>
      <c r="G58" s="15" t="s">
        <v>256</v>
      </c>
      <c r="H58" s="1" t="s">
        <v>265</v>
      </c>
      <c r="I58" s="1"/>
      <c r="J58" s="1">
        <v>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48"/>
    </row>
    <row r="59" spans="1:32" s="8" customFormat="1" ht="24" x14ac:dyDescent="0.25">
      <c r="A59" s="41" t="s">
        <v>330</v>
      </c>
      <c r="B59" s="15" t="s">
        <v>54</v>
      </c>
      <c r="C59" s="15" t="s">
        <v>55</v>
      </c>
      <c r="D59" s="15" t="s">
        <v>347</v>
      </c>
      <c r="E59" s="31"/>
      <c r="F59" s="31"/>
      <c r="G59" s="15" t="s">
        <v>257</v>
      </c>
      <c r="H59" s="1" t="s">
        <v>267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>
        <v>1</v>
      </c>
      <c r="AB59" s="1"/>
      <c r="AC59" s="1"/>
      <c r="AD59" s="1"/>
      <c r="AE59" s="1"/>
      <c r="AF59" s="48"/>
    </row>
    <row r="60" spans="1:32" s="8" customFormat="1" ht="24" x14ac:dyDescent="0.25">
      <c r="A60" s="41" t="s">
        <v>330</v>
      </c>
      <c r="B60" s="15" t="s">
        <v>54</v>
      </c>
      <c r="C60" s="15" t="s">
        <v>55</v>
      </c>
      <c r="D60" s="15" t="s">
        <v>347</v>
      </c>
      <c r="E60" s="31"/>
      <c r="F60" s="31"/>
      <c r="G60" s="15" t="s">
        <v>257</v>
      </c>
      <c r="H60" s="1" t="s">
        <v>269</v>
      </c>
      <c r="I60" s="1"/>
      <c r="J60" s="1"/>
      <c r="K60" s="1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48"/>
    </row>
    <row r="61" spans="1:32" s="8" customFormat="1" ht="24" x14ac:dyDescent="0.25">
      <c r="A61" s="41" t="s">
        <v>330</v>
      </c>
      <c r="B61" s="15" t="s">
        <v>54</v>
      </c>
      <c r="C61" s="15" t="s">
        <v>55</v>
      </c>
      <c r="D61" s="15" t="s">
        <v>347</v>
      </c>
      <c r="E61" s="31"/>
      <c r="F61" s="31"/>
      <c r="G61" s="15" t="s">
        <v>257</v>
      </c>
      <c r="H61" s="1" t="s">
        <v>272</v>
      </c>
      <c r="I61" s="1"/>
      <c r="J61" s="1"/>
      <c r="K61" s="1"/>
      <c r="L61" s="1"/>
      <c r="M61" s="1"/>
      <c r="N61" s="1"/>
      <c r="O61" s="1"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48"/>
    </row>
    <row r="62" spans="1:32" s="8" customFormat="1" ht="24" x14ac:dyDescent="0.25">
      <c r="A62" s="41" t="s">
        <v>330</v>
      </c>
      <c r="B62" s="15" t="s">
        <v>54</v>
      </c>
      <c r="C62" s="15" t="s">
        <v>55</v>
      </c>
      <c r="D62" s="15" t="s">
        <v>347</v>
      </c>
      <c r="E62" s="31"/>
      <c r="F62" s="31"/>
      <c r="G62" s="15" t="s">
        <v>257</v>
      </c>
      <c r="H62" s="1" t="s">
        <v>273</v>
      </c>
      <c r="I62" s="1"/>
      <c r="J62" s="1"/>
      <c r="K62" s="1"/>
      <c r="L62" s="1"/>
      <c r="M62" s="1"/>
      <c r="N62" s="1"/>
      <c r="O62" s="1"/>
      <c r="P62" s="1"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48"/>
    </row>
    <row r="63" spans="1:32" s="8" customFormat="1" ht="24" x14ac:dyDescent="0.25">
      <c r="A63" s="41" t="s">
        <v>330</v>
      </c>
      <c r="B63" s="15" t="s">
        <v>54</v>
      </c>
      <c r="C63" s="15" t="s">
        <v>55</v>
      </c>
      <c r="D63" s="15" t="s">
        <v>347</v>
      </c>
      <c r="E63" s="31"/>
      <c r="F63" s="31"/>
      <c r="G63" s="15" t="s">
        <v>257</v>
      </c>
      <c r="H63" s="1" t="s">
        <v>274</v>
      </c>
      <c r="I63" s="1"/>
      <c r="J63" s="1"/>
      <c r="K63" s="1"/>
      <c r="L63" s="1"/>
      <c r="M63" s="1"/>
      <c r="N63" s="1"/>
      <c r="O63" s="1"/>
      <c r="P63" s="1"/>
      <c r="Q63" s="1">
        <v>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48"/>
    </row>
    <row r="64" spans="1:32" s="8" customFormat="1" x14ac:dyDescent="0.25">
      <c r="A64" s="42" t="s">
        <v>330</v>
      </c>
      <c r="B64" s="2" t="s">
        <v>56</v>
      </c>
      <c r="C64" s="2" t="s">
        <v>57</v>
      </c>
      <c r="D64" s="15" t="s">
        <v>346</v>
      </c>
      <c r="E64" s="31">
        <v>500</v>
      </c>
      <c r="F64" s="31">
        <v>1100</v>
      </c>
      <c r="G64" s="15" t="s">
        <v>258</v>
      </c>
      <c r="H64" s="1" t="s">
        <v>267</v>
      </c>
      <c r="I64" s="1"/>
      <c r="J64" s="1"/>
      <c r="K64" s="1"/>
      <c r="L64" s="1">
        <v>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48"/>
    </row>
    <row r="65" spans="1:32" s="8" customFormat="1" x14ac:dyDescent="0.25">
      <c r="A65" s="42" t="s">
        <v>330</v>
      </c>
      <c r="B65" s="2" t="s">
        <v>56</v>
      </c>
      <c r="C65" s="2" t="s">
        <v>57</v>
      </c>
      <c r="D65" s="15" t="s">
        <v>346</v>
      </c>
      <c r="E65" s="31"/>
      <c r="F65" s="31"/>
      <c r="G65" s="15" t="s">
        <v>258</v>
      </c>
      <c r="H65" s="1" t="s">
        <v>269</v>
      </c>
      <c r="I65" s="1"/>
      <c r="J65" s="1"/>
      <c r="K65" s="1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48"/>
    </row>
    <row r="66" spans="1:32" s="8" customFormat="1" x14ac:dyDescent="0.25">
      <c r="A66" s="42" t="s">
        <v>330</v>
      </c>
      <c r="B66" s="2" t="s">
        <v>56</v>
      </c>
      <c r="C66" s="2" t="s">
        <v>57</v>
      </c>
      <c r="D66" s="15" t="s">
        <v>346</v>
      </c>
      <c r="E66" s="31"/>
      <c r="F66" s="31"/>
      <c r="G66" s="15" t="s">
        <v>258</v>
      </c>
      <c r="H66" s="1" t="s">
        <v>272</v>
      </c>
      <c r="I66" s="1"/>
      <c r="J66" s="1"/>
      <c r="K66" s="1"/>
      <c r="L66" s="1"/>
      <c r="M66" s="1"/>
      <c r="N66" s="1"/>
      <c r="O66" s="1">
        <v>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48"/>
    </row>
    <row r="67" spans="1:32" s="8" customFormat="1" x14ac:dyDescent="0.25">
      <c r="A67" s="42" t="s">
        <v>330</v>
      </c>
      <c r="B67" s="2" t="s">
        <v>56</v>
      </c>
      <c r="C67" s="2" t="s">
        <v>57</v>
      </c>
      <c r="D67" s="15" t="s">
        <v>346</v>
      </c>
      <c r="E67" s="31"/>
      <c r="F67" s="31"/>
      <c r="G67" s="15" t="s">
        <v>258</v>
      </c>
      <c r="H67" s="1" t="s">
        <v>273</v>
      </c>
      <c r="I67" s="1"/>
      <c r="J67" s="1"/>
      <c r="K67" s="1"/>
      <c r="L67" s="1"/>
      <c r="M67" s="1"/>
      <c r="N67" s="1"/>
      <c r="O67" s="1"/>
      <c r="P67" s="1"/>
      <c r="Q67" s="1"/>
      <c r="R67" s="1">
        <v>1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48"/>
    </row>
    <row r="68" spans="1:32" s="8" customFormat="1" x14ac:dyDescent="0.25">
      <c r="A68" s="42" t="s">
        <v>330</v>
      </c>
      <c r="B68" s="2" t="s">
        <v>56</v>
      </c>
      <c r="C68" s="2" t="s">
        <v>57</v>
      </c>
      <c r="D68" s="15" t="s">
        <v>346</v>
      </c>
      <c r="E68" s="31"/>
      <c r="F68" s="31"/>
      <c r="G68" s="15" t="s">
        <v>30</v>
      </c>
      <c r="H68" s="1" t="s">
        <v>265</v>
      </c>
      <c r="I68" s="1"/>
      <c r="J68" s="1">
        <v>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48"/>
    </row>
    <row r="69" spans="1:32" s="8" customFormat="1" x14ac:dyDescent="0.25">
      <c r="A69" s="42" t="s">
        <v>330</v>
      </c>
      <c r="B69" s="2" t="s">
        <v>56</v>
      </c>
      <c r="C69" s="2" t="s">
        <v>57</v>
      </c>
      <c r="D69" s="15" t="s">
        <v>346</v>
      </c>
      <c r="E69" s="31"/>
      <c r="F69" s="31"/>
      <c r="G69" s="15" t="s">
        <v>30</v>
      </c>
      <c r="H69" s="1" t="s">
        <v>267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48">
        <v>1</v>
      </c>
    </row>
    <row r="70" spans="1:32" s="8" customFormat="1" x14ac:dyDescent="0.25">
      <c r="A70" s="42" t="s">
        <v>330</v>
      </c>
      <c r="B70" s="2" t="s">
        <v>56</v>
      </c>
      <c r="C70" s="2" t="s">
        <v>57</v>
      </c>
      <c r="D70" s="15" t="s">
        <v>346</v>
      </c>
      <c r="E70" s="31"/>
      <c r="F70" s="31"/>
      <c r="G70" s="15" t="s">
        <v>30</v>
      </c>
      <c r="H70" s="1" t="s">
        <v>269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>
        <v>1</v>
      </c>
      <c r="AE70" s="1"/>
      <c r="AF70" s="48"/>
    </row>
    <row r="71" spans="1:32" s="8" customFormat="1" x14ac:dyDescent="0.25">
      <c r="A71" s="42" t="s">
        <v>330</v>
      </c>
      <c r="B71" s="2" t="s">
        <v>56</v>
      </c>
      <c r="C71" s="2" t="s">
        <v>57</v>
      </c>
      <c r="D71" s="15" t="s">
        <v>346</v>
      </c>
      <c r="E71" s="31"/>
      <c r="F71" s="31"/>
      <c r="G71" s="15" t="s">
        <v>30</v>
      </c>
      <c r="H71" s="1" t="s">
        <v>272</v>
      </c>
      <c r="I71" s="1"/>
      <c r="J71" s="1"/>
      <c r="K71" s="1"/>
      <c r="L71" s="1"/>
      <c r="M71" s="1">
        <v>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48"/>
    </row>
    <row r="72" spans="1:32" s="8" customFormat="1" x14ac:dyDescent="0.25">
      <c r="A72" s="42" t="s">
        <v>330</v>
      </c>
      <c r="B72" s="2" t="s">
        <v>56</v>
      </c>
      <c r="C72" s="2" t="s">
        <v>57</v>
      </c>
      <c r="D72" s="15" t="s">
        <v>346</v>
      </c>
      <c r="E72" s="31"/>
      <c r="F72" s="31"/>
      <c r="G72" s="15" t="s">
        <v>30</v>
      </c>
      <c r="H72" s="1" t="s">
        <v>273</v>
      </c>
      <c r="I72" s="1"/>
      <c r="J72" s="1"/>
      <c r="K72" s="1"/>
      <c r="L72" s="1"/>
      <c r="M72" s="1"/>
      <c r="N72" s="1"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48"/>
    </row>
    <row r="73" spans="1:32" s="8" customFormat="1" x14ac:dyDescent="0.25">
      <c r="A73" s="42" t="s">
        <v>330</v>
      </c>
      <c r="B73" s="2" t="s">
        <v>56</v>
      </c>
      <c r="C73" s="2" t="s">
        <v>57</v>
      </c>
      <c r="D73" s="15" t="s">
        <v>346</v>
      </c>
      <c r="E73" s="31"/>
      <c r="F73" s="31"/>
      <c r="G73" s="15" t="s">
        <v>30</v>
      </c>
      <c r="H73" s="1" t="s">
        <v>274</v>
      </c>
      <c r="I73" s="1"/>
      <c r="J73" s="1"/>
      <c r="K73" s="1"/>
      <c r="L73" s="1"/>
      <c r="M73" s="1"/>
      <c r="N73" s="1"/>
      <c r="O73" s="1">
        <v>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48"/>
    </row>
    <row r="74" spans="1:32" s="8" customFormat="1" x14ac:dyDescent="0.25">
      <c r="A74" s="42" t="s">
        <v>330</v>
      </c>
      <c r="B74" s="2" t="s">
        <v>56</v>
      </c>
      <c r="C74" s="2" t="s">
        <v>57</v>
      </c>
      <c r="D74" s="15" t="s">
        <v>346</v>
      </c>
      <c r="E74" s="31"/>
      <c r="F74" s="31"/>
      <c r="G74" s="15" t="s">
        <v>30</v>
      </c>
      <c r="H74" s="1" t="s">
        <v>275</v>
      </c>
      <c r="I74" s="1"/>
      <c r="J74" s="1"/>
      <c r="K74" s="1"/>
      <c r="L74" s="1"/>
      <c r="M74" s="1"/>
      <c r="N74" s="1"/>
      <c r="O74" s="1"/>
      <c r="P74" s="1">
        <v>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48"/>
    </row>
    <row r="75" spans="1:32" s="8" customFormat="1" ht="24" x14ac:dyDescent="0.25">
      <c r="A75" s="42" t="s">
        <v>330</v>
      </c>
      <c r="B75" s="2" t="s">
        <v>56</v>
      </c>
      <c r="C75" s="2" t="s">
        <v>57</v>
      </c>
      <c r="D75" s="15" t="s">
        <v>347</v>
      </c>
      <c r="E75" s="31">
        <v>2550</v>
      </c>
      <c r="F75" s="31">
        <v>0</v>
      </c>
      <c r="G75" s="15" t="s">
        <v>257</v>
      </c>
      <c r="H75" s="1" t="s">
        <v>265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>
        <v>1</v>
      </c>
      <c r="AB75" s="1"/>
      <c r="AC75" s="1"/>
      <c r="AD75" s="1"/>
      <c r="AE75" s="1"/>
      <c r="AF75" s="48"/>
    </row>
    <row r="76" spans="1:32" s="8" customFormat="1" x14ac:dyDescent="0.25">
      <c r="A76" s="42" t="s">
        <v>330</v>
      </c>
      <c r="B76" s="2" t="s">
        <v>56</v>
      </c>
      <c r="C76" s="2" t="s">
        <v>57</v>
      </c>
      <c r="D76" s="15" t="s">
        <v>347</v>
      </c>
      <c r="E76" s="31"/>
      <c r="F76" s="31"/>
      <c r="G76" s="15" t="s">
        <v>256</v>
      </c>
      <c r="H76" s="1" t="s">
        <v>267</v>
      </c>
      <c r="I76" s="1"/>
      <c r="J76" s="1"/>
      <c r="K76" s="1">
        <v>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48"/>
    </row>
    <row r="77" spans="1:32" s="8" customFormat="1" ht="24" x14ac:dyDescent="0.25">
      <c r="A77" s="42" t="s">
        <v>330</v>
      </c>
      <c r="B77" s="2" t="s">
        <v>56</v>
      </c>
      <c r="C77" s="2" t="s">
        <v>57</v>
      </c>
      <c r="D77" s="15" t="s">
        <v>347</v>
      </c>
      <c r="E77" s="31"/>
      <c r="F77" s="31"/>
      <c r="G77" s="15" t="s">
        <v>257</v>
      </c>
      <c r="H77" s="1" t="s">
        <v>269</v>
      </c>
      <c r="I77" s="1"/>
      <c r="J77" s="1">
        <v>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48"/>
    </row>
    <row r="78" spans="1:32" s="8" customFormat="1" ht="24" x14ac:dyDescent="0.25">
      <c r="A78" s="42" t="s">
        <v>330</v>
      </c>
      <c r="B78" s="2" t="s">
        <v>56</v>
      </c>
      <c r="C78" s="2" t="s">
        <v>57</v>
      </c>
      <c r="D78" s="15" t="s">
        <v>347</v>
      </c>
      <c r="E78" s="31"/>
      <c r="F78" s="31"/>
      <c r="G78" s="15" t="s">
        <v>257</v>
      </c>
      <c r="H78" s="1" t="s">
        <v>272</v>
      </c>
      <c r="I78" s="1"/>
      <c r="J78" s="1"/>
      <c r="K78" s="1"/>
      <c r="L78" s="1"/>
      <c r="M78" s="1"/>
      <c r="N78" s="1"/>
      <c r="O78" s="1">
        <v>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48"/>
    </row>
    <row r="79" spans="1:32" s="8" customFormat="1" ht="24" x14ac:dyDescent="0.25">
      <c r="A79" s="42" t="s">
        <v>330</v>
      </c>
      <c r="B79" s="2" t="s">
        <v>56</v>
      </c>
      <c r="C79" s="2" t="s">
        <v>57</v>
      </c>
      <c r="D79" s="15" t="s">
        <v>347</v>
      </c>
      <c r="E79" s="31"/>
      <c r="F79" s="31"/>
      <c r="G79" s="15" t="s">
        <v>257</v>
      </c>
      <c r="H79" s="1" t="s">
        <v>273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48"/>
    </row>
    <row r="80" spans="1:32" s="8" customFormat="1" ht="24" x14ac:dyDescent="0.25">
      <c r="A80" s="42" t="s">
        <v>330</v>
      </c>
      <c r="B80" s="2" t="s">
        <v>56</v>
      </c>
      <c r="C80" s="2" t="s">
        <v>57</v>
      </c>
      <c r="D80" s="15" t="s">
        <v>347</v>
      </c>
      <c r="E80" s="31"/>
      <c r="F80" s="31"/>
      <c r="G80" s="15" t="s">
        <v>257</v>
      </c>
      <c r="H80" s="1" t="s">
        <v>274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</v>
      </c>
      <c r="X80" s="1"/>
      <c r="Y80" s="1"/>
      <c r="Z80" s="1"/>
      <c r="AA80" s="1"/>
      <c r="AB80" s="1"/>
      <c r="AC80" s="1"/>
      <c r="AD80" s="1"/>
      <c r="AE80" s="1"/>
      <c r="AF80" s="48"/>
    </row>
    <row r="81" spans="1:32" s="8" customFormat="1" ht="24" x14ac:dyDescent="0.25">
      <c r="A81" s="41" t="s">
        <v>330</v>
      </c>
      <c r="B81" s="15" t="s">
        <v>58</v>
      </c>
      <c r="C81" s="15" t="s">
        <v>59</v>
      </c>
      <c r="D81" s="15" t="s">
        <v>347</v>
      </c>
      <c r="E81" s="31">
        <v>900</v>
      </c>
      <c r="F81" s="31"/>
      <c r="G81" s="15" t="s">
        <v>257</v>
      </c>
      <c r="H81" s="1" t="s">
        <v>272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>
        <v>1</v>
      </c>
      <c r="AB81" s="1"/>
      <c r="AC81" s="1"/>
      <c r="AD81" s="1"/>
      <c r="AE81" s="1"/>
      <c r="AF81" s="48"/>
    </row>
    <row r="82" spans="1:32" s="8" customFormat="1" ht="24" x14ac:dyDescent="0.25">
      <c r="A82" s="41" t="s">
        <v>330</v>
      </c>
      <c r="B82" s="15" t="s">
        <v>58</v>
      </c>
      <c r="C82" s="15" t="s">
        <v>59</v>
      </c>
      <c r="D82" s="15" t="s">
        <v>347</v>
      </c>
      <c r="E82" s="31"/>
      <c r="F82" s="31"/>
      <c r="G82" s="15" t="s">
        <v>257</v>
      </c>
      <c r="H82" s="1" t="s">
        <v>273</v>
      </c>
      <c r="I82" s="1"/>
      <c r="J82" s="1"/>
      <c r="K82" s="1"/>
      <c r="L82" s="1"/>
      <c r="M82" s="1"/>
      <c r="N82" s="1"/>
      <c r="O82" s="1">
        <v>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48"/>
    </row>
    <row r="83" spans="1:32" s="8" customFormat="1" ht="24" x14ac:dyDescent="0.25">
      <c r="A83" s="41" t="s">
        <v>330</v>
      </c>
      <c r="B83" s="15" t="s">
        <v>58</v>
      </c>
      <c r="C83" s="15" t="s">
        <v>59</v>
      </c>
      <c r="D83" s="15" t="s">
        <v>347</v>
      </c>
      <c r="E83" s="31"/>
      <c r="F83" s="31"/>
      <c r="G83" s="15" t="s">
        <v>257</v>
      </c>
      <c r="H83" s="1" t="s">
        <v>274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>
        <v>1</v>
      </c>
      <c r="AE83" s="1"/>
      <c r="AF83" s="48"/>
    </row>
    <row r="84" spans="1:32" s="8" customFormat="1" ht="24" x14ac:dyDescent="0.25">
      <c r="A84" s="41" t="s">
        <v>330</v>
      </c>
      <c r="B84" s="15" t="s">
        <v>61</v>
      </c>
      <c r="C84" s="15" t="s">
        <v>62</v>
      </c>
      <c r="D84" s="15" t="s">
        <v>347</v>
      </c>
      <c r="E84" s="31">
        <v>900</v>
      </c>
      <c r="F84" s="31"/>
      <c r="G84" s="15" t="s">
        <v>257</v>
      </c>
      <c r="H84" s="1" t="s">
        <v>267</v>
      </c>
      <c r="I84" s="1"/>
      <c r="J84" s="1"/>
      <c r="K84" s="1"/>
      <c r="L84" s="1"/>
      <c r="M84" s="1">
        <v>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48"/>
    </row>
    <row r="85" spans="1:32" s="8" customFormat="1" ht="24" x14ac:dyDescent="0.25">
      <c r="A85" s="41" t="s">
        <v>330</v>
      </c>
      <c r="B85" s="15" t="s">
        <v>61</v>
      </c>
      <c r="C85" s="15" t="s">
        <v>62</v>
      </c>
      <c r="D85" s="15" t="s">
        <v>347</v>
      </c>
      <c r="E85" s="31"/>
      <c r="F85" s="31"/>
      <c r="G85" s="15" t="s">
        <v>257</v>
      </c>
      <c r="H85" s="1" t="s">
        <v>269</v>
      </c>
      <c r="I85" s="1"/>
      <c r="J85" s="1"/>
      <c r="K85" s="1"/>
      <c r="L85" s="1"/>
      <c r="M85" s="1"/>
      <c r="N85" s="1"/>
      <c r="O85" s="1"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48"/>
    </row>
    <row r="86" spans="1:32" s="8" customFormat="1" ht="24" x14ac:dyDescent="0.25">
      <c r="A86" s="41" t="s">
        <v>330</v>
      </c>
      <c r="B86" s="15" t="s">
        <v>61</v>
      </c>
      <c r="C86" s="15" t="s">
        <v>62</v>
      </c>
      <c r="D86" s="15" t="s">
        <v>347</v>
      </c>
      <c r="E86" s="31"/>
      <c r="F86" s="31"/>
      <c r="G86" s="15" t="s">
        <v>257</v>
      </c>
      <c r="H86" s="1" t="s">
        <v>272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>
        <v>1</v>
      </c>
      <c r="AB86" s="1"/>
      <c r="AC86" s="1"/>
      <c r="AD86" s="1"/>
      <c r="AE86" s="1"/>
      <c r="AF86" s="48"/>
    </row>
    <row r="87" spans="1:32" s="8" customFormat="1" x14ac:dyDescent="0.25">
      <c r="A87" s="41" t="s">
        <v>330</v>
      </c>
      <c r="B87" s="15" t="s">
        <v>63</v>
      </c>
      <c r="C87" s="15" t="s">
        <v>64</v>
      </c>
      <c r="D87" s="15" t="s">
        <v>348</v>
      </c>
      <c r="E87" s="31">
        <v>9500</v>
      </c>
      <c r="F87" s="31"/>
      <c r="G87" s="15" t="s">
        <v>252</v>
      </c>
      <c r="H87" s="1" t="s">
        <v>265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>
        <v>1</v>
      </c>
      <c r="AB87" s="1"/>
      <c r="AC87" s="1">
        <v>1</v>
      </c>
      <c r="AD87" s="1"/>
      <c r="AE87" s="1"/>
      <c r="AF87" s="48"/>
    </row>
    <row r="88" spans="1:32" s="8" customFormat="1" x14ac:dyDescent="0.25">
      <c r="A88" s="41" t="s">
        <v>330</v>
      </c>
      <c r="B88" s="15" t="s">
        <v>63</v>
      </c>
      <c r="C88" s="15" t="s">
        <v>64</v>
      </c>
      <c r="D88" s="15" t="s">
        <v>348</v>
      </c>
      <c r="E88" s="31"/>
      <c r="F88" s="31"/>
      <c r="G88" s="15" t="s">
        <v>252</v>
      </c>
      <c r="H88" s="1" t="s">
        <v>267</v>
      </c>
      <c r="I88" s="1"/>
      <c r="J88" s="1"/>
      <c r="K88" s="1">
        <v>1</v>
      </c>
      <c r="L88" s="1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48"/>
    </row>
    <row r="89" spans="1:32" s="8" customFormat="1" x14ac:dyDescent="0.25">
      <c r="A89" s="41" t="s">
        <v>330</v>
      </c>
      <c r="B89" s="15" t="s">
        <v>63</v>
      </c>
      <c r="C89" s="15" t="s">
        <v>64</v>
      </c>
      <c r="D89" s="15" t="s">
        <v>348</v>
      </c>
      <c r="E89" s="31"/>
      <c r="F89" s="31"/>
      <c r="G89" s="15" t="s">
        <v>67</v>
      </c>
      <c r="H89" s="1" t="s">
        <v>269</v>
      </c>
      <c r="I89" s="1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48"/>
    </row>
    <row r="90" spans="1:32" s="8" customFormat="1" x14ac:dyDescent="0.25">
      <c r="A90" s="41" t="s">
        <v>330</v>
      </c>
      <c r="B90" s="15" t="s">
        <v>63</v>
      </c>
      <c r="C90" s="15" t="s">
        <v>64</v>
      </c>
      <c r="D90" s="15" t="s">
        <v>348</v>
      </c>
      <c r="E90" s="31"/>
      <c r="F90" s="31"/>
      <c r="G90" s="15" t="s">
        <v>252</v>
      </c>
      <c r="H90" s="1" t="s">
        <v>269</v>
      </c>
      <c r="I90" s="1"/>
      <c r="J90" s="1"/>
      <c r="K90" s="1"/>
      <c r="L90" s="1"/>
      <c r="M90" s="1">
        <v>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48"/>
    </row>
    <row r="91" spans="1:32" s="8" customFormat="1" x14ac:dyDescent="0.25">
      <c r="A91" s="41" t="s">
        <v>330</v>
      </c>
      <c r="B91" s="15" t="s">
        <v>63</v>
      </c>
      <c r="C91" s="15" t="s">
        <v>64</v>
      </c>
      <c r="D91" s="15" t="s">
        <v>348</v>
      </c>
      <c r="E91" s="31"/>
      <c r="F91" s="31"/>
      <c r="G91" s="15" t="s">
        <v>252</v>
      </c>
      <c r="H91" s="1" t="s">
        <v>272</v>
      </c>
      <c r="I91" s="1"/>
      <c r="J91" s="1"/>
      <c r="K91" s="1"/>
      <c r="L91" s="1"/>
      <c r="M91" s="1"/>
      <c r="N91" s="1"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v>1</v>
      </c>
      <c r="AF91" s="48"/>
    </row>
    <row r="92" spans="1:32" s="8" customFormat="1" x14ac:dyDescent="0.25">
      <c r="A92" s="41" t="s">
        <v>330</v>
      </c>
      <c r="B92" s="15" t="s">
        <v>63</v>
      </c>
      <c r="C92" s="15" t="s">
        <v>64</v>
      </c>
      <c r="D92" s="15" t="s">
        <v>348</v>
      </c>
      <c r="E92" s="31"/>
      <c r="F92" s="31"/>
      <c r="G92" s="15" t="s">
        <v>67</v>
      </c>
      <c r="H92" s="1" t="s">
        <v>273</v>
      </c>
      <c r="I92" s="1"/>
      <c r="J92" s="1">
        <v>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48"/>
    </row>
    <row r="93" spans="1:32" s="8" customFormat="1" x14ac:dyDescent="0.25">
      <c r="A93" s="41" t="s">
        <v>330</v>
      </c>
      <c r="B93" s="15" t="s">
        <v>63</v>
      </c>
      <c r="C93" s="15" t="s">
        <v>64</v>
      </c>
      <c r="D93" s="15" t="s">
        <v>348</v>
      </c>
      <c r="E93" s="31"/>
      <c r="F93" s="31"/>
      <c r="G93" s="15" t="s">
        <v>252</v>
      </c>
      <c r="H93" s="1" t="s">
        <v>273</v>
      </c>
      <c r="I93" s="1"/>
      <c r="J93" s="1"/>
      <c r="K93" s="1"/>
      <c r="L93" s="1"/>
      <c r="M93" s="1"/>
      <c r="N93" s="1"/>
      <c r="O93" s="1">
        <v>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48"/>
    </row>
    <row r="94" spans="1:32" s="8" customFormat="1" x14ac:dyDescent="0.25">
      <c r="A94" s="41" t="s">
        <v>330</v>
      </c>
      <c r="B94" s="15" t="s">
        <v>63</v>
      </c>
      <c r="C94" s="15" t="s">
        <v>64</v>
      </c>
      <c r="D94" s="15" t="s">
        <v>348</v>
      </c>
      <c r="E94" s="31"/>
      <c r="F94" s="31"/>
      <c r="G94" s="15" t="s">
        <v>252</v>
      </c>
      <c r="H94" s="1" t="s">
        <v>274</v>
      </c>
      <c r="I94" s="1"/>
      <c r="J94" s="1"/>
      <c r="K94" s="1"/>
      <c r="L94" s="1"/>
      <c r="M94" s="1"/>
      <c r="N94" s="1"/>
      <c r="O94" s="1"/>
      <c r="P94" s="1"/>
      <c r="Q94" s="1"/>
      <c r="R94" s="1">
        <v>1</v>
      </c>
      <c r="S94" s="1"/>
      <c r="T94" s="1"/>
      <c r="U94" s="1"/>
      <c r="V94" s="1"/>
      <c r="W94" s="1"/>
      <c r="X94" s="1"/>
      <c r="Y94" s="1"/>
      <c r="Z94" s="1">
        <v>1</v>
      </c>
      <c r="AA94" s="1"/>
      <c r="AB94" s="1"/>
      <c r="AC94" s="1"/>
      <c r="AD94" s="1"/>
      <c r="AE94" s="1"/>
      <c r="AF94" s="48"/>
    </row>
    <row r="95" spans="1:32" s="8" customFormat="1" x14ac:dyDescent="0.25">
      <c r="A95" s="41" t="s">
        <v>330</v>
      </c>
      <c r="B95" s="15" t="s">
        <v>63</v>
      </c>
      <c r="C95" s="15" t="s">
        <v>64</v>
      </c>
      <c r="D95" s="15" t="s">
        <v>348</v>
      </c>
      <c r="E95" s="31"/>
      <c r="F95" s="31"/>
      <c r="G95" s="15" t="s">
        <v>252</v>
      </c>
      <c r="H95" s="1" t="s">
        <v>275</v>
      </c>
      <c r="I95" s="1"/>
      <c r="J95" s="1"/>
      <c r="K95" s="1"/>
      <c r="L95" s="1"/>
      <c r="M95" s="1"/>
      <c r="N95" s="1"/>
      <c r="O95" s="1">
        <v>1</v>
      </c>
      <c r="P95" s="1"/>
      <c r="Q95" s="1"/>
      <c r="R95" s="1"/>
      <c r="S95" s="1">
        <v>1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48"/>
    </row>
    <row r="96" spans="1:32" s="8" customFormat="1" x14ac:dyDescent="0.25">
      <c r="A96" s="41" t="s">
        <v>330</v>
      </c>
      <c r="B96" s="15" t="s">
        <v>63</v>
      </c>
      <c r="C96" s="15" t="s">
        <v>64</v>
      </c>
      <c r="D96" s="15" t="s">
        <v>348</v>
      </c>
      <c r="E96" s="31"/>
      <c r="F96" s="31"/>
      <c r="G96" s="15" t="s">
        <v>252</v>
      </c>
      <c r="H96" s="1" t="s">
        <v>276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1</v>
      </c>
      <c r="U96" s="1">
        <v>1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48"/>
    </row>
    <row r="97" spans="1:32" s="8" customFormat="1" ht="24" x14ac:dyDescent="0.25">
      <c r="A97" s="41" t="s">
        <v>330</v>
      </c>
      <c r="B97" s="15" t="s">
        <v>63</v>
      </c>
      <c r="C97" s="15" t="s">
        <v>64</v>
      </c>
      <c r="D97" s="15" t="s">
        <v>349</v>
      </c>
      <c r="E97" s="31">
        <v>400</v>
      </c>
      <c r="F97" s="31"/>
      <c r="G97" s="15" t="s">
        <v>253</v>
      </c>
      <c r="H97" s="1" t="s">
        <v>272</v>
      </c>
      <c r="I97" s="1"/>
      <c r="J97" s="1"/>
      <c r="K97" s="1"/>
      <c r="L97" s="1"/>
      <c r="M97" s="1"/>
      <c r="N97" s="1">
        <v>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48"/>
    </row>
    <row r="98" spans="1:32" s="8" customFormat="1" ht="24" x14ac:dyDescent="0.25">
      <c r="A98" s="41" t="s">
        <v>330</v>
      </c>
      <c r="B98" s="15" t="s">
        <v>63</v>
      </c>
      <c r="C98" s="15" t="s">
        <v>64</v>
      </c>
      <c r="D98" s="15" t="s">
        <v>349</v>
      </c>
      <c r="E98" s="31"/>
      <c r="F98" s="31"/>
      <c r="G98" s="15" t="s">
        <v>253</v>
      </c>
      <c r="H98" s="1" t="s">
        <v>273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1</v>
      </c>
      <c r="X98" s="1"/>
      <c r="Y98" s="1"/>
      <c r="Z98" s="1"/>
      <c r="AA98" s="1"/>
      <c r="AB98" s="1"/>
      <c r="AC98" s="1"/>
      <c r="AD98" s="1"/>
      <c r="AE98" s="1"/>
      <c r="AF98" s="48"/>
    </row>
    <row r="99" spans="1:32" s="8" customFormat="1" ht="24" x14ac:dyDescent="0.25">
      <c r="A99" s="41" t="s">
        <v>330</v>
      </c>
      <c r="B99" s="15" t="s">
        <v>63</v>
      </c>
      <c r="C99" s="15" t="s">
        <v>64</v>
      </c>
      <c r="D99" s="15" t="s">
        <v>349</v>
      </c>
      <c r="E99" s="31"/>
      <c r="F99" s="31"/>
      <c r="G99" s="15" t="s">
        <v>253</v>
      </c>
      <c r="H99" s="1" t="s">
        <v>274</v>
      </c>
      <c r="I99" s="1"/>
      <c r="J99" s="1"/>
      <c r="K99" s="1"/>
      <c r="L99" s="1"/>
      <c r="M99" s="1"/>
      <c r="N99" s="1"/>
      <c r="O99" s="1">
        <v>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48"/>
    </row>
    <row r="100" spans="1:32" s="8" customFormat="1" x14ac:dyDescent="0.25">
      <c r="A100" s="41" t="s">
        <v>330</v>
      </c>
      <c r="B100" s="15" t="s">
        <v>70</v>
      </c>
      <c r="C100" s="15" t="s">
        <v>71</v>
      </c>
      <c r="D100" s="15" t="s">
        <v>348</v>
      </c>
      <c r="E100" s="31">
        <v>4000</v>
      </c>
      <c r="F100" s="31"/>
      <c r="G100" s="15" t="s">
        <v>67</v>
      </c>
      <c r="H100" s="1" t="s">
        <v>265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48"/>
    </row>
    <row r="101" spans="1:32" s="8" customFormat="1" x14ac:dyDescent="0.25">
      <c r="A101" s="41" t="s">
        <v>330</v>
      </c>
      <c r="B101" s="15" t="s">
        <v>70</v>
      </c>
      <c r="C101" s="15" t="s">
        <v>71</v>
      </c>
      <c r="D101" s="15" t="s">
        <v>348</v>
      </c>
      <c r="E101" s="31"/>
      <c r="F101" s="31"/>
      <c r="G101" s="15" t="s">
        <v>252</v>
      </c>
      <c r="H101" s="1" t="s">
        <v>267</v>
      </c>
      <c r="I101" s="1"/>
      <c r="J101" s="1">
        <v>1</v>
      </c>
      <c r="K101" s="1"/>
      <c r="L101" s="1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48"/>
    </row>
    <row r="102" spans="1:32" s="8" customFormat="1" x14ac:dyDescent="0.25">
      <c r="A102" s="41" t="s">
        <v>330</v>
      </c>
      <c r="B102" s="15" t="s">
        <v>70</v>
      </c>
      <c r="C102" s="15" t="s">
        <v>71</v>
      </c>
      <c r="D102" s="15" t="s">
        <v>348</v>
      </c>
      <c r="E102" s="31"/>
      <c r="F102" s="31"/>
      <c r="G102" s="15" t="s">
        <v>252</v>
      </c>
      <c r="H102" s="1" t="s">
        <v>269</v>
      </c>
      <c r="I102" s="1"/>
      <c r="J102" s="1"/>
      <c r="K102" s="1"/>
      <c r="L102" s="1"/>
      <c r="M102" s="1"/>
      <c r="N102" s="1">
        <v>1</v>
      </c>
      <c r="O102" s="1">
        <v>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48"/>
    </row>
    <row r="103" spans="1:32" s="8" customFormat="1" x14ac:dyDescent="0.25">
      <c r="A103" s="41" t="s">
        <v>330</v>
      </c>
      <c r="B103" s="15" t="s">
        <v>70</v>
      </c>
      <c r="C103" s="15" t="s">
        <v>71</v>
      </c>
      <c r="D103" s="15" t="s">
        <v>348</v>
      </c>
      <c r="E103" s="31"/>
      <c r="F103" s="31"/>
      <c r="G103" s="15" t="s">
        <v>252</v>
      </c>
      <c r="H103" s="1" t="s">
        <v>272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>
        <v>1</v>
      </c>
      <c r="W103" s="1"/>
      <c r="X103" s="1"/>
      <c r="Y103" s="1"/>
      <c r="Z103" s="1"/>
      <c r="AA103" s="1"/>
      <c r="AB103" s="1"/>
      <c r="AC103" s="1"/>
      <c r="AD103" s="1"/>
      <c r="AE103" s="1"/>
      <c r="AF103" s="48"/>
    </row>
    <row r="104" spans="1:32" s="8" customFormat="1" x14ac:dyDescent="0.25">
      <c r="A104" s="41" t="s">
        <v>330</v>
      </c>
      <c r="B104" s="15" t="s">
        <v>70</v>
      </c>
      <c r="C104" s="15" t="s">
        <v>71</v>
      </c>
      <c r="D104" s="15" t="s">
        <v>348</v>
      </c>
      <c r="E104" s="31"/>
      <c r="F104" s="31"/>
      <c r="G104" s="15" t="s">
        <v>252</v>
      </c>
      <c r="H104" s="1" t="s">
        <v>273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>
        <v>1</v>
      </c>
      <c r="AF104" s="48"/>
    </row>
    <row r="105" spans="1:32" s="8" customFormat="1" x14ac:dyDescent="0.25">
      <c r="A105" s="41" t="s">
        <v>330</v>
      </c>
      <c r="B105" s="15" t="s">
        <v>70</v>
      </c>
      <c r="C105" s="15" t="s">
        <v>71</v>
      </c>
      <c r="D105" s="15" t="s">
        <v>348</v>
      </c>
      <c r="E105" s="31"/>
      <c r="F105" s="31"/>
      <c r="G105" s="15" t="s">
        <v>252</v>
      </c>
      <c r="H105" s="1" t="s">
        <v>274</v>
      </c>
      <c r="I105" s="1"/>
      <c r="J105" s="1"/>
      <c r="K105" s="1"/>
      <c r="L105" s="1"/>
      <c r="M105" s="1"/>
      <c r="N105" s="1"/>
      <c r="O105" s="1"/>
      <c r="P105" s="1">
        <v>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48"/>
    </row>
    <row r="106" spans="1:32" s="8" customFormat="1" x14ac:dyDescent="0.25">
      <c r="A106" s="41" t="s">
        <v>330</v>
      </c>
      <c r="B106" s="15" t="s">
        <v>70</v>
      </c>
      <c r="C106" s="15" t="s">
        <v>71</v>
      </c>
      <c r="D106" s="15" t="s">
        <v>349</v>
      </c>
      <c r="E106" s="31">
        <v>3500</v>
      </c>
      <c r="F106" s="31"/>
      <c r="G106" s="15" t="s">
        <v>259</v>
      </c>
      <c r="H106" s="1" t="s">
        <v>265</v>
      </c>
      <c r="I106" s="1">
        <v>1</v>
      </c>
      <c r="J106" s="1">
        <v>1</v>
      </c>
      <c r="K106" s="1">
        <v>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48"/>
    </row>
    <row r="107" spans="1:32" s="8" customFormat="1" ht="24" x14ac:dyDescent="0.25">
      <c r="A107" s="41" t="s">
        <v>330</v>
      </c>
      <c r="B107" s="15" t="s">
        <v>70</v>
      </c>
      <c r="C107" s="15" t="s">
        <v>71</v>
      </c>
      <c r="D107" s="15" t="s">
        <v>349</v>
      </c>
      <c r="E107" s="31"/>
      <c r="F107" s="31"/>
      <c r="G107" s="15" t="s">
        <v>253</v>
      </c>
      <c r="H107" s="1" t="s">
        <v>267</v>
      </c>
      <c r="I107" s="1"/>
      <c r="J107" s="1"/>
      <c r="K107" s="1">
        <v>1</v>
      </c>
      <c r="L107" s="1"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1</v>
      </c>
      <c r="X107" s="1">
        <v>1</v>
      </c>
      <c r="Y107" s="1"/>
      <c r="Z107" s="1"/>
      <c r="AA107" s="1"/>
      <c r="AB107" s="1"/>
      <c r="AC107" s="1"/>
      <c r="AD107" s="1"/>
      <c r="AE107" s="1"/>
      <c r="AF107" s="48"/>
    </row>
    <row r="108" spans="1:32" s="8" customFormat="1" ht="24" x14ac:dyDescent="0.25">
      <c r="A108" s="41" t="s">
        <v>330</v>
      </c>
      <c r="B108" s="15" t="s">
        <v>70</v>
      </c>
      <c r="C108" s="15" t="s">
        <v>71</v>
      </c>
      <c r="D108" s="15" t="s">
        <v>349</v>
      </c>
      <c r="E108" s="31"/>
      <c r="F108" s="31"/>
      <c r="G108" s="15" t="s">
        <v>253</v>
      </c>
      <c r="H108" s="1" t="s">
        <v>269</v>
      </c>
      <c r="I108" s="1"/>
      <c r="J108" s="1"/>
      <c r="K108" s="1"/>
      <c r="L108" s="1"/>
      <c r="M108" s="1">
        <v>1</v>
      </c>
      <c r="N108" s="1">
        <v>1</v>
      </c>
      <c r="O108" s="1">
        <v>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>
        <v>1</v>
      </c>
      <c r="AE108" s="1"/>
      <c r="AF108" s="48"/>
    </row>
    <row r="109" spans="1:32" s="8" customFormat="1" ht="24" x14ac:dyDescent="0.25">
      <c r="A109" s="41" t="s">
        <v>330</v>
      </c>
      <c r="B109" s="15" t="s">
        <v>70</v>
      </c>
      <c r="C109" s="15" t="s">
        <v>71</v>
      </c>
      <c r="D109" s="15" t="s">
        <v>349</v>
      </c>
      <c r="E109" s="31"/>
      <c r="F109" s="31"/>
      <c r="G109" s="15" t="s">
        <v>253</v>
      </c>
      <c r="H109" s="1" t="s">
        <v>272</v>
      </c>
      <c r="I109" s="1"/>
      <c r="J109" s="1"/>
      <c r="K109" s="1"/>
      <c r="L109" s="1"/>
      <c r="M109" s="1"/>
      <c r="N109" s="1"/>
      <c r="O109" s="1"/>
      <c r="P109" s="1">
        <v>1</v>
      </c>
      <c r="Q109" s="1">
        <v>1</v>
      </c>
      <c r="R109" s="1">
        <v>1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48"/>
    </row>
    <row r="110" spans="1:32" s="8" customFormat="1" ht="24" x14ac:dyDescent="0.25">
      <c r="A110" s="41" t="s">
        <v>330</v>
      </c>
      <c r="B110" s="15" t="s">
        <v>70</v>
      </c>
      <c r="C110" s="15" t="s">
        <v>71</v>
      </c>
      <c r="D110" s="15" t="s">
        <v>349</v>
      </c>
      <c r="E110" s="31"/>
      <c r="F110" s="31"/>
      <c r="G110" s="15" t="s">
        <v>253</v>
      </c>
      <c r="H110" s="1" t="s">
        <v>273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1</v>
      </c>
      <c r="U110" s="1">
        <v>1</v>
      </c>
      <c r="V110" s="1">
        <v>1</v>
      </c>
      <c r="W110" s="1"/>
      <c r="X110" s="1"/>
      <c r="Y110" s="1"/>
      <c r="Z110" s="1"/>
      <c r="AA110" s="1"/>
      <c r="AB110" s="1"/>
      <c r="AC110" s="1"/>
      <c r="AD110" s="1"/>
      <c r="AE110" s="1"/>
      <c r="AF110" s="48"/>
    </row>
    <row r="111" spans="1:32" s="8" customFormat="1" ht="24" x14ac:dyDescent="0.25">
      <c r="A111" s="41" t="s">
        <v>330</v>
      </c>
      <c r="B111" s="15" t="s">
        <v>70</v>
      </c>
      <c r="C111" s="15" t="s">
        <v>71</v>
      </c>
      <c r="D111" s="15" t="s">
        <v>349</v>
      </c>
      <c r="E111" s="31"/>
      <c r="F111" s="31"/>
      <c r="G111" s="15" t="s">
        <v>253</v>
      </c>
      <c r="H111" s="1" t="s">
        <v>274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>
        <v>1</v>
      </c>
      <c r="AB111" s="1">
        <v>1</v>
      </c>
      <c r="AC111" s="1">
        <v>1</v>
      </c>
      <c r="AD111" s="1"/>
      <c r="AE111" s="1"/>
      <c r="AF111" s="48"/>
    </row>
    <row r="112" spans="1:32" s="8" customFormat="1" ht="24" x14ac:dyDescent="0.25">
      <c r="A112" s="41" t="s">
        <v>330</v>
      </c>
      <c r="B112" s="15" t="s">
        <v>70</v>
      </c>
      <c r="C112" s="15" t="s">
        <v>71</v>
      </c>
      <c r="D112" s="15" t="s">
        <v>349</v>
      </c>
      <c r="E112" s="31"/>
      <c r="F112" s="31"/>
      <c r="G112" s="15" t="s">
        <v>253</v>
      </c>
      <c r="H112" s="1" t="s">
        <v>275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>
        <v>1</v>
      </c>
      <c r="T112" s="1"/>
      <c r="U112" s="1"/>
      <c r="V112" s="1"/>
      <c r="W112" s="1"/>
      <c r="X112" s="1"/>
      <c r="Y112" s="1">
        <v>1</v>
      </c>
      <c r="Z112" s="1">
        <v>1</v>
      </c>
      <c r="AA112" s="1"/>
      <c r="AB112" s="1"/>
      <c r="AC112" s="1"/>
      <c r="AD112" s="1"/>
      <c r="AE112" s="1"/>
      <c r="AF112" s="48"/>
    </row>
    <row r="113" spans="1:32" s="8" customFormat="1" x14ac:dyDescent="0.25">
      <c r="A113" s="41" t="s">
        <v>330</v>
      </c>
      <c r="B113" s="15" t="s">
        <v>73</v>
      </c>
      <c r="C113" s="15" t="s">
        <v>74</v>
      </c>
      <c r="D113" s="15" t="s">
        <v>349</v>
      </c>
      <c r="E113" s="31">
        <v>3200</v>
      </c>
      <c r="F113" s="31"/>
      <c r="G113" s="15" t="s">
        <v>259</v>
      </c>
      <c r="H113" s="1" t="s">
        <v>265</v>
      </c>
      <c r="I113" s="1">
        <v>1</v>
      </c>
      <c r="J113" s="1">
        <v>1</v>
      </c>
      <c r="K113" s="1"/>
      <c r="L113" s="1"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48"/>
    </row>
    <row r="114" spans="1:32" s="8" customFormat="1" ht="24" x14ac:dyDescent="0.25">
      <c r="A114" s="41" t="s">
        <v>330</v>
      </c>
      <c r="B114" s="15" t="s">
        <v>73</v>
      </c>
      <c r="C114" s="15" t="s">
        <v>74</v>
      </c>
      <c r="D114" s="15" t="s">
        <v>349</v>
      </c>
      <c r="E114" s="31"/>
      <c r="F114" s="31"/>
      <c r="G114" s="15" t="s">
        <v>253</v>
      </c>
      <c r="H114" s="1" t="s">
        <v>267</v>
      </c>
      <c r="I114" s="1"/>
      <c r="J114" s="1"/>
      <c r="K114" s="1"/>
      <c r="L114" s="1"/>
      <c r="M114" s="1">
        <v>1</v>
      </c>
      <c r="N114" s="1">
        <v>1</v>
      </c>
      <c r="O114" s="1">
        <v>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48"/>
    </row>
    <row r="115" spans="1:32" s="8" customFormat="1" ht="24" x14ac:dyDescent="0.25">
      <c r="A115" s="41" t="s">
        <v>330</v>
      </c>
      <c r="B115" s="15" t="s">
        <v>73</v>
      </c>
      <c r="C115" s="15" t="s">
        <v>74</v>
      </c>
      <c r="D115" s="15" t="s">
        <v>349</v>
      </c>
      <c r="E115" s="31"/>
      <c r="F115" s="31"/>
      <c r="G115" s="15" t="s">
        <v>253</v>
      </c>
      <c r="H115" s="1" t="s">
        <v>269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1</v>
      </c>
      <c r="X115" s="1">
        <v>1</v>
      </c>
      <c r="Y115" s="1"/>
      <c r="Z115" s="1"/>
      <c r="AA115" s="1"/>
      <c r="AB115" s="1"/>
      <c r="AC115" s="1"/>
      <c r="AD115" s="1">
        <v>1</v>
      </c>
      <c r="AE115" s="1"/>
      <c r="AF115" s="48"/>
    </row>
    <row r="116" spans="1:32" s="8" customFormat="1" ht="24" x14ac:dyDescent="0.25">
      <c r="A116" s="41" t="s">
        <v>330</v>
      </c>
      <c r="B116" s="15" t="s">
        <v>73</v>
      </c>
      <c r="C116" s="15" t="s">
        <v>74</v>
      </c>
      <c r="D116" s="15" t="s">
        <v>349</v>
      </c>
      <c r="E116" s="31"/>
      <c r="F116" s="31"/>
      <c r="G116" s="15" t="s">
        <v>253</v>
      </c>
      <c r="H116" s="1" t="s">
        <v>272</v>
      </c>
      <c r="I116" s="1"/>
      <c r="J116" s="1"/>
      <c r="K116" s="1"/>
      <c r="L116" s="1"/>
      <c r="M116" s="1"/>
      <c r="N116" s="1"/>
      <c r="O116" s="1"/>
      <c r="P116" s="1"/>
      <c r="Q116" s="1">
        <v>1</v>
      </c>
      <c r="R116" s="1">
        <v>1</v>
      </c>
      <c r="S116" s="1">
        <v>1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48"/>
    </row>
    <row r="117" spans="1:32" s="8" customFormat="1" ht="24" x14ac:dyDescent="0.25">
      <c r="A117" s="41" t="s">
        <v>330</v>
      </c>
      <c r="B117" s="15" t="s">
        <v>73</v>
      </c>
      <c r="C117" s="15" t="s">
        <v>74</v>
      </c>
      <c r="D117" s="15" t="s">
        <v>349</v>
      </c>
      <c r="E117" s="31"/>
      <c r="F117" s="31"/>
      <c r="G117" s="15" t="s">
        <v>253</v>
      </c>
      <c r="H117" s="1" t="s">
        <v>273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</v>
      </c>
      <c r="U117" s="1">
        <v>1</v>
      </c>
      <c r="V117" s="1">
        <v>1</v>
      </c>
      <c r="W117" s="1"/>
      <c r="X117" s="1"/>
      <c r="Y117" s="1"/>
      <c r="Z117" s="1"/>
      <c r="AA117" s="1"/>
      <c r="AB117" s="1"/>
      <c r="AC117" s="1"/>
      <c r="AD117" s="1"/>
      <c r="AE117" s="1"/>
      <c r="AF117" s="48"/>
    </row>
    <row r="118" spans="1:32" s="8" customFormat="1" ht="24" x14ac:dyDescent="0.25">
      <c r="A118" s="41" t="s">
        <v>330</v>
      </c>
      <c r="B118" s="15" t="s">
        <v>73</v>
      </c>
      <c r="C118" s="15" t="s">
        <v>74</v>
      </c>
      <c r="D118" s="15" t="s">
        <v>349</v>
      </c>
      <c r="E118" s="31"/>
      <c r="F118" s="31"/>
      <c r="G118" s="15" t="s">
        <v>253</v>
      </c>
      <c r="H118" s="1" t="s">
        <v>274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>
        <v>1</v>
      </c>
      <c r="AB118" s="1">
        <v>1</v>
      </c>
      <c r="AC118" s="1">
        <v>1</v>
      </c>
      <c r="AD118" s="1"/>
      <c r="AE118" s="1"/>
      <c r="AF118" s="48"/>
    </row>
    <row r="119" spans="1:32" s="8" customFormat="1" ht="24" x14ac:dyDescent="0.25">
      <c r="A119" s="41" t="s">
        <v>330</v>
      </c>
      <c r="B119" s="15" t="s">
        <v>73</v>
      </c>
      <c r="C119" s="15" t="s">
        <v>74</v>
      </c>
      <c r="D119" s="15" t="s">
        <v>349</v>
      </c>
      <c r="E119" s="31"/>
      <c r="F119" s="31"/>
      <c r="G119" s="15" t="s">
        <v>253</v>
      </c>
      <c r="H119" s="1" t="s">
        <v>275</v>
      </c>
      <c r="I119" s="1"/>
      <c r="J119" s="1"/>
      <c r="K119" s="1">
        <v>1</v>
      </c>
      <c r="L119" s="1"/>
      <c r="M119" s="1"/>
      <c r="N119" s="1"/>
      <c r="O119" s="1"/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>
        <v>1</v>
      </c>
      <c r="Z119" s="1"/>
      <c r="AA119" s="1"/>
      <c r="AB119" s="1"/>
      <c r="AC119" s="1"/>
      <c r="AD119" s="1"/>
      <c r="AE119" s="1"/>
      <c r="AF119" s="48"/>
    </row>
    <row r="120" spans="1:32" s="11" customFormat="1" x14ac:dyDescent="0.25">
      <c r="A120" s="41" t="s">
        <v>330</v>
      </c>
      <c r="B120" s="15" t="s">
        <v>73</v>
      </c>
      <c r="C120" s="15" t="s">
        <v>74</v>
      </c>
      <c r="D120" s="15" t="s">
        <v>350</v>
      </c>
      <c r="E120" s="31">
        <v>350</v>
      </c>
      <c r="F120" s="31"/>
      <c r="G120" s="15" t="s">
        <v>254</v>
      </c>
      <c r="H120" s="1" t="s">
        <v>272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>
        <v>1</v>
      </c>
      <c r="AC120" s="1"/>
      <c r="AD120" s="1"/>
      <c r="AE120" s="1"/>
      <c r="AF120" s="48"/>
    </row>
    <row r="121" spans="1:32" s="8" customFormat="1" x14ac:dyDescent="0.25">
      <c r="A121" s="41" t="s">
        <v>330</v>
      </c>
      <c r="B121" s="15" t="s">
        <v>73</v>
      </c>
      <c r="C121" s="15" t="s">
        <v>74</v>
      </c>
      <c r="D121" s="15" t="s">
        <v>350</v>
      </c>
      <c r="E121" s="31"/>
      <c r="F121" s="31"/>
      <c r="G121" s="15" t="s">
        <v>254</v>
      </c>
      <c r="H121" s="1" t="s">
        <v>274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>
        <v>1</v>
      </c>
      <c r="AF121" s="48"/>
    </row>
    <row r="122" spans="1:32" s="8" customFormat="1" x14ac:dyDescent="0.25">
      <c r="A122" s="41" t="s">
        <v>330</v>
      </c>
      <c r="B122" s="15" t="s">
        <v>77</v>
      </c>
      <c r="C122" s="15" t="s">
        <v>78</v>
      </c>
      <c r="D122" s="15" t="s">
        <v>348</v>
      </c>
      <c r="E122" s="31">
        <v>2000</v>
      </c>
      <c r="F122" s="31"/>
      <c r="G122" s="15" t="s">
        <v>252</v>
      </c>
      <c r="H122" s="1" t="s">
        <v>265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1</v>
      </c>
      <c r="AB122" s="1"/>
      <c r="AC122" s="1"/>
      <c r="AD122" s="1"/>
      <c r="AE122" s="1"/>
      <c r="AF122" s="48"/>
    </row>
    <row r="123" spans="1:32" s="8" customFormat="1" x14ac:dyDescent="0.25">
      <c r="A123" s="41" t="s">
        <v>330</v>
      </c>
      <c r="B123" s="15" t="s">
        <v>77</v>
      </c>
      <c r="C123" s="15" t="s">
        <v>78</v>
      </c>
      <c r="D123" s="15" t="s">
        <v>348</v>
      </c>
      <c r="E123" s="31"/>
      <c r="F123" s="31"/>
      <c r="G123" s="15" t="s">
        <v>252</v>
      </c>
      <c r="H123" s="1" t="s">
        <v>267</v>
      </c>
      <c r="I123" s="1"/>
      <c r="J123" s="1"/>
      <c r="K123" s="1"/>
      <c r="L123" s="1"/>
      <c r="M123" s="1"/>
      <c r="N123" s="1"/>
      <c r="O123" s="1">
        <v>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48"/>
    </row>
    <row r="124" spans="1:32" s="8" customFormat="1" x14ac:dyDescent="0.25">
      <c r="A124" s="41" t="s">
        <v>330</v>
      </c>
      <c r="B124" s="15" t="s">
        <v>77</v>
      </c>
      <c r="C124" s="15" t="s">
        <v>78</v>
      </c>
      <c r="D124" s="15" t="s">
        <v>348</v>
      </c>
      <c r="E124" s="31"/>
      <c r="F124" s="31"/>
      <c r="G124" s="15" t="s">
        <v>252</v>
      </c>
      <c r="H124" s="1" t="s">
        <v>269</v>
      </c>
      <c r="I124" s="1"/>
      <c r="J124" s="1"/>
      <c r="K124" s="1"/>
      <c r="L124" s="1"/>
      <c r="M124" s="1"/>
      <c r="N124" s="1"/>
      <c r="O124" s="1"/>
      <c r="P124" s="1">
        <v>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48"/>
    </row>
    <row r="125" spans="1:32" s="8" customFormat="1" x14ac:dyDescent="0.25">
      <c r="A125" s="41" t="s">
        <v>330</v>
      </c>
      <c r="B125" s="15" t="s">
        <v>77</v>
      </c>
      <c r="C125" s="15" t="s">
        <v>78</v>
      </c>
      <c r="D125" s="15" t="s">
        <v>348</v>
      </c>
      <c r="E125" s="31"/>
      <c r="F125" s="31"/>
      <c r="G125" s="15" t="s">
        <v>252</v>
      </c>
      <c r="H125" s="1" t="s">
        <v>272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0</v>
      </c>
      <c r="X125" s="1"/>
      <c r="Y125" s="1"/>
      <c r="Z125" s="1"/>
      <c r="AA125" s="1"/>
      <c r="AB125" s="1"/>
      <c r="AC125" s="1">
        <v>1</v>
      </c>
      <c r="AD125" s="1"/>
      <c r="AE125" s="1"/>
      <c r="AF125" s="48"/>
    </row>
    <row r="126" spans="1:32" s="8" customFormat="1" x14ac:dyDescent="0.25">
      <c r="A126" s="41" t="s">
        <v>331</v>
      </c>
      <c r="B126" s="15" t="s">
        <v>80</v>
      </c>
      <c r="C126" s="15" t="s">
        <v>81</v>
      </c>
      <c r="D126" s="15" t="s">
        <v>346</v>
      </c>
      <c r="E126" s="31">
        <v>260</v>
      </c>
      <c r="F126" s="31">
        <v>0</v>
      </c>
      <c r="G126" s="15" t="s">
        <v>258</v>
      </c>
      <c r="H126" s="1" t="s">
        <v>269</v>
      </c>
      <c r="I126" s="1"/>
      <c r="J126" s="1"/>
      <c r="K126" s="1"/>
      <c r="L126" s="1"/>
      <c r="M126" s="1"/>
      <c r="N126" s="1"/>
      <c r="O126" s="1">
        <v>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48"/>
    </row>
    <row r="127" spans="1:32" s="8" customFormat="1" x14ac:dyDescent="0.25">
      <c r="A127" s="41" t="s">
        <v>331</v>
      </c>
      <c r="B127" s="15" t="s">
        <v>80</v>
      </c>
      <c r="C127" s="15" t="s">
        <v>81</v>
      </c>
      <c r="D127" s="15" t="s">
        <v>346</v>
      </c>
      <c r="E127" s="31"/>
      <c r="F127" s="31"/>
      <c r="G127" s="15" t="s">
        <v>258</v>
      </c>
      <c r="H127" s="1" t="s">
        <v>273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1</v>
      </c>
      <c r="X127" s="1"/>
      <c r="Y127" s="1"/>
      <c r="Z127" s="1"/>
      <c r="AA127" s="1"/>
      <c r="AB127" s="1"/>
      <c r="AC127" s="1"/>
      <c r="AD127" s="1"/>
      <c r="AE127" s="1"/>
      <c r="AF127" s="48"/>
    </row>
    <row r="128" spans="1:32" s="8" customFormat="1" x14ac:dyDescent="0.25">
      <c r="A128" s="41" t="s">
        <v>331</v>
      </c>
      <c r="B128" s="15" t="s">
        <v>80</v>
      </c>
      <c r="C128" s="15" t="s">
        <v>81</v>
      </c>
      <c r="D128" s="15" t="s">
        <v>347</v>
      </c>
      <c r="E128" s="31">
        <v>2300</v>
      </c>
      <c r="F128" s="31"/>
      <c r="G128" s="15" t="s">
        <v>256</v>
      </c>
      <c r="H128" s="1" t="s">
        <v>261</v>
      </c>
      <c r="I128" s="1"/>
      <c r="J128" s="1">
        <v>1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48"/>
    </row>
    <row r="129" spans="1:32" s="8" customFormat="1" ht="24" x14ac:dyDescent="0.25">
      <c r="A129" s="41" t="s">
        <v>331</v>
      </c>
      <c r="B129" s="15" t="s">
        <v>80</v>
      </c>
      <c r="C129" s="15" t="s">
        <v>81</v>
      </c>
      <c r="D129" s="15" t="s">
        <v>347</v>
      </c>
      <c r="E129" s="31"/>
      <c r="F129" s="31"/>
      <c r="G129" s="15" t="s">
        <v>257</v>
      </c>
      <c r="H129" s="1" t="s">
        <v>265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v>1</v>
      </c>
      <c r="AB129" s="1"/>
      <c r="AC129" s="1"/>
      <c r="AD129" s="1"/>
      <c r="AE129" s="1"/>
      <c r="AF129" s="48"/>
    </row>
    <row r="130" spans="1:32" s="8" customFormat="1" ht="24" x14ac:dyDescent="0.25">
      <c r="A130" s="41" t="s">
        <v>331</v>
      </c>
      <c r="B130" s="15" t="s">
        <v>80</v>
      </c>
      <c r="C130" s="15" t="s">
        <v>81</v>
      </c>
      <c r="D130" s="15" t="s">
        <v>347</v>
      </c>
      <c r="E130" s="31"/>
      <c r="F130" s="31"/>
      <c r="G130" s="15" t="s">
        <v>257</v>
      </c>
      <c r="H130" s="1" t="s">
        <v>267</v>
      </c>
      <c r="I130" s="1"/>
      <c r="J130" s="1"/>
      <c r="K130" s="1">
        <v>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48"/>
    </row>
    <row r="131" spans="1:32" s="8" customFormat="1" ht="24" x14ac:dyDescent="0.25">
      <c r="A131" s="41" t="s">
        <v>331</v>
      </c>
      <c r="B131" s="15" t="s">
        <v>80</v>
      </c>
      <c r="C131" s="15" t="s">
        <v>81</v>
      </c>
      <c r="D131" s="15" t="s">
        <v>347</v>
      </c>
      <c r="E131" s="31"/>
      <c r="F131" s="31"/>
      <c r="G131" s="15" t="s">
        <v>257</v>
      </c>
      <c r="H131" s="1" t="s">
        <v>269</v>
      </c>
      <c r="I131" s="1"/>
      <c r="J131" s="1"/>
      <c r="K131" s="1"/>
      <c r="L131" s="1"/>
      <c r="M131" s="1">
        <v>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48"/>
    </row>
    <row r="132" spans="1:32" s="8" customFormat="1" ht="24" x14ac:dyDescent="0.25">
      <c r="A132" s="41" t="s">
        <v>331</v>
      </c>
      <c r="B132" s="15" t="s">
        <v>80</v>
      </c>
      <c r="C132" s="15" t="s">
        <v>81</v>
      </c>
      <c r="D132" s="15" t="s">
        <v>347</v>
      </c>
      <c r="E132" s="31"/>
      <c r="F132" s="31"/>
      <c r="G132" s="15" t="s">
        <v>257</v>
      </c>
      <c r="H132" s="1" t="s">
        <v>272</v>
      </c>
      <c r="I132" s="1"/>
      <c r="J132" s="1"/>
      <c r="K132" s="1"/>
      <c r="L132" s="1"/>
      <c r="M132" s="1"/>
      <c r="N132" s="1">
        <v>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48"/>
    </row>
    <row r="133" spans="1:32" s="8" customFormat="1" ht="24" x14ac:dyDescent="0.25">
      <c r="A133" s="41" t="s">
        <v>331</v>
      </c>
      <c r="B133" s="15" t="s">
        <v>80</v>
      </c>
      <c r="C133" s="15" t="s">
        <v>81</v>
      </c>
      <c r="D133" s="15" t="s">
        <v>347</v>
      </c>
      <c r="E133" s="31"/>
      <c r="F133" s="31"/>
      <c r="G133" s="15" t="s">
        <v>257</v>
      </c>
      <c r="H133" s="1" t="s">
        <v>273</v>
      </c>
      <c r="I133" s="1"/>
      <c r="J133" s="1"/>
      <c r="K133" s="1"/>
      <c r="L133" s="1"/>
      <c r="M133" s="1"/>
      <c r="N133" s="1"/>
      <c r="O133" s="1">
        <v>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48"/>
    </row>
    <row r="134" spans="1:32" s="8" customFormat="1" x14ac:dyDescent="0.25">
      <c r="A134" s="41" t="s">
        <v>331</v>
      </c>
      <c r="B134" s="15" t="s">
        <v>82</v>
      </c>
      <c r="C134" s="15" t="s">
        <v>83</v>
      </c>
      <c r="D134" s="15" t="s">
        <v>346</v>
      </c>
      <c r="E134" s="31">
        <v>230</v>
      </c>
      <c r="F134" s="31"/>
      <c r="G134" s="15" t="s">
        <v>258</v>
      </c>
      <c r="H134" s="1" t="s">
        <v>272</v>
      </c>
      <c r="I134" s="1"/>
      <c r="J134" s="1"/>
      <c r="K134" s="1"/>
      <c r="L134" s="1"/>
      <c r="M134" s="1"/>
      <c r="N134" s="1"/>
      <c r="O134" s="1">
        <v>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48"/>
    </row>
    <row r="135" spans="1:32" s="8" customFormat="1" x14ac:dyDescent="0.25">
      <c r="A135" s="41" t="s">
        <v>331</v>
      </c>
      <c r="B135" s="15" t="s">
        <v>82</v>
      </c>
      <c r="C135" s="15" t="s">
        <v>83</v>
      </c>
      <c r="D135" s="15" t="s">
        <v>346</v>
      </c>
      <c r="E135" s="31"/>
      <c r="F135" s="31"/>
      <c r="G135" s="15" t="s">
        <v>258</v>
      </c>
      <c r="H135" s="1" t="s">
        <v>274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>
        <v>1</v>
      </c>
      <c r="AB135" s="1"/>
      <c r="AC135" s="1"/>
      <c r="AD135" s="1"/>
      <c r="AE135" s="1"/>
      <c r="AF135" s="48"/>
    </row>
    <row r="136" spans="1:32" s="8" customFormat="1" ht="24" x14ac:dyDescent="0.25">
      <c r="A136" s="41" t="s">
        <v>331</v>
      </c>
      <c r="B136" s="15" t="s">
        <v>82</v>
      </c>
      <c r="C136" s="15" t="s">
        <v>83</v>
      </c>
      <c r="D136" s="15" t="s">
        <v>347</v>
      </c>
      <c r="E136" s="31">
        <v>1700</v>
      </c>
      <c r="F136" s="31"/>
      <c r="G136" s="15" t="s">
        <v>257</v>
      </c>
      <c r="H136" s="1" t="s">
        <v>265</v>
      </c>
      <c r="I136" s="1"/>
      <c r="J136" s="1">
        <v>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48"/>
    </row>
    <row r="137" spans="1:32" s="8" customFormat="1" ht="24" x14ac:dyDescent="0.25">
      <c r="A137" s="41" t="s">
        <v>331</v>
      </c>
      <c r="B137" s="15" t="s">
        <v>82</v>
      </c>
      <c r="C137" s="15" t="s">
        <v>83</v>
      </c>
      <c r="D137" s="15" t="s">
        <v>347</v>
      </c>
      <c r="E137" s="31"/>
      <c r="F137" s="31"/>
      <c r="G137" s="15" t="s">
        <v>257</v>
      </c>
      <c r="H137" s="1" t="s">
        <v>269</v>
      </c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48"/>
    </row>
    <row r="138" spans="1:32" s="8" customFormat="1" ht="24" x14ac:dyDescent="0.25">
      <c r="A138" s="41" t="s">
        <v>331</v>
      </c>
      <c r="B138" s="15" t="s">
        <v>82</v>
      </c>
      <c r="C138" s="15" t="s">
        <v>83</v>
      </c>
      <c r="D138" s="15" t="s">
        <v>347</v>
      </c>
      <c r="E138" s="31"/>
      <c r="F138" s="31"/>
      <c r="G138" s="15" t="s">
        <v>257</v>
      </c>
      <c r="H138" s="1" t="s">
        <v>273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>
        <v>1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48"/>
    </row>
    <row r="139" spans="1:32" s="8" customFormat="1" ht="24" x14ac:dyDescent="0.25">
      <c r="A139" s="41" t="s">
        <v>331</v>
      </c>
      <c r="B139" s="15" t="s">
        <v>82</v>
      </c>
      <c r="C139" s="15" t="s">
        <v>83</v>
      </c>
      <c r="D139" s="15" t="s">
        <v>347</v>
      </c>
      <c r="E139" s="31"/>
      <c r="F139" s="31"/>
      <c r="G139" s="15" t="s">
        <v>257</v>
      </c>
      <c r="H139" s="1" t="s">
        <v>275</v>
      </c>
      <c r="I139" s="1"/>
      <c r="J139" s="1"/>
      <c r="K139" s="1"/>
      <c r="L139" s="1"/>
      <c r="M139" s="1"/>
      <c r="N139" s="1"/>
      <c r="O139" s="1">
        <v>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48"/>
    </row>
    <row r="140" spans="1:32" s="8" customFormat="1" ht="24" x14ac:dyDescent="0.25">
      <c r="A140" s="42" t="s">
        <v>331</v>
      </c>
      <c r="B140" s="15" t="s">
        <v>84</v>
      </c>
      <c r="C140" s="2" t="s">
        <v>85</v>
      </c>
      <c r="D140" s="15" t="s">
        <v>348</v>
      </c>
      <c r="E140" s="31">
        <v>3000</v>
      </c>
      <c r="F140" s="31">
        <v>0</v>
      </c>
      <c r="G140" s="15" t="s">
        <v>67</v>
      </c>
      <c r="H140" s="1" t="s">
        <v>261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48"/>
    </row>
    <row r="141" spans="1:32" s="8" customFormat="1" ht="24" x14ac:dyDescent="0.25">
      <c r="A141" s="42" t="s">
        <v>331</v>
      </c>
      <c r="B141" s="15" t="s">
        <v>84</v>
      </c>
      <c r="C141" s="2" t="s">
        <v>85</v>
      </c>
      <c r="D141" s="15" t="s">
        <v>348</v>
      </c>
      <c r="E141" s="31"/>
      <c r="F141" s="31"/>
      <c r="G141" s="15" t="s">
        <v>252</v>
      </c>
      <c r="H141" s="1" t="s">
        <v>265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>
        <v>1</v>
      </c>
      <c r="AB141" s="1"/>
      <c r="AC141" s="1"/>
      <c r="AD141" s="1"/>
      <c r="AE141" s="1"/>
      <c r="AF141" s="48"/>
    </row>
    <row r="142" spans="1:32" s="8" customFormat="1" ht="24" x14ac:dyDescent="0.25">
      <c r="A142" s="42" t="s">
        <v>331</v>
      </c>
      <c r="B142" s="15" t="s">
        <v>84</v>
      </c>
      <c r="C142" s="2" t="s">
        <v>85</v>
      </c>
      <c r="D142" s="15" t="s">
        <v>348</v>
      </c>
      <c r="E142" s="31"/>
      <c r="F142" s="31"/>
      <c r="G142" s="15" t="s">
        <v>252</v>
      </c>
      <c r="H142" s="1" t="s">
        <v>267</v>
      </c>
      <c r="I142" s="1"/>
      <c r="J142" s="1"/>
      <c r="K142" s="1">
        <v>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48"/>
    </row>
    <row r="143" spans="1:32" s="8" customFormat="1" ht="24" x14ac:dyDescent="0.25">
      <c r="A143" s="42" t="s">
        <v>331</v>
      </c>
      <c r="B143" s="15" t="s">
        <v>84</v>
      </c>
      <c r="C143" s="2" t="s">
        <v>85</v>
      </c>
      <c r="D143" s="15" t="s">
        <v>348</v>
      </c>
      <c r="E143" s="31"/>
      <c r="F143" s="31"/>
      <c r="G143" s="15" t="s">
        <v>252</v>
      </c>
      <c r="H143" s="1" t="s">
        <v>269</v>
      </c>
      <c r="I143" s="1"/>
      <c r="J143" s="1"/>
      <c r="K143" s="1"/>
      <c r="L143" s="1"/>
      <c r="M143" s="1"/>
      <c r="N143" s="1"/>
      <c r="O143" s="1">
        <v>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48"/>
    </row>
    <row r="144" spans="1:32" s="8" customFormat="1" ht="24" x14ac:dyDescent="0.25">
      <c r="A144" s="42" t="s">
        <v>331</v>
      </c>
      <c r="B144" s="15" t="s">
        <v>84</v>
      </c>
      <c r="C144" s="2" t="s">
        <v>85</v>
      </c>
      <c r="D144" s="15" t="s">
        <v>348</v>
      </c>
      <c r="E144" s="31"/>
      <c r="F144" s="31"/>
      <c r="G144" s="15" t="s">
        <v>252</v>
      </c>
      <c r="H144" s="1" t="s">
        <v>272</v>
      </c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48"/>
    </row>
    <row r="145" spans="1:32" s="8" customFormat="1" ht="24" x14ac:dyDescent="0.25">
      <c r="A145" s="42" t="s">
        <v>331</v>
      </c>
      <c r="B145" s="15" t="s">
        <v>84</v>
      </c>
      <c r="C145" s="2" t="s">
        <v>85</v>
      </c>
      <c r="D145" s="15" t="s">
        <v>348</v>
      </c>
      <c r="E145" s="31"/>
      <c r="F145" s="31"/>
      <c r="G145" s="15" t="s">
        <v>252</v>
      </c>
      <c r="H145" s="1" t="s">
        <v>273</v>
      </c>
      <c r="I145" s="1"/>
      <c r="J145" s="1"/>
      <c r="K145" s="1"/>
      <c r="L145" s="1"/>
      <c r="M145" s="1"/>
      <c r="N145" s="1"/>
      <c r="O145" s="1"/>
      <c r="P145" s="1"/>
      <c r="Q145" s="1">
        <v>1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48"/>
    </row>
    <row r="146" spans="1:32" s="8" customFormat="1" ht="24" x14ac:dyDescent="0.25">
      <c r="A146" s="42" t="s">
        <v>331</v>
      </c>
      <c r="B146" s="15" t="s">
        <v>86</v>
      </c>
      <c r="C146" s="2" t="s">
        <v>87</v>
      </c>
      <c r="D146" s="15" t="s">
        <v>348</v>
      </c>
      <c r="E146" s="31">
        <v>3500</v>
      </c>
      <c r="F146" s="31">
        <v>0</v>
      </c>
      <c r="G146" s="15" t="s">
        <v>67</v>
      </c>
      <c r="H146" s="1" t="s">
        <v>261</v>
      </c>
      <c r="I146" s="1">
        <v>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48"/>
    </row>
    <row r="147" spans="1:32" s="8" customFormat="1" ht="24" x14ac:dyDescent="0.25">
      <c r="A147" s="42" t="s">
        <v>331</v>
      </c>
      <c r="B147" s="15" t="s">
        <v>86</v>
      </c>
      <c r="C147" s="2" t="s">
        <v>87</v>
      </c>
      <c r="D147" s="15" t="s">
        <v>348</v>
      </c>
      <c r="E147" s="31"/>
      <c r="F147" s="31"/>
      <c r="G147" s="15" t="s">
        <v>252</v>
      </c>
      <c r="H147" s="1" t="s">
        <v>265</v>
      </c>
      <c r="I147" s="1"/>
      <c r="J147" s="1"/>
      <c r="K147" s="1"/>
      <c r="L147" s="1"/>
      <c r="M147" s="1"/>
      <c r="N147" s="1"/>
      <c r="O147" s="1">
        <v>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48"/>
    </row>
    <row r="148" spans="1:32" s="8" customFormat="1" ht="24" x14ac:dyDescent="0.25">
      <c r="A148" s="42" t="s">
        <v>331</v>
      </c>
      <c r="B148" s="15" t="s">
        <v>86</v>
      </c>
      <c r="C148" s="2" t="s">
        <v>87</v>
      </c>
      <c r="D148" s="15" t="s">
        <v>348</v>
      </c>
      <c r="E148" s="31"/>
      <c r="F148" s="31"/>
      <c r="G148" s="15" t="s">
        <v>252</v>
      </c>
      <c r="H148" s="1" t="s">
        <v>267</v>
      </c>
      <c r="I148" s="1"/>
      <c r="J148" s="1"/>
      <c r="K148" s="1">
        <v>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48"/>
    </row>
    <row r="149" spans="1:32" s="8" customFormat="1" ht="24" x14ac:dyDescent="0.25">
      <c r="A149" s="42" t="s">
        <v>331</v>
      </c>
      <c r="B149" s="15" t="s">
        <v>86</v>
      </c>
      <c r="C149" s="2" t="s">
        <v>87</v>
      </c>
      <c r="D149" s="15" t="s">
        <v>348</v>
      </c>
      <c r="E149" s="31"/>
      <c r="F149" s="31"/>
      <c r="G149" s="15" t="s">
        <v>252</v>
      </c>
      <c r="H149" s="1" t="s">
        <v>269</v>
      </c>
      <c r="I149" s="1"/>
      <c r="J149" s="1"/>
      <c r="K149" s="1"/>
      <c r="L149" s="1">
        <v>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48"/>
    </row>
    <row r="150" spans="1:32" s="8" customFormat="1" ht="24" x14ac:dyDescent="0.25">
      <c r="A150" s="42" t="s">
        <v>331</v>
      </c>
      <c r="B150" s="15" t="s">
        <v>86</v>
      </c>
      <c r="C150" s="2" t="s">
        <v>87</v>
      </c>
      <c r="D150" s="15" t="s">
        <v>348</v>
      </c>
      <c r="E150" s="31"/>
      <c r="F150" s="31"/>
      <c r="G150" s="15" t="s">
        <v>252</v>
      </c>
      <c r="H150" s="1" t="s">
        <v>272</v>
      </c>
      <c r="I150" s="1"/>
      <c r="J150" s="1"/>
      <c r="K150" s="1"/>
      <c r="L150" s="1"/>
      <c r="M150" s="1"/>
      <c r="N150" s="1"/>
      <c r="O150" s="1"/>
      <c r="P150" s="1"/>
      <c r="Q150" s="1"/>
      <c r="R150" s="1">
        <v>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48"/>
    </row>
    <row r="151" spans="1:32" s="8" customFormat="1" ht="24" x14ac:dyDescent="0.25">
      <c r="A151" s="42" t="s">
        <v>331</v>
      </c>
      <c r="B151" s="15" t="s">
        <v>86</v>
      </c>
      <c r="C151" s="2" t="s">
        <v>87</v>
      </c>
      <c r="D151" s="15" t="s">
        <v>348</v>
      </c>
      <c r="E151" s="31"/>
      <c r="F151" s="31"/>
      <c r="G151" s="15" t="s">
        <v>252</v>
      </c>
      <c r="H151" s="1" t="s">
        <v>273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>
        <v>1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48"/>
    </row>
    <row r="152" spans="1:32" s="8" customFormat="1" ht="24" x14ac:dyDescent="0.25">
      <c r="A152" s="42" t="s">
        <v>331</v>
      </c>
      <c r="B152" s="15" t="s">
        <v>86</v>
      </c>
      <c r="C152" s="2" t="s">
        <v>87</v>
      </c>
      <c r="D152" s="15" t="s">
        <v>348</v>
      </c>
      <c r="E152" s="31"/>
      <c r="F152" s="31"/>
      <c r="G152" s="15" t="s">
        <v>252</v>
      </c>
      <c r="H152" s="1" t="s">
        <v>274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>
        <v>1</v>
      </c>
      <c r="AB152" s="1"/>
      <c r="AC152" s="1"/>
      <c r="AD152" s="1"/>
      <c r="AE152" s="1"/>
      <c r="AF152" s="48"/>
    </row>
    <row r="153" spans="1:32" s="8" customFormat="1" ht="24" x14ac:dyDescent="0.25">
      <c r="A153" s="41" t="s">
        <v>331</v>
      </c>
      <c r="B153" s="15" t="s">
        <v>86</v>
      </c>
      <c r="C153" s="15" t="s">
        <v>87</v>
      </c>
      <c r="D153" s="15" t="s">
        <v>353</v>
      </c>
      <c r="E153" s="31">
        <v>300</v>
      </c>
      <c r="F153" s="31">
        <v>0</v>
      </c>
      <c r="G153" s="15" t="s">
        <v>264</v>
      </c>
      <c r="H153" s="1" t="s">
        <v>269</v>
      </c>
      <c r="I153" s="1"/>
      <c r="J153" s="1">
        <v>1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48"/>
    </row>
    <row r="154" spans="1:32" s="8" customFormat="1" ht="24" x14ac:dyDescent="0.25">
      <c r="A154" s="41" t="s">
        <v>331</v>
      </c>
      <c r="B154" s="15" t="s">
        <v>86</v>
      </c>
      <c r="C154" s="15" t="s">
        <v>87</v>
      </c>
      <c r="D154" s="15" t="s">
        <v>353</v>
      </c>
      <c r="E154" s="31"/>
      <c r="F154" s="31"/>
      <c r="G154" s="15" t="s">
        <v>264</v>
      </c>
      <c r="H154" s="1" t="s">
        <v>273</v>
      </c>
      <c r="I154" s="1"/>
      <c r="J154" s="1"/>
      <c r="K154" s="1"/>
      <c r="L154" s="1"/>
      <c r="M154" s="1"/>
      <c r="N154" s="1"/>
      <c r="O154" s="1">
        <v>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48"/>
    </row>
    <row r="155" spans="1:32" s="8" customFormat="1" ht="24" x14ac:dyDescent="0.25">
      <c r="A155" s="43" t="s">
        <v>331</v>
      </c>
      <c r="B155" s="32" t="s">
        <v>86</v>
      </c>
      <c r="C155" s="15" t="s">
        <v>87</v>
      </c>
      <c r="D155" s="15" t="s">
        <v>350</v>
      </c>
      <c r="E155" s="31">
        <v>200</v>
      </c>
      <c r="F155" s="31">
        <v>0</v>
      </c>
      <c r="G155" s="15" t="s">
        <v>254</v>
      </c>
      <c r="H155" s="1" t="s">
        <v>269</v>
      </c>
      <c r="I155" s="33"/>
      <c r="J155" s="33"/>
      <c r="K155" s="33"/>
      <c r="L155" s="33"/>
      <c r="M155" s="33"/>
      <c r="N155" s="33"/>
      <c r="O155" s="33">
        <v>1</v>
      </c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49"/>
    </row>
    <row r="156" spans="1:32" s="8" customFormat="1" ht="24" x14ac:dyDescent="0.25">
      <c r="A156" s="43" t="s">
        <v>331</v>
      </c>
      <c r="B156" s="32" t="s">
        <v>86</v>
      </c>
      <c r="C156" s="15" t="s">
        <v>87</v>
      </c>
      <c r="D156" s="15" t="s">
        <v>350</v>
      </c>
      <c r="E156" s="31"/>
      <c r="F156" s="31"/>
      <c r="G156" s="15" t="s">
        <v>254</v>
      </c>
      <c r="H156" s="1" t="s">
        <v>273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>
        <v>1</v>
      </c>
      <c r="AA156" s="1"/>
      <c r="AB156" s="1"/>
      <c r="AC156" s="1"/>
      <c r="AD156" s="1"/>
      <c r="AE156" s="1"/>
      <c r="AF156" s="48"/>
    </row>
    <row r="157" spans="1:32" s="8" customFormat="1" x14ac:dyDescent="0.25">
      <c r="A157" s="41" t="s">
        <v>331</v>
      </c>
      <c r="B157" s="15" t="s">
        <v>90</v>
      </c>
      <c r="C157" s="15" t="s">
        <v>91</v>
      </c>
      <c r="D157" s="15" t="s">
        <v>350</v>
      </c>
      <c r="E157" s="31">
        <v>270</v>
      </c>
      <c r="F157" s="31">
        <v>0</v>
      </c>
      <c r="G157" s="15" t="s">
        <v>254</v>
      </c>
      <c r="H157" s="1" t="s">
        <v>269</v>
      </c>
      <c r="I157" s="1"/>
      <c r="J157" s="1"/>
      <c r="K157" s="1"/>
      <c r="L157" s="1"/>
      <c r="M157" s="1"/>
      <c r="N157" s="1"/>
      <c r="O157" s="1">
        <v>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48"/>
    </row>
    <row r="158" spans="1:32" s="8" customFormat="1" x14ac:dyDescent="0.25">
      <c r="A158" s="41" t="s">
        <v>331</v>
      </c>
      <c r="B158" s="15" t="s">
        <v>90</v>
      </c>
      <c r="C158" s="15" t="s">
        <v>91</v>
      </c>
      <c r="D158" s="15" t="s">
        <v>350</v>
      </c>
      <c r="E158" s="31"/>
      <c r="F158" s="31"/>
      <c r="G158" s="15" t="s">
        <v>254</v>
      </c>
      <c r="H158" s="1" t="s">
        <v>274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>
        <v>1</v>
      </c>
      <c r="AB158" s="1"/>
      <c r="AC158" s="1"/>
      <c r="AD158" s="1"/>
      <c r="AE158" s="1"/>
      <c r="AF158" s="48"/>
    </row>
    <row r="159" spans="1:32" s="8" customFormat="1" ht="24" x14ac:dyDescent="0.25">
      <c r="A159" s="41" t="s">
        <v>331</v>
      </c>
      <c r="B159" s="15" t="s">
        <v>90</v>
      </c>
      <c r="C159" s="15" t="s">
        <v>91</v>
      </c>
      <c r="D159" s="15" t="s">
        <v>351</v>
      </c>
      <c r="E159" s="31">
        <v>260</v>
      </c>
      <c r="F159" s="31">
        <v>0</v>
      </c>
      <c r="G159" s="15" t="s">
        <v>270</v>
      </c>
      <c r="H159" s="1" t="s">
        <v>269</v>
      </c>
      <c r="I159" s="1"/>
      <c r="J159" s="1"/>
      <c r="K159" s="1">
        <v>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48"/>
    </row>
    <row r="160" spans="1:32" s="8" customFormat="1" ht="24" x14ac:dyDescent="0.25">
      <c r="A160" s="41" t="s">
        <v>331</v>
      </c>
      <c r="B160" s="15" t="s">
        <v>90</v>
      </c>
      <c r="C160" s="15" t="s">
        <v>91</v>
      </c>
      <c r="D160" s="15" t="s">
        <v>351</v>
      </c>
      <c r="E160" s="31"/>
      <c r="F160" s="31"/>
      <c r="G160" s="15" t="s">
        <v>270</v>
      </c>
      <c r="H160" s="1" t="s">
        <v>274</v>
      </c>
      <c r="I160" s="1"/>
      <c r="J160" s="1"/>
      <c r="K160" s="1"/>
      <c r="L160" s="1"/>
      <c r="M160" s="1"/>
      <c r="N160" s="1"/>
      <c r="O160" s="1"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48"/>
    </row>
    <row r="161" spans="1:32" s="10" customFormat="1" x14ac:dyDescent="0.25">
      <c r="A161" s="41" t="s">
        <v>331</v>
      </c>
      <c r="B161" s="15" t="s">
        <v>90</v>
      </c>
      <c r="C161" s="15" t="s">
        <v>91</v>
      </c>
      <c r="D161" s="15" t="s">
        <v>352</v>
      </c>
      <c r="E161" s="31">
        <v>170</v>
      </c>
      <c r="F161" s="31">
        <v>0</v>
      </c>
      <c r="G161" s="15" t="s">
        <v>260</v>
      </c>
      <c r="H161" s="1" t="s">
        <v>269</v>
      </c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>
        <v>1</v>
      </c>
      <c r="X161" s="33"/>
      <c r="Y161" s="33"/>
      <c r="Z161" s="33"/>
      <c r="AA161" s="33"/>
      <c r="AB161" s="33"/>
      <c r="AC161" s="33"/>
      <c r="AD161" s="33"/>
      <c r="AE161" s="33"/>
      <c r="AF161" s="49"/>
    </row>
    <row r="162" spans="1:32" s="8" customFormat="1" x14ac:dyDescent="0.25">
      <c r="A162" s="41" t="s">
        <v>331</v>
      </c>
      <c r="B162" s="15" t="s">
        <v>90</v>
      </c>
      <c r="C162" s="15" t="s">
        <v>91</v>
      </c>
      <c r="D162" s="15" t="s">
        <v>352</v>
      </c>
      <c r="E162" s="31"/>
      <c r="F162" s="31"/>
      <c r="G162" s="15" t="s">
        <v>260</v>
      </c>
      <c r="H162" s="1" t="s">
        <v>274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1</v>
      </c>
      <c r="Y162" s="1"/>
      <c r="Z162" s="1"/>
      <c r="AA162" s="1"/>
      <c r="AB162" s="1"/>
      <c r="AC162" s="1"/>
      <c r="AD162" s="1"/>
      <c r="AE162" s="1"/>
      <c r="AF162" s="48"/>
    </row>
    <row r="163" spans="1:32" s="8" customFormat="1" ht="24" x14ac:dyDescent="0.25">
      <c r="A163" s="41" t="s">
        <v>332</v>
      </c>
      <c r="B163" s="15" t="s">
        <v>97</v>
      </c>
      <c r="C163" s="15" t="s">
        <v>98</v>
      </c>
      <c r="D163" s="15" t="s">
        <v>347</v>
      </c>
      <c r="E163" s="31">
        <v>300</v>
      </c>
      <c r="F163" s="31">
        <v>0</v>
      </c>
      <c r="G163" s="15" t="s">
        <v>257</v>
      </c>
      <c r="H163" s="1" t="s">
        <v>272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1</v>
      </c>
      <c r="AB163" s="1"/>
      <c r="AC163" s="1"/>
      <c r="AD163" s="1"/>
      <c r="AE163" s="1"/>
      <c r="AF163" s="48"/>
    </row>
    <row r="164" spans="1:32" s="8" customFormat="1" x14ac:dyDescent="0.25">
      <c r="A164" s="41" t="s">
        <v>332</v>
      </c>
      <c r="B164" s="15" t="s">
        <v>99</v>
      </c>
      <c r="C164" s="15" t="s">
        <v>100</v>
      </c>
      <c r="D164" s="15" t="s">
        <v>347</v>
      </c>
      <c r="E164" s="31">
        <v>1850</v>
      </c>
      <c r="F164" s="31">
        <v>0</v>
      </c>
      <c r="G164" s="15" t="s">
        <v>256</v>
      </c>
      <c r="H164" s="1" t="s">
        <v>261</v>
      </c>
      <c r="I164" s="1"/>
      <c r="J164" s="1">
        <v>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48"/>
    </row>
    <row r="165" spans="1:32" s="8" customFormat="1" ht="24" x14ac:dyDescent="0.25">
      <c r="A165" s="41" t="s">
        <v>332</v>
      </c>
      <c r="B165" s="15" t="s">
        <v>99</v>
      </c>
      <c r="C165" s="15" t="s">
        <v>100</v>
      </c>
      <c r="D165" s="15" t="s">
        <v>347</v>
      </c>
      <c r="E165" s="31"/>
      <c r="F165" s="31"/>
      <c r="G165" s="15" t="s">
        <v>257</v>
      </c>
      <c r="H165" s="1" t="s">
        <v>265</v>
      </c>
      <c r="I165" s="1"/>
      <c r="J165" s="1"/>
      <c r="K165" s="1"/>
      <c r="L165" s="1"/>
      <c r="M165" s="1"/>
      <c r="N165" s="1"/>
      <c r="O165" s="1">
        <v>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48"/>
    </row>
    <row r="166" spans="1:32" s="8" customFormat="1" ht="24" x14ac:dyDescent="0.25">
      <c r="A166" s="41" t="s">
        <v>332</v>
      </c>
      <c r="B166" s="15" t="s">
        <v>99</v>
      </c>
      <c r="C166" s="15" t="s">
        <v>100</v>
      </c>
      <c r="D166" s="15" t="s">
        <v>347</v>
      </c>
      <c r="E166" s="31"/>
      <c r="F166" s="31"/>
      <c r="G166" s="15" t="s">
        <v>257</v>
      </c>
      <c r="H166" s="1" t="s">
        <v>267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>
        <v>1</v>
      </c>
      <c r="W166" s="1"/>
      <c r="X166" s="1"/>
      <c r="Y166" s="1"/>
      <c r="Z166" s="1"/>
      <c r="AA166" s="1"/>
      <c r="AB166" s="1"/>
      <c r="AC166" s="1"/>
      <c r="AD166" s="1"/>
      <c r="AE166" s="1"/>
      <c r="AF166" s="48"/>
    </row>
    <row r="167" spans="1:32" s="8" customFormat="1" ht="24" x14ac:dyDescent="0.25">
      <c r="A167" s="41" t="s">
        <v>332</v>
      </c>
      <c r="B167" s="15" t="s">
        <v>99</v>
      </c>
      <c r="C167" s="15" t="s">
        <v>100</v>
      </c>
      <c r="D167" s="15" t="s">
        <v>347</v>
      </c>
      <c r="E167" s="31"/>
      <c r="F167" s="31"/>
      <c r="G167" s="15" t="s">
        <v>257</v>
      </c>
      <c r="H167" s="1" t="s">
        <v>269</v>
      </c>
      <c r="I167" s="1"/>
      <c r="J167" s="1"/>
      <c r="K167" s="1">
        <v>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48"/>
    </row>
    <row r="168" spans="1:32" s="8" customFormat="1" ht="24" x14ac:dyDescent="0.25">
      <c r="A168" s="41" t="s">
        <v>332</v>
      </c>
      <c r="B168" s="15" t="s">
        <v>99</v>
      </c>
      <c r="C168" s="15" t="s">
        <v>100</v>
      </c>
      <c r="D168" s="15" t="s">
        <v>347</v>
      </c>
      <c r="E168" s="31"/>
      <c r="F168" s="31"/>
      <c r="G168" s="15" t="s">
        <v>257</v>
      </c>
      <c r="H168" s="1" t="s">
        <v>273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>
        <v>1</v>
      </c>
      <c r="AB168" s="1"/>
      <c r="AC168" s="1"/>
      <c r="AD168" s="1"/>
      <c r="AE168" s="1"/>
      <c r="AF168" s="48"/>
    </row>
    <row r="169" spans="1:32" s="8" customFormat="1" x14ac:dyDescent="0.25">
      <c r="A169" s="42" t="s">
        <v>333</v>
      </c>
      <c r="B169" s="2" t="s">
        <v>102</v>
      </c>
      <c r="C169" s="2" t="s">
        <v>103</v>
      </c>
      <c r="D169" s="15" t="s">
        <v>346</v>
      </c>
      <c r="E169" s="31">
        <v>800</v>
      </c>
      <c r="F169" s="31">
        <v>253</v>
      </c>
      <c r="G169" s="15" t="s">
        <v>263</v>
      </c>
      <c r="H169" s="1" t="s">
        <v>265</v>
      </c>
      <c r="I169" s="1"/>
      <c r="J169" s="1"/>
      <c r="K169" s="1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48"/>
    </row>
    <row r="170" spans="1:32" s="8" customFormat="1" x14ac:dyDescent="0.25">
      <c r="A170" s="42" t="s">
        <v>333</v>
      </c>
      <c r="B170" s="2" t="s">
        <v>102</v>
      </c>
      <c r="C170" s="2" t="s">
        <v>103</v>
      </c>
      <c r="D170" s="15" t="s">
        <v>346</v>
      </c>
      <c r="E170" s="31"/>
      <c r="F170" s="31"/>
      <c r="G170" s="15" t="s">
        <v>258</v>
      </c>
      <c r="H170" s="1" t="s">
        <v>267</v>
      </c>
      <c r="I170" s="1"/>
      <c r="J170" s="1"/>
      <c r="K170" s="1"/>
      <c r="L170" s="1"/>
      <c r="M170" s="1"/>
      <c r="N170" s="1"/>
      <c r="O170" s="1">
        <v>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48"/>
    </row>
    <row r="171" spans="1:32" s="8" customFormat="1" x14ac:dyDescent="0.25">
      <c r="A171" s="42" t="s">
        <v>333</v>
      </c>
      <c r="B171" s="2" t="s">
        <v>102</v>
      </c>
      <c r="C171" s="2" t="s">
        <v>103</v>
      </c>
      <c r="D171" s="15" t="s">
        <v>346</v>
      </c>
      <c r="E171" s="31"/>
      <c r="F171" s="31"/>
      <c r="G171" s="15" t="s">
        <v>258</v>
      </c>
      <c r="H171" s="1" t="s">
        <v>269</v>
      </c>
      <c r="I171" s="1"/>
      <c r="J171" s="1">
        <v>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48"/>
    </row>
    <row r="172" spans="1:32" s="8" customFormat="1" x14ac:dyDescent="0.25">
      <c r="A172" s="42" t="s">
        <v>333</v>
      </c>
      <c r="B172" s="2" t="s">
        <v>102</v>
      </c>
      <c r="C172" s="2" t="s">
        <v>103</v>
      </c>
      <c r="D172" s="15" t="s">
        <v>346</v>
      </c>
      <c r="E172" s="31"/>
      <c r="F172" s="31"/>
      <c r="G172" s="15" t="s">
        <v>258</v>
      </c>
      <c r="H172" s="1" t="s">
        <v>272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48"/>
    </row>
    <row r="173" spans="1:32" s="8" customFormat="1" x14ac:dyDescent="0.25">
      <c r="A173" s="42" t="s">
        <v>333</v>
      </c>
      <c r="B173" s="2" t="s">
        <v>102</v>
      </c>
      <c r="C173" s="2" t="s">
        <v>103</v>
      </c>
      <c r="D173" s="15" t="s">
        <v>346</v>
      </c>
      <c r="E173" s="31"/>
      <c r="F173" s="31"/>
      <c r="G173" s="15" t="s">
        <v>258</v>
      </c>
      <c r="H173" s="1" t="s">
        <v>273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>
        <v>1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48"/>
    </row>
    <row r="174" spans="1:32" s="8" customFormat="1" x14ac:dyDescent="0.25">
      <c r="A174" s="42" t="s">
        <v>333</v>
      </c>
      <c r="B174" s="2" t="s">
        <v>102</v>
      </c>
      <c r="C174" s="2" t="s">
        <v>103</v>
      </c>
      <c r="D174" s="15" t="s">
        <v>346</v>
      </c>
      <c r="E174" s="31"/>
      <c r="F174" s="31"/>
      <c r="G174" s="15" t="s">
        <v>258</v>
      </c>
      <c r="H174" s="1" t="s">
        <v>274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>
        <v>1</v>
      </c>
      <c r="AE174" s="1"/>
      <c r="AF174" s="48"/>
    </row>
    <row r="175" spans="1:32" s="8" customFormat="1" x14ac:dyDescent="0.25">
      <c r="A175" s="42" t="s">
        <v>333</v>
      </c>
      <c r="B175" s="2" t="s">
        <v>102</v>
      </c>
      <c r="C175" s="2" t="s">
        <v>103</v>
      </c>
      <c r="D175" s="15" t="s">
        <v>346</v>
      </c>
      <c r="E175" s="31"/>
      <c r="F175" s="31"/>
      <c r="G175" s="15" t="s">
        <v>30</v>
      </c>
      <c r="H175" s="1" t="s">
        <v>265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48">
        <v>1</v>
      </c>
    </row>
    <row r="176" spans="1:32" s="8" customFormat="1" x14ac:dyDescent="0.25">
      <c r="A176" s="42" t="s">
        <v>333</v>
      </c>
      <c r="B176" s="2" t="s">
        <v>102</v>
      </c>
      <c r="C176" s="2" t="s">
        <v>103</v>
      </c>
      <c r="D176" s="15" t="s">
        <v>346</v>
      </c>
      <c r="E176" s="31"/>
      <c r="F176" s="31"/>
      <c r="G176" s="15" t="s">
        <v>30</v>
      </c>
      <c r="H176" s="1" t="s">
        <v>267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>
        <v>1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48"/>
    </row>
    <row r="177" spans="1:32" s="8" customFormat="1" x14ac:dyDescent="0.25">
      <c r="A177" s="42" t="s">
        <v>333</v>
      </c>
      <c r="B177" s="2" t="s">
        <v>102</v>
      </c>
      <c r="C177" s="2" t="s">
        <v>103</v>
      </c>
      <c r="D177" s="15" t="s">
        <v>347</v>
      </c>
      <c r="E177" s="31">
        <v>2446</v>
      </c>
      <c r="F177" s="31">
        <v>0</v>
      </c>
      <c r="G177" s="15" t="s">
        <v>256</v>
      </c>
      <c r="H177" s="1" t="s">
        <v>267</v>
      </c>
      <c r="I177" s="1"/>
      <c r="J177" s="1"/>
      <c r="K177" s="1"/>
      <c r="L177" s="1">
        <v>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48"/>
    </row>
    <row r="178" spans="1:32" s="8" customFormat="1" ht="24" x14ac:dyDescent="0.25">
      <c r="A178" s="42" t="s">
        <v>333</v>
      </c>
      <c r="B178" s="2" t="s">
        <v>102</v>
      </c>
      <c r="C178" s="2" t="s">
        <v>103</v>
      </c>
      <c r="D178" s="15" t="s">
        <v>347</v>
      </c>
      <c r="E178" s="31"/>
      <c r="F178" s="31"/>
      <c r="G178" s="15" t="s">
        <v>257</v>
      </c>
      <c r="H178" s="1" t="s">
        <v>269</v>
      </c>
      <c r="I178" s="1"/>
      <c r="J178" s="1"/>
      <c r="K178" s="1"/>
      <c r="L178" s="1"/>
      <c r="M178" s="1"/>
      <c r="N178" s="1"/>
      <c r="O178" s="1">
        <v>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48"/>
    </row>
    <row r="179" spans="1:32" s="8" customFormat="1" ht="24" x14ac:dyDescent="0.25">
      <c r="A179" s="42" t="s">
        <v>333</v>
      </c>
      <c r="B179" s="2" t="s">
        <v>102</v>
      </c>
      <c r="C179" s="2" t="s">
        <v>103</v>
      </c>
      <c r="D179" s="15" t="s">
        <v>347</v>
      </c>
      <c r="E179" s="31"/>
      <c r="F179" s="31"/>
      <c r="G179" s="15" t="s">
        <v>257</v>
      </c>
      <c r="H179" s="1" t="s">
        <v>272</v>
      </c>
      <c r="I179" s="1"/>
      <c r="J179" s="1">
        <v>1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48"/>
    </row>
    <row r="180" spans="1:32" s="8" customFormat="1" ht="24" x14ac:dyDescent="0.25">
      <c r="A180" s="42" t="s">
        <v>333</v>
      </c>
      <c r="B180" s="2" t="s">
        <v>102</v>
      </c>
      <c r="C180" s="2" t="s">
        <v>103</v>
      </c>
      <c r="D180" s="15" t="s">
        <v>347</v>
      </c>
      <c r="E180" s="31"/>
      <c r="F180" s="31"/>
      <c r="G180" s="15" t="s">
        <v>257</v>
      </c>
      <c r="H180" s="1" t="s">
        <v>273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48"/>
    </row>
    <row r="181" spans="1:32" s="8" customFormat="1" ht="24" x14ac:dyDescent="0.25">
      <c r="A181" s="42" t="s">
        <v>333</v>
      </c>
      <c r="B181" s="2" t="s">
        <v>102</v>
      </c>
      <c r="C181" s="2" t="s">
        <v>103</v>
      </c>
      <c r="D181" s="15" t="s">
        <v>347</v>
      </c>
      <c r="E181" s="31"/>
      <c r="F181" s="31"/>
      <c r="G181" s="15" t="s">
        <v>257</v>
      </c>
      <c r="H181" s="1" t="s">
        <v>274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>
        <v>1</v>
      </c>
      <c r="W181" s="1"/>
      <c r="X181" s="1"/>
      <c r="Y181" s="1"/>
      <c r="Z181" s="1"/>
      <c r="AA181" s="1"/>
      <c r="AB181" s="1"/>
      <c r="AC181" s="1"/>
      <c r="AD181" s="1"/>
      <c r="AE181" s="1"/>
      <c r="AF181" s="48"/>
    </row>
    <row r="182" spans="1:32" s="8" customFormat="1" ht="24" x14ac:dyDescent="0.25">
      <c r="A182" s="42" t="s">
        <v>333</v>
      </c>
      <c r="B182" s="2" t="s">
        <v>102</v>
      </c>
      <c r="C182" s="2" t="s">
        <v>103</v>
      </c>
      <c r="D182" s="15" t="s">
        <v>347</v>
      </c>
      <c r="E182" s="31"/>
      <c r="F182" s="31"/>
      <c r="G182" s="15" t="s">
        <v>257</v>
      </c>
      <c r="H182" s="1" t="s">
        <v>275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>
        <v>1</v>
      </c>
      <c r="AB182" s="1"/>
      <c r="AC182" s="1"/>
      <c r="AD182" s="1"/>
      <c r="AE182" s="1"/>
      <c r="AF182" s="48"/>
    </row>
    <row r="183" spans="1:32" s="8" customFormat="1" x14ac:dyDescent="0.25">
      <c r="A183" s="42" t="s">
        <v>333</v>
      </c>
      <c r="B183" s="2" t="s">
        <v>102</v>
      </c>
      <c r="C183" s="2" t="s">
        <v>103</v>
      </c>
      <c r="D183" s="15" t="s">
        <v>348</v>
      </c>
      <c r="E183" s="31">
        <v>2400</v>
      </c>
      <c r="F183" s="31">
        <v>0</v>
      </c>
      <c r="G183" s="15" t="s">
        <v>252</v>
      </c>
      <c r="H183" s="1" t="s">
        <v>255</v>
      </c>
      <c r="I183" s="1"/>
      <c r="J183" s="1"/>
      <c r="K183" s="1"/>
      <c r="L183" s="1"/>
      <c r="M183" s="1"/>
      <c r="N183" s="1"/>
      <c r="O183" s="1">
        <v>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48"/>
    </row>
    <row r="184" spans="1:32" s="8" customFormat="1" x14ac:dyDescent="0.25">
      <c r="A184" s="42" t="s">
        <v>333</v>
      </c>
      <c r="B184" s="2" t="s">
        <v>102</v>
      </c>
      <c r="C184" s="2" t="s">
        <v>103</v>
      </c>
      <c r="D184" s="15" t="s">
        <v>348</v>
      </c>
      <c r="E184" s="31"/>
      <c r="F184" s="31"/>
      <c r="G184" s="15" t="s">
        <v>252</v>
      </c>
      <c r="H184" s="1" t="s">
        <v>261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>
        <v>1</v>
      </c>
      <c r="AB184" s="1"/>
      <c r="AC184" s="1"/>
      <c r="AD184" s="1"/>
      <c r="AE184" s="1"/>
      <c r="AF184" s="48"/>
    </row>
    <row r="185" spans="1:32" s="8" customFormat="1" x14ac:dyDescent="0.25">
      <c r="A185" s="42" t="s">
        <v>333</v>
      </c>
      <c r="B185" s="2" t="s">
        <v>102</v>
      </c>
      <c r="C185" s="2" t="s">
        <v>103</v>
      </c>
      <c r="D185" s="15" t="s">
        <v>348</v>
      </c>
      <c r="E185" s="31"/>
      <c r="F185" s="31"/>
      <c r="G185" s="15" t="s">
        <v>252</v>
      </c>
      <c r="H185" s="1" t="s">
        <v>272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>
        <v>1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48"/>
    </row>
    <row r="186" spans="1:32" s="8" customFormat="1" x14ac:dyDescent="0.25">
      <c r="A186" s="42" t="s">
        <v>333</v>
      </c>
      <c r="B186" s="2" t="s">
        <v>102</v>
      </c>
      <c r="C186" s="2" t="s">
        <v>103</v>
      </c>
      <c r="D186" s="15" t="s">
        <v>348</v>
      </c>
      <c r="E186" s="31"/>
      <c r="F186" s="31"/>
      <c r="G186" s="15" t="s">
        <v>252</v>
      </c>
      <c r="H186" s="1" t="s">
        <v>274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>
        <v>1</v>
      </c>
      <c r="Y186" s="1"/>
      <c r="Z186" s="1"/>
      <c r="AA186" s="1"/>
      <c r="AB186" s="1"/>
      <c r="AC186" s="1"/>
      <c r="AD186" s="1"/>
      <c r="AE186" s="1"/>
      <c r="AF186" s="48"/>
    </row>
    <row r="187" spans="1:32" s="8" customFormat="1" x14ac:dyDescent="0.25">
      <c r="A187" s="42" t="s">
        <v>333</v>
      </c>
      <c r="B187" s="2" t="s">
        <v>105</v>
      </c>
      <c r="C187" s="2" t="s">
        <v>106</v>
      </c>
      <c r="D187" s="15" t="s">
        <v>346</v>
      </c>
      <c r="E187" s="31">
        <v>830</v>
      </c>
      <c r="F187" s="31">
        <v>409</v>
      </c>
      <c r="G187" s="15" t="s">
        <v>263</v>
      </c>
      <c r="H187" s="1" t="s">
        <v>261</v>
      </c>
      <c r="I187" s="1"/>
      <c r="J187" s="1">
        <v>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48"/>
    </row>
    <row r="188" spans="1:32" s="8" customFormat="1" x14ac:dyDescent="0.25">
      <c r="A188" s="42" t="s">
        <v>333</v>
      </c>
      <c r="B188" s="2" t="s">
        <v>105</v>
      </c>
      <c r="C188" s="2" t="s">
        <v>106</v>
      </c>
      <c r="D188" s="15" t="s">
        <v>346</v>
      </c>
      <c r="E188" s="31"/>
      <c r="F188" s="31"/>
      <c r="G188" s="15" t="s">
        <v>258</v>
      </c>
      <c r="H188" s="1" t="s">
        <v>265</v>
      </c>
      <c r="I188" s="1"/>
      <c r="J188" s="1"/>
      <c r="K188" s="1"/>
      <c r="L188" s="1">
        <v>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48"/>
    </row>
    <row r="189" spans="1:32" s="8" customFormat="1" x14ac:dyDescent="0.25">
      <c r="A189" s="42" t="s">
        <v>333</v>
      </c>
      <c r="B189" s="2" t="s">
        <v>105</v>
      </c>
      <c r="C189" s="2" t="s">
        <v>106</v>
      </c>
      <c r="D189" s="15" t="s">
        <v>346</v>
      </c>
      <c r="E189" s="31"/>
      <c r="F189" s="31"/>
      <c r="G189" s="15" t="s">
        <v>258</v>
      </c>
      <c r="H189" s="1" t="s">
        <v>267</v>
      </c>
      <c r="I189" s="1"/>
      <c r="J189" s="1"/>
      <c r="K189" s="1"/>
      <c r="L189" s="1"/>
      <c r="M189" s="1"/>
      <c r="N189" s="1"/>
      <c r="O189" s="1"/>
      <c r="P189" s="1"/>
      <c r="Q189" s="1"/>
      <c r="R189" s="1">
        <v>1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48"/>
    </row>
    <row r="190" spans="1:32" s="8" customFormat="1" x14ac:dyDescent="0.25">
      <c r="A190" s="42" t="s">
        <v>333</v>
      </c>
      <c r="B190" s="2" t="s">
        <v>105</v>
      </c>
      <c r="C190" s="2" t="s">
        <v>106</v>
      </c>
      <c r="D190" s="15" t="s">
        <v>346</v>
      </c>
      <c r="E190" s="31"/>
      <c r="F190" s="31"/>
      <c r="G190" s="15" t="s">
        <v>258</v>
      </c>
      <c r="H190" s="1" t="s">
        <v>269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>
        <v>1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48"/>
    </row>
    <row r="191" spans="1:32" s="8" customFormat="1" x14ac:dyDescent="0.25">
      <c r="A191" s="42" t="s">
        <v>333</v>
      </c>
      <c r="B191" s="2" t="s">
        <v>105</v>
      </c>
      <c r="C191" s="2" t="s">
        <v>106</v>
      </c>
      <c r="D191" s="15" t="s">
        <v>346</v>
      </c>
      <c r="E191" s="31"/>
      <c r="F191" s="31"/>
      <c r="G191" s="15" t="s">
        <v>258</v>
      </c>
      <c r="H191" s="1" t="s">
        <v>272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>
        <v>1</v>
      </c>
      <c r="AE191" s="1"/>
      <c r="AF191" s="48"/>
    </row>
    <row r="192" spans="1:32" s="8" customFormat="1" x14ac:dyDescent="0.25">
      <c r="A192" s="42" t="s">
        <v>333</v>
      </c>
      <c r="B192" s="2" t="s">
        <v>105</v>
      </c>
      <c r="C192" s="2" t="s">
        <v>106</v>
      </c>
      <c r="D192" s="15" t="s">
        <v>346</v>
      </c>
      <c r="E192" s="31"/>
      <c r="F192" s="31"/>
      <c r="G192" s="15" t="s">
        <v>258</v>
      </c>
      <c r="H192" s="1" t="s">
        <v>273</v>
      </c>
      <c r="I192" s="1"/>
      <c r="J192" s="1"/>
      <c r="K192" s="1"/>
      <c r="L192" s="1"/>
      <c r="M192" s="1"/>
      <c r="N192" s="1"/>
      <c r="O192" s="1">
        <v>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48"/>
    </row>
    <row r="193" spans="1:32" s="8" customFormat="1" x14ac:dyDescent="0.25">
      <c r="A193" s="42" t="s">
        <v>333</v>
      </c>
      <c r="B193" s="2" t="s">
        <v>105</v>
      </c>
      <c r="C193" s="2" t="s">
        <v>106</v>
      </c>
      <c r="D193" s="15" t="s">
        <v>346</v>
      </c>
      <c r="E193" s="31"/>
      <c r="F193" s="31"/>
      <c r="G193" s="15" t="s">
        <v>30</v>
      </c>
      <c r="H193" s="1" t="s">
        <v>261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>
        <v>1</v>
      </c>
      <c r="AE193" s="1"/>
      <c r="AF193" s="48"/>
    </row>
    <row r="194" spans="1:32" s="8" customFormat="1" x14ac:dyDescent="0.25">
      <c r="A194" s="42" t="s">
        <v>333</v>
      </c>
      <c r="B194" s="2" t="s">
        <v>105</v>
      </c>
      <c r="C194" s="2" t="s">
        <v>106</v>
      </c>
      <c r="D194" s="15" t="s">
        <v>346</v>
      </c>
      <c r="E194" s="31"/>
      <c r="F194" s="31"/>
      <c r="G194" s="15" t="s">
        <v>30</v>
      </c>
      <c r="H194" s="1" t="s">
        <v>265</v>
      </c>
      <c r="I194" s="1"/>
      <c r="J194" s="1"/>
      <c r="K194" s="1"/>
      <c r="L194" s="1"/>
      <c r="M194" s="1"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48"/>
    </row>
    <row r="195" spans="1:32" s="8" customFormat="1" x14ac:dyDescent="0.25">
      <c r="A195" s="42" t="s">
        <v>333</v>
      </c>
      <c r="B195" s="2" t="s">
        <v>105</v>
      </c>
      <c r="C195" s="2" t="s">
        <v>106</v>
      </c>
      <c r="D195" s="15" t="s">
        <v>346</v>
      </c>
      <c r="E195" s="31"/>
      <c r="F195" s="31"/>
      <c r="G195" s="15" t="s">
        <v>30</v>
      </c>
      <c r="H195" s="1" t="s">
        <v>267</v>
      </c>
      <c r="I195" s="1"/>
      <c r="J195" s="1"/>
      <c r="K195" s="1"/>
      <c r="L195" s="1"/>
      <c r="M195" s="1"/>
      <c r="N195" s="1"/>
      <c r="O195" s="1">
        <v>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48"/>
    </row>
    <row r="196" spans="1:32" s="8" customFormat="1" x14ac:dyDescent="0.25">
      <c r="A196" s="42" t="s">
        <v>333</v>
      </c>
      <c r="B196" s="2" t="s">
        <v>105</v>
      </c>
      <c r="C196" s="2" t="s">
        <v>106</v>
      </c>
      <c r="D196" s="15" t="s">
        <v>347</v>
      </c>
      <c r="E196" s="31">
        <v>2610</v>
      </c>
      <c r="F196" s="31">
        <v>0</v>
      </c>
      <c r="G196" s="15" t="s">
        <v>256</v>
      </c>
      <c r="H196" s="1" t="s">
        <v>265</v>
      </c>
      <c r="I196" s="1"/>
      <c r="J196" s="1"/>
      <c r="K196" s="1"/>
      <c r="L196" s="1">
        <v>1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48"/>
    </row>
    <row r="197" spans="1:32" s="8" customFormat="1" ht="24" x14ac:dyDescent="0.25">
      <c r="A197" s="42" t="s">
        <v>333</v>
      </c>
      <c r="B197" s="2" t="s">
        <v>105</v>
      </c>
      <c r="C197" s="2" t="s">
        <v>106</v>
      </c>
      <c r="D197" s="15" t="s">
        <v>347</v>
      </c>
      <c r="E197" s="31"/>
      <c r="F197" s="31"/>
      <c r="G197" s="15" t="s">
        <v>257</v>
      </c>
      <c r="H197" s="1" t="s">
        <v>267</v>
      </c>
      <c r="I197" s="1"/>
      <c r="J197" s="1">
        <v>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48"/>
    </row>
    <row r="198" spans="1:32" s="8" customFormat="1" ht="24" x14ac:dyDescent="0.25">
      <c r="A198" s="42" t="s">
        <v>333</v>
      </c>
      <c r="B198" s="2" t="s">
        <v>105</v>
      </c>
      <c r="C198" s="2" t="s">
        <v>106</v>
      </c>
      <c r="D198" s="15" t="s">
        <v>347</v>
      </c>
      <c r="E198" s="31"/>
      <c r="F198" s="31"/>
      <c r="G198" s="15" t="s">
        <v>257</v>
      </c>
      <c r="H198" s="1" t="s">
        <v>269</v>
      </c>
      <c r="I198" s="1"/>
      <c r="J198" s="1"/>
      <c r="K198" s="1"/>
      <c r="L198" s="1"/>
      <c r="M198" s="1">
        <v>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48"/>
    </row>
    <row r="199" spans="1:32" s="8" customFormat="1" ht="24" x14ac:dyDescent="0.25">
      <c r="A199" s="42" t="s">
        <v>333</v>
      </c>
      <c r="B199" s="2" t="s">
        <v>105</v>
      </c>
      <c r="C199" s="2" t="s">
        <v>106</v>
      </c>
      <c r="D199" s="15" t="s">
        <v>347</v>
      </c>
      <c r="E199" s="31"/>
      <c r="F199" s="31"/>
      <c r="G199" s="15" t="s">
        <v>257</v>
      </c>
      <c r="H199" s="1" t="s">
        <v>272</v>
      </c>
      <c r="I199" s="1"/>
      <c r="J199" s="1"/>
      <c r="K199" s="1"/>
      <c r="L199" s="1"/>
      <c r="M199" s="1"/>
      <c r="N199" s="1">
        <v>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48"/>
    </row>
    <row r="200" spans="1:32" s="8" customFormat="1" ht="24" x14ac:dyDescent="0.25">
      <c r="A200" s="42" t="s">
        <v>333</v>
      </c>
      <c r="B200" s="2" t="s">
        <v>105</v>
      </c>
      <c r="C200" s="2" t="s">
        <v>106</v>
      </c>
      <c r="D200" s="15" t="s">
        <v>347</v>
      </c>
      <c r="E200" s="31"/>
      <c r="F200" s="31"/>
      <c r="G200" s="15" t="s">
        <v>257</v>
      </c>
      <c r="H200" s="1" t="s">
        <v>273</v>
      </c>
      <c r="I200" s="1"/>
      <c r="J200" s="1"/>
      <c r="K200" s="1"/>
      <c r="L200" s="1"/>
      <c r="M200" s="1"/>
      <c r="N200" s="1"/>
      <c r="O200" s="1">
        <v>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48"/>
    </row>
    <row r="201" spans="1:32" s="8" customFormat="1" ht="24" x14ac:dyDescent="0.25">
      <c r="A201" s="42" t="s">
        <v>333</v>
      </c>
      <c r="B201" s="2" t="s">
        <v>105</v>
      </c>
      <c r="C201" s="2" t="s">
        <v>106</v>
      </c>
      <c r="D201" s="15" t="s">
        <v>347</v>
      </c>
      <c r="E201" s="31"/>
      <c r="F201" s="31"/>
      <c r="G201" s="15" t="s">
        <v>257</v>
      </c>
      <c r="H201" s="1" t="s">
        <v>274</v>
      </c>
      <c r="I201" s="1"/>
      <c r="J201" s="1"/>
      <c r="K201" s="1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48"/>
    </row>
    <row r="202" spans="1:32" s="8" customFormat="1" ht="24" x14ac:dyDescent="0.25">
      <c r="A202" s="42" t="s">
        <v>333</v>
      </c>
      <c r="B202" s="2" t="s">
        <v>105</v>
      </c>
      <c r="C202" s="2" t="s">
        <v>106</v>
      </c>
      <c r="D202" s="15" t="s">
        <v>347</v>
      </c>
      <c r="E202" s="31"/>
      <c r="F202" s="31"/>
      <c r="G202" s="15" t="s">
        <v>257</v>
      </c>
      <c r="H202" s="1" t="s">
        <v>275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>
        <v>1</v>
      </c>
      <c r="AB202" s="1"/>
      <c r="AC202" s="1"/>
      <c r="AD202" s="1"/>
      <c r="AE202" s="1"/>
      <c r="AF202" s="48"/>
    </row>
    <row r="203" spans="1:32" s="8" customFormat="1" x14ac:dyDescent="0.25">
      <c r="A203" s="42" t="s">
        <v>333</v>
      </c>
      <c r="B203" s="2" t="s">
        <v>105</v>
      </c>
      <c r="C203" s="2" t="s">
        <v>106</v>
      </c>
      <c r="D203" s="15" t="s">
        <v>348</v>
      </c>
      <c r="E203" s="31">
        <v>10000</v>
      </c>
      <c r="F203" s="31">
        <v>0</v>
      </c>
      <c r="G203" s="15" t="s">
        <v>252</v>
      </c>
      <c r="H203" s="1" t="s">
        <v>261</v>
      </c>
      <c r="I203" s="1"/>
      <c r="J203" s="1">
        <v>1</v>
      </c>
      <c r="K203" s="1"/>
      <c r="L203" s="1"/>
      <c r="M203" s="1"/>
      <c r="N203" s="1">
        <v>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48"/>
    </row>
    <row r="204" spans="1:32" s="8" customFormat="1" x14ac:dyDescent="0.25">
      <c r="A204" s="42" t="s">
        <v>333</v>
      </c>
      <c r="B204" s="2" t="s">
        <v>105</v>
      </c>
      <c r="C204" s="2" t="s">
        <v>106</v>
      </c>
      <c r="D204" s="15" t="s">
        <v>348</v>
      </c>
      <c r="E204" s="31"/>
      <c r="F204" s="31"/>
      <c r="G204" s="15" t="s">
        <v>252</v>
      </c>
      <c r="H204" s="1" t="s">
        <v>265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>
        <v>1</v>
      </c>
      <c r="AB204" s="1"/>
      <c r="AC204" s="1">
        <v>1</v>
      </c>
      <c r="AD204" s="1"/>
      <c r="AE204" s="1"/>
      <c r="AF204" s="48"/>
    </row>
    <row r="205" spans="1:32" s="8" customFormat="1" x14ac:dyDescent="0.25">
      <c r="A205" s="42" t="s">
        <v>333</v>
      </c>
      <c r="B205" s="2" t="s">
        <v>105</v>
      </c>
      <c r="C205" s="2" t="s">
        <v>106</v>
      </c>
      <c r="D205" s="15" t="s">
        <v>348</v>
      </c>
      <c r="E205" s="31"/>
      <c r="F205" s="31"/>
      <c r="G205" s="15" t="s">
        <v>252</v>
      </c>
      <c r="H205" s="1" t="s">
        <v>267</v>
      </c>
      <c r="I205" s="1"/>
      <c r="J205" s="1"/>
      <c r="K205" s="1">
        <v>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>
        <v>1</v>
      </c>
      <c r="AF205" s="48"/>
    </row>
    <row r="206" spans="1:32" s="8" customFormat="1" x14ac:dyDescent="0.25">
      <c r="A206" s="42" t="s">
        <v>333</v>
      </c>
      <c r="B206" s="2" t="s">
        <v>105</v>
      </c>
      <c r="C206" s="2" t="s">
        <v>106</v>
      </c>
      <c r="D206" s="15" t="s">
        <v>348</v>
      </c>
      <c r="E206" s="31"/>
      <c r="F206" s="31"/>
      <c r="G206" s="15" t="s">
        <v>252</v>
      </c>
      <c r="H206" s="1" t="s">
        <v>269</v>
      </c>
      <c r="I206" s="1"/>
      <c r="J206" s="1"/>
      <c r="K206" s="1"/>
      <c r="L206" s="1">
        <v>1</v>
      </c>
      <c r="M206" s="1"/>
      <c r="N206" s="1"/>
      <c r="O206" s="1"/>
      <c r="P206" s="1">
        <v>1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48"/>
    </row>
    <row r="207" spans="1:32" s="8" customFormat="1" x14ac:dyDescent="0.25">
      <c r="A207" s="42" t="s">
        <v>333</v>
      </c>
      <c r="B207" s="2" t="s">
        <v>105</v>
      </c>
      <c r="C207" s="2" t="s">
        <v>106</v>
      </c>
      <c r="D207" s="15" t="s">
        <v>348</v>
      </c>
      <c r="E207" s="31"/>
      <c r="F207" s="31"/>
      <c r="G207" s="15" t="s">
        <v>252</v>
      </c>
      <c r="H207" s="1" t="s">
        <v>272</v>
      </c>
      <c r="I207" s="1"/>
      <c r="J207" s="1"/>
      <c r="K207" s="1"/>
      <c r="L207" s="1"/>
      <c r="M207" s="1">
        <v>1</v>
      </c>
      <c r="N207" s="1"/>
      <c r="O207" s="1"/>
      <c r="P207" s="1"/>
      <c r="Q207" s="1">
        <v>1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48"/>
    </row>
    <row r="208" spans="1:32" s="8" customFormat="1" x14ac:dyDescent="0.25">
      <c r="A208" s="42" t="s">
        <v>333</v>
      </c>
      <c r="B208" s="2" t="s">
        <v>105</v>
      </c>
      <c r="C208" s="2" t="s">
        <v>106</v>
      </c>
      <c r="D208" s="15" t="s">
        <v>348</v>
      </c>
      <c r="E208" s="31"/>
      <c r="F208" s="31"/>
      <c r="G208" s="15" t="s">
        <v>67</v>
      </c>
      <c r="H208" s="1" t="s">
        <v>273</v>
      </c>
      <c r="I208" s="1">
        <v>1</v>
      </c>
      <c r="J208" s="1"/>
      <c r="K208" s="1">
        <v>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48"/>
    </row>
    <row r="209" spans="1:32" s="8" customFormat="1" x14ac:dyDescent="0.25">
      <c r="A209" s="42" t="s">
        <v>333</v>
      </c>
      <c r="B209" s="2" t="s">
        <v>105</v>
      </c>
      <c r="C209" s="2" t="s">
        <v>106</v>
      </c>
      <c r="D209" s="15" t="s">
        <v>348</v>
      </c>
      <c r="E209" s="31"/>
      <c r="F209" s="31"/>
      <c r="G209" s="15" t="s">
        <v>252</v>
      </c>
      <c r="H209" s="1" t="s">
        <v>274</v>
      </c>
      <c r="I209" s="1"/>
      <c r="J209" s="1"/>
      <c r="K209" s="1"/>
      <c r="L209" s="1"/>
      <c r="M209" s="1"/>
      <c r="N209" s="1"/>
      <c r="O209" s="1">
        <v>1</v>
      </c>
      <c r="P209" s="1"/>
      <c r="Q209" s="1"/>
      <c r="R209" s="1">
        <v>1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48"/>
    </row>
    <row r="210" spans="1:32" s="8" customFormat="1" x14ac:dyDescent="0.25">
      <c r="A210" s="42" t="s">
        <v>333</v>
      </c>
      <c r="B210" s="2" t="s">
        <v>105</v>
      </c>
      <c r="C210" s="2" t="s">
        <v>106</v>
      </c>
      <c r="D210" s="15" t="s">
        <v>348</v>
      </c>
      <c r="E210" s="31"/>
      <c r="F210" s="31"/>
      <c r="G210" s="15" t="s">
        <v>252</v>
      </c>
      <c r="H210" s="1" t="s">
        <v>275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>
        <v>1</v>
      </c>
      <c r="T210" s="1"/>
      <c r="U210" s="1">
        <v>1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48"/>
    </row>
    <row r="211" spans="1:32" s="8" customFormat="1" x14ac:dyDescent="0.25">
      <c r="A211" s="42" t="s">
        <v>333</v>
      </c>
      <c r="B211" s="2" t="s">
        <v>105</v>
      </c>
      <c r="C211" s="2" t="s">
        <v>106</v>
      </c>
      <c r="D211" s="15" t="s">
        <v>348</v>
      </c>
      <c r="E211" s="31"/>
      <c r="F211" s="31"/>
      <c r="G211" s="15" t="s">
        <v>252</v>
      </c>
      <c r="H211" s="1" t="s">
        <v>276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1</v>
      </c>
      <c r="U211" s="1"/>
      <c r="V211" s="1"/>
      <c r="W211" s="1"/>
      <c r="X211" s="1"/>
      <c r="Y211" s="1"/>
      <c r="Z211" s="1"/>
      <c r="AA211" s="1"/>
      <c r="AB211" s="1">
        <v>1</v>
      </c>
      <c r="AC211" s="1"/>
      <c r="AD211" s="1"/>
      <c r="AE211" s="1"/>
      <c r="AF211" s="48"/>
    </row>
    <row r="212" spans="1:32" s="8" customFormat="1" x14ac:dyDescent="0.25">
      <c r="A212" s="42" t="s">
        <v>333</v>
      </c>
      <c r="B212" s="2" t="s">
        <v>107</v>
      </c>
      <c r="C212" s="2" t="s">
        <v>108</v>
      </c>
      <c r="D212" s="15" t="s">
        <v>346</v>
      </c>
      <c r="E212" s="31">
        <v>1100</v>
      </c>
      <c r="F212" s="31">
        <v>1123</v>
      </c>
      <c r="G212" s="15" t="s">
        <v>263</v>
      </c>
      <c r="H212" s="1" t="s">
        <v>265</v>
      </c>
      <c r="I212" s="1"/>
      <c r="J212" s="1"/>
      <c r="K212" s="1">
        <v>1</v>
      </c>
      <c r="L212" s="1">
        <v>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48"/>
    </row>
    <row r="213" spans="1:32" s="8" customFormat="1" x14ac:dyDescent="0.25">
      <c r="A213" s="42" t="s">
        <v>333</v>
      </c>
      <c r="B213" s="2" t="s">
        <v>107</v>
      </c>
      <c r="C213" s="2" t="s">
        <v>108</v>
      </c>
      <c r="D213" s="15" t="s">
        <v>346</v>
      </c>
      <c r="E213" s="31"/>
      <c r="F213" s="31"/>
      <c r="G213" s="15" t="s">
        <v>258</v>
      </c>
      <c r="H213" s="1" t="s">
        <v>267</v>
      </c>
      <c r="I213" s="1"/>
      <c r="J213" s="1"/>
      <c r="K213" s="1"/>
      <c r="L213" s="1"/>
      <c r="M213" s="1"/>
      <c r="N213" s="1"/>
      <c r="O213" s="1">
        <v>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48"/>
    </row>
    <row r="214" spans="1:32" s="8" customFormat="1" x14ac:dyDescent="0.25">
      <c r="A214" s="42" t="s">
        <v>333</v>
      </c>
      <c r="B214" s="2" t="s">
        <v>107</v>
      </c>
      <c r="C214" s="2" t="s">
        <v>108</v>
      </c>
      <c r="D214" s="15" t="s">
        <v>346</v>
      </c>
      <c r="E214" s="31"/>
      <c r="F214" s="31"/>
      <c r="G214" s="15" t="s">
        <v>258</v>
      </c>
      <c r="H214" s="1" t="s">
        <v>269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>
        <v>1</v>
      </c>
      <c r="W214" s="1"/>
      <c r="X214" s="1">
        <v>1</v>
      </c>
      <c r="Y214" s="1"/>
      <c r="Z214" s="1"/>
      <c r="AA214" s="1"/>
      <c r="AB214" s="1"/>
      <c r="AC214" s="1"/>
      <c r="AD214" s="1"/>
      <c r="AE214" s="1"/>
      <c r="AF214" s="48"/>
    </row>
    <row r="215" spans="1:32" s="8" customFormat="1" x14ac:dyDescent="0.25">
      <c r="A215" s="42" t="s">
        <v>333</v>
      </c>
      <c r="B215" s="2" t="s">
        <v>107</v>
      </c>
      <c r="C215" s="2" t="s">
        <v>108</v>
      </c>
      <c r="D215" s="15" t="s">
        <v>346</v>
      </c>
      <c r="E215" s="31"/>
      <c r="F215" s="31"/>
      <c r="G215" s="15" t="s">
        <v>258</v>
      </c>
      <c r="H215" s="1" t="s">
        <v>272</v>
      </c>
      <c r="I215" s="1"/>
      <c r="J215" s="1"/>
      <c r="K215" s="1"/>
      <c r="L215" s="1"/>
      <c r="M215" s="1"/>
      <c r="N215" s="1"/>
      <c r="O215" s="1"/>
      <c r="P215" s="1">
        <v>1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48"/>
    </row>
    <row r="216" spans="1:32" s="8" customFormat="1" x14ac:dyDescent="0.25">
      <c r="A216" s="42" t="s">
        <v>333</v>
      </c>
      <c r="B216" s="2" t="s">
        <v>107</v>
      </c>
      <c r="C216" s="2" t="s">
        <v>108</v>
      </c>
      <c r="D216" s="15" t="s">
        <v>346</v>
      </c>
      <c r="E216" s="31"/>
      <c r="F216" s="31"/>
      <c r="G216" s="15" t="s">
        <v>258</v>
      </c>
      <c r="H216" s="1" t="s">
        <v>273</v>
      </c>
      <c r="I216" s="1"/>
      <c r="J216" s="1"/>
      <c r="K216" s="1"/>
      <c r="L216" s="1"/>
      <c r="M216" s="1"/>
      <c r="N216" s="1"/>
      <c r="O216" s="1"/>
      <c r="P216" s="1"/>
      <c r="Q216" s="1">
        <v>1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48"/>
    </row>
    <row r="217" spans="1:32" s="8" customFormat="1" x14ac:dyDescent="0.25">
      <c r="A217" s="42" t="s">
        <v>333</v>
      </c>
      <c r="B217" s="2" t="s">
        <v>107</v>
      </c>
      <c r="C217" s="2" t="s">
        <v>108</v>
      </c>
      <c r="D217" s="15" t="s">
        <v>346</v>
      </c>
      <c r="E217" s="31"/>
      <c r="F217" s="31"/>
      <c r="G217" s="15" t="s">
        <v>258</v>
      </c>
      <c r="H217" s="1" t="s">
        <v>274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>
        <v>1</v>
      </c>
      <c r="AB217" s="1"/>
      <c r="AC217" s="1"/>
      <c r="AD217" s="1"/>
      <c r="AE217" s="1"/>
      <c r="AF217" s="48"/>
    </row>
    <row r="218" spans="1:32" s="8" customFormat="1" x14ac:dyDescent="0.25">
      <c r="A218" s="42" t="s">
        <v>333</v>
      </c>
      <c r="B218" s="2" t="s">
        <v>107</v>
      </c>
      <c r="C218" s="2" t="s">
        <v>108</v>
      </c>
      <c r="D218" s="15" t="s">
        <v>346</v>
      </c>
      <c r="E218" s="31"/>
      <c r="F218" s="31"/>
      <c r="G218" s="15" t="s">
        <v>30</v>
      </c>
      <c r="H218" s="1" t="s">
        <v>265</v>
      </c>
      <c r="I218" s="1"/>
      <c r="J218" s="1">
        <v>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48"/>
    </row>
    <row r="219" spans="1:32" s="8" customFormat="1" x14ac:dyDescent="0.25">
      <c r="A219" s="42" t="s">
        <v>333</v>
      </c>
      <c r="B219" s="2" t="s">
        <v>107</v>
      </c>
      <c r="C219" s="2" t="s">
        <v>108</v>
      </c>
      <c r="D219" s="15" t="s">
        <v>346</v>
      </c>
      <c r="E219" s="31"/>
      <c r="F219" s="31"/>
      <c r="G219" s="15" t="s">
        <v>30</v>
      </c>
      <c r="H219" s="1" t="s">
        <v>267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48">
        <v>1</v>
      </c>
    </row>
    <row r="220" spans="1:32" s="8" customFormat="1" x14ac:dyDescent="0.25">
      <c r="A220" s="42" t="s">
        <v>333</v>
      </c>
      <c r="B220" s="2" t="s">
        <v>107</v>
      </c>
      <c r="C220" s="2" t="s">
        <v>108</v>
      </c>
      <c r="D220" s="15" t="s">
        <v>346</v>
      </c>
      <c r="E220" s="31"/>
      <c r="F220" s="31"/>
      <c r="G220" s="15" t="s">
        <v>30</v>
      </c>
      <c r="H220" s="1" t="s">
        <v>269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>
        <v>1</v>
      </c>
      <c r="AE220" s="1"/>
      <c r="AF220" s="48"/>
    </row>
    <row r="221" spans="1:32" s="8" customFormat="1" x14ac:dyDescent="0.25">
      <c r="A221" s="42" t="s">
        <v>333</v>
      </c>
      <c r="B221" s="2" t="s">
        <v>107</v>
      </c>
      <c r="C221" s="2" t="s">
        <v>108</v>
      </c>
      <c r="D221" s="15" t="s">
        <v>346</v>
      </c>
      <c r="E221" s="31"/>
      <c r="F221" s="31"/>
      <c r="G221" s="15" t="s">
        <v>30</v>
      </c>
      <c r="H221" s="1" t="s">
        <v>272</v>
      </c>
      <c r="I221" s="1"/>
      <c r="J221" s="1">
        <v>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48"/>
    </row>
    <row r="222" spans="1:32" s="8" customFormat="1" x14ac:dyDescent="0.25">
      <c r="A222" s="42" t="s">
        <v>333</v>
      </c>
      <c r="B222" s="2" t="s">
        <v>107</v>
      </c>
      <c r="C222" s="2" t="s">
        <v>108</v>
      </c>
      <c r="D222" s="15" t="s">
        <v>346</v>
      </c>
      <c r="E222" s="31"/>
      <c r="F222" s="31"/>
      <c r="G222" s="15" t="s">
        <v>30</v>
      </c>
      <c r="H222" s="1" t="s">
        <v>273</v>
      </c>
      <c r="I222" s="1"/>
      <c r="J222" s="1"/>
      <c r="K222" s="1"/>
      <c r="L222" s="1"/>
      <c r="M222" s="1"/>
      <c r="N222" s="1"/>
      <c r="O222" s="1">
        <v>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48"/>
    </row>
    <row r="223" spans="1:32" s="8" customFormat="1" x14ac:dyDescent="0.25">
      <c r="A223" s="42" t="s">
        <v>333</v>
      </c>
      <c r="B223" s="2" t="s">
        <v>107</v>
      </c>
      <c r="C223" s="2" t="s">
        <v>108</v>
      </c>
      <c r="D223" s="15" t="s">
        <v>346</v>
      </c>
      <c r="E223" s="31"/>
      <c r="F223" s="31"/>
      <c r="G223" s="15" t="s">
        <v>30</v>
      </c>
      <c r="H223" s="1" t="s">
        <v>274</v>
      </c>
      <c r="I223" s="1"/>
      <c r="J223" s="1"/>
      <c r="K223" s="1"/>
      <c r="L223" s="1"/>
      <c r="M223" s="1"/>
      <c r="N223" s="1"/>
      <c r="O223" s="1"/>
      <c r="P223" s="1">
        <v>1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48"/>
    </row>
    <row r="224" spans="1:32" s="8" customFormat="1" x14ac:dyDescent="0.25">
      <c r="A224" s="42" t="s">
        <v>333</v>
      </c>
      <c r="B224" s="2" t="s">
        <v>107</v>
      </c>
      <c r="C224" s="2" t="s">
        <v>108</v>
      </c>
      <c r="D224" s="15" t="s">
        <v>346</v>
      </c>
      <c r="E224" s="31"/>
      <c r="F224" s="31"/>
      <c r="G224" s="15" t="s">
        <v>30</v>
      </c>
      <c r="H224" s="1" t="s">
        <v>275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>
        <v>1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48"/>
    </row>
    <row r="225" spans="1:32" s="8" customFormat="1" x14ac:dyDescent="0.25">
      <c r="A225" s="42" t="s">
        <v>333</v>
      </c>
      <c r="B225" s="2" t="s">
        <v>107</v>
      </c>
      <c r="C225" s="2" t="s">
        <v>108</v>
      </c>
      <c r="D225" s="15" t="s">
        <v>347</v>
      </c>
      <c r="E225" s="31">
        <v>2433</v>
      </c>
      <c r="F225" s="31">
        <v>0</v>
      </c>
      <c r="G225" s="15" t="s">
        <v>256</v>
      </c>
      <c r="H225" s="1" t="s">
        <v>255</v>
      </c>
      <c r="I225" s="1"/>
      <c r="J225" s="1"/>
      <c r="K225" s="1">
        <v>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48"/>
    </row>
    <row r="226" spans="1:32" s="8" customFormat="1" ht="24" x14ac:dyDescent="0.25">
      <c r="A226" s="42" t="s">
        <v>333</v>
      </c>
      <c r="B226" s="2" t="s">
        <v>107</v>
      </c>
      <c r="C226" s="2" t="s">
        <v>108</v>
      </c>
      <c r="D226" s="15" t="s">
        <v>347</v>
      </c>
      <c r="E226" s="31"/>
      <c r="F226" s="31"/>
      <c r="G226" s="15" t="s">
        <v>257</v>
      </c>
      <c r="H226" s="1" t="s">
        <v>265</v>
      </c>
      <c r="I226" s="1"/>
      <c r="J226" s="1">
        <v>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48"/>
    </row>
    <row r="227" spans="1:32" s="8" customFormat="1" ht="24" x14ac:dyDescent="0.25">
      <c r="A227" s="42" t="s">
        <v>333</v>
      </c>
      <c r="B227" s="2" t="s">
        <v>107</v>
      </c>
      <c r="C227" s="2" t="s">
        <v>108</v>
      </c>
      <c r="D227" s="15" t="s">
        <v>347</v>
      </c>
      <c r="E227" s="31"/>
      <c r="F227" s="31"/>
      <c r="G227" s="15" t="s">
        <v>257</v>
      </c>
      <c r="H227" s="1" t="s">
        <v>269</v>
      </c>
      <c r="I227" s="1"/>
      <c r="J227" s="1"/>
      <c r="K227" s="1"/>
      <c r="L227" s="1"/>
      <c r="M227" s="1"/>
      <c r="N227" s="1"/>
      <c r="O227" s="1">
        <v>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48"/>
    </row>
    <row r="228" spans="1:32" s="8" customFormat="1" ht="24" x14ac:dyDescent="0.25">
      <c r="A228" s="42" t="s">
        <v>333</v>
      </c>
      <c r="B228" s="2" t="s">
        <v>107</v>
      </c>
      <c r="C228" s="2" t="s">
        <v>108</v>
      </c>
      <c r="D228" s="15" t="s">
        <v>347</v>
      </c>
      <c r="E228" s="31"/>
      <c r="F228" s="31"/>
      <c r="G228" s="15" t="s">
        <v>257</v>
      </c>
      <c r="H228" s="1" t="s">
        <v>272</v>
      </c>
      <c r="I228" s="1"/>
      <c r="J228" s="1"/>
      <c r="K228" s="1"/>
      <c r="L228" s="1"/>
      <c r="M228" s="1"/>
      <c r="N228" s="1"/>
      <c r="O228" s="1"/>
      <c r="P228" s="1"/>
      <c r="Q228" s="1"/>
      <c r="R228" s="1">
        <v>1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48"/>
    </row>
    <row r="229" spans="1:32" s="8" customFormat="1" ht="24" x14ac:dyDescent="0.25">
      <c r="A229" s="42" t="s">
        <v>333</v>
      </c>
      <c r="B229" s="2" t="s">
        <v>107</v>
      </c>
      <c r="C229" s="2" t="s">
        <v>108</v>
      </c>
      <c r="D229" s="15" t="s">
        <v>347</v>
      </c>
      <c r="E229" s="31"/>
      <c r="F229" s="31"/>
      <c r="G229" s="15" t="s">
        <v>257</v>
      </c>
      <c r="H229" s="1" t="s">
        <v>273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1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48"/>
    </row>
    <row r="230" spans="1:32" s="8" customFormat="1" ht="24" x14ac:dyDescent="0.25">
      <c r="A230" s="42" t="s">
        <v>333</v>
      </c>
      <c r="B230" s="2" t="s">
        <v>107</v>
      </c>
      <c r="C230" s="2" t="s">
        <v>108</v>
      </c>
      <c r="D230" s="15" t="s">
        <v>347</v>
      </c>
      <c r="E230" s="31"/>
      <c r="F230" s="31"/>
      <c r="G230" s="15" t="s">
        <v>257</v>
      </c>
      <c r="H230" s="1" t="s">
        <v>274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>
        <v>1</v>
      </c>
      <c r="AE230" s="1"/>
      <c r="AF230" s="48"/>
    </row>
    <row r="231" spans="1:32" s="8" customFormat="1" x14ac:dyDescent="0.25">
      <c r="A231" s="42" t="s">
        <v>333</v>
      </c>
      <c r="B231" s="2" t="s">
        <v>109</v>
      </c>
      <c r="C231" s="2" t="s">
        <v>110</v>
      </c>
      <c r="D231" s="15" t="s">
        <v>348</v>
      </c>
      <c r="E231" s="31">
        <v>8500</v>
      </c>
      <c r="F231" s="31">
        <v>0</v>
      </c>
      <c r="G231" s="15" t="s">
        <v>67</v>
      </c>
      <c r="H231" s="1" t="s">
        <v>261</v>
      </c>
      <c r="I231" s="1">
        <v>1</v>
      </c>
      <c r="J231" s="1">
        <v>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48"/>
    </row>
    <row r="232" spans="1:32" s="8" customFormat="1" x14ac:dyDescent="0.25">
      <c r="A232" s="42" t="s">
        <v>333</v>
      </c>
      <c r="B232" s="2" t="s">
        <v>109</v>
      </c>
      <c r="C232" s="2" t="s">
        <v>110</v>
      </c>
      <c r="D232" s="15" t="s">
        <v>348</v>
      </c>
      <c r="E232" s="31"/>
      <c r="F232" s="31"/>
      <c r="G232" s="15" t="s">
        <v>252</v>
      </c>
      <c r="H232" s="1" t="s">
        <v>261</v>
      </c>
      <c r="I232" s="1"/>
      <c r="J232" s="1"/>
      <c r="K232" s="1">
        <v>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48"/>
    </row>
    <row r="233" spans="1:32" s="8" customFormat="1" x14ac:dyDescent="0.25">
      <c r="A233" s="42" t="s">
        <v>333</v>
      </c>
      <c r="B233" s="2" t="s">
        <v>109</v>
      </c>
      <c r="C233" s="2" t="s">
        <v>110</v>
      </c>
      <c r="D233" s="15" t="s">
        <v>348</v>
      </c>
      <c r="E233" s="31"/>
      <c r="F233" s="31"/>
      <c r="G233" s="15" t="s">
        <v>252</v>
      </c>
      <c r="H233" s="1" t="s">
        <v>265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>
        <v>1</v>
      </c>
      <c r="AB233" s="1"/>
      <c r="AC233" s="1">
        <v>1</v>
      </c>
      <c r="AD233" s="1"/>
      <c r="AE233" s="1"/>
      <c r="AF233" s="48"/>
    </row>
    <row r="234" spans="1:32" s="8" customFormat="1" x14ac:dyDescent="0.25">
      <c r="A234" s="42" t="s">
        <v>333</v>
      </c>
      <c r="B234" s="2" t="s">
        <v>109</v>
      </c>
      <c r="C234" s="2" t="s">
        <v>110</v>
      </c>
      <c r="D234" s="15" t="s">
        <v>348</v>
      </c>
      <c r="E234" s="31"/>
      <c r="F234" s="31"/>
      <c r="G234" s="15" t="s">
        <v>252</v>
      </c>
      <c r="H234" s="1" t="s">
        <v>267</v>
      </c>
      <c r="I234" s="1"/>
      <c r="J234" s="1"/>
      <c r="K234" s="1"/>
      <c r="L234" s="1">
        <v>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48"/>
    </row>
    <row r="235" spans="1:32" s="8" customFormat="1" x14ac:dyDescent="0.25">
      <c r="A235" s="42" t="s">
        <v>333</v>
      </c>
      <c r="B235" s="2" t="s">
        <v>109</v>
      </c>
      <c r="C235" s="2" t="s">
        <v>110</v>
      </c>
      <c r="D235" s="15" t="s">
        <v>348</v>
      </c>
      <c r="E235" s="31"/>
      <c r="F235" s="31"/>
      <c r="G235" s="15" t="s">
        <v>252</v>
      </c>
      <c r="H235" s="1" t="s">
        <v>269</v>
      </c>
      <c r="I235" s="1"/>
      <c r="J235" s="1"/>
      <c r="K235" s="1"/>
      <c r="L235" s="1"/>
      <c r="M235" s="1">
        <v>1</v>
      </c>
      <c r="N235" s="1">
        <v>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48"/>
    </row>
    <row r="236" spans="1:32" s="8" customFormat="1" x14ac:dyDescent="0.25">
      <c r="A236" s="42" t="s">
        <v>333</v>
      </c>
      <c r="B236" s="2" t="s">
        <v>109</v>
      </c>
      <c r="C236" s="2" t="s">
        <v>110</v>
      </c>
      <c r="D236" s="15" t="s">
        <v>348</v>
      </c>
      <c r="E236" s="31"/>
      <c r="F236" s="31"/>
      <c r="G236" s="15" t="s">
        <v>252</v>
      </c>
      <c r="H236" s="1" t="s">
        <v>272</v>
      </c>
      <c r="I236" s="1"/>
      <c r="J236" s="1"/>
      <c r="K236" s="1"/>
      <c r="L236" s="1"/>
      <c r="M236" s="1"/>
      <c r="N236" s="1"/>
      <c r="O236" s="1">
        <v>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48"/>
    </row>
    <row r="237" spans="1:32" s="8" customFormat="1" x14ac:dyDescent="0.25">
      <c r="A237" s="42" t="s">
        <v>333</v>
      </c>
      <c r="B237" s="2" t="s">
        <v>109</v>
      </c>
      <c r="C237" s="2" t="s">
        <v>110</v>
      </c>
      <c r="D237" s="15" t="s">
        <v>348</v>
      </c>
      <c r="E237" s="31"/>
      <c r="F237" s="31"/>
      <c r="G237" s="15" t="s">
        <v>252</v>
      </c>
      <c r="H237" s="1" t="s">
        <v>273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</v>
      </c>
      <c r="X237" s="1">
        <v>1</v>
      </c>
      <c r="Y237" s="1"/>
      <c r="Z237" s="1"/>
      <c r="AA237" s="1"/>
      <c r="AB237" s="1"/>
      <c r="AC237" s="1"/>
      <c r="AD237" s="1"/>
      <c r="AE237" s="1"/>
      <c r="AF237" s="48"/>
    </row>
    <row r="238" spans="1:32" s="8" customFormat="1" x14ac:dyDescent="0.25">
      <c r="A238" s="42" t="s">
        <v>333</v>
      </c>
      <c r="B238" s="2" t="s">
        <v>109</v>
      </c>
      <c r="C238" s="2" t="s">
        <v>110</v>
      </c>
      <c r="D238" s="15" t="s">
        <v>348</v>
      </c>
      <c r="E238" s="31"/>
      <c r="F238" s="31"/>
      <c r="G238" s="15" t="s">
        <v>252</v>
      </c>
      <c r="H238" s="1" t="s">
        <v>274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>
        <v>1</v>
      </c>
      <c r="AC238" s="1"/>
      <c r="AD238" s="1"/>
      <c r="AE238" s="1">
        <v>1</v>
      </c>
      <c r="AF238" s="48"/>
    </row>
    <row r="239" spans="1:32" s="8" customFormat="1" x14ac:dyDescent="0.25">
      <c r="A239" s="42" t="s">
        <v>333</v>
      </c>
      <c r="B239" s="2" t="s">
        <v>109</v>
      </c>
      <c r="C239" s="2" t="s">
        <v>110</v>
      </c>
      <c r="D239" s="15" t="s">
        <v>348</v>
      </c>
      <c r="E239" s="31"/>
      <c r="F239" s="31"/>
      <c r="G239" s="15" t="s">
        <v>252</v>
      </c>
      <c r="H239" s="1" t="s">
        <v>275</v>
      </c>
      <c r="I239" s="1"/>
      <c r="J239" s="1"/>
      <c r="K239" s="1"/>
      <c r="L239" s="1"/>
      <c r="M239" s="1"/>
      <c r="N239" s="1"/>
      <c r="O239" s="1"/>
      <c r="P239" s="1">
        <v>1</v>
      </c>
      <c r="Q239" s="1">
        <v>1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48"/>
    </row>
    <row r="240" spans="1:32" s="8" customFormat="1" x14ac:dyDescent="0.25">
      <c r="A240" s="42" t="s">
        <v>333</v>
      </c>
      <c r="B240" s="2" t="s">
        <v>111</v>
      </c>
      <c r="C240" s="2" t="s">
        <v>112</v>
      </c>
      <c r="D240" s="15" t="s">
        <v>348</v>
      </c>
      <c r="E240" s="31">
        <v>10500</v>
      </c>
      <c r="F240" s="31">
        <v>0</v>
      </c>
      <c r="G240" s="15" t="s">
        <v>67</v>
      </c>
      <c r="H240" s="1" t="s">
        <v>255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48"/>
    </row>
    <row r="241" spans="1:32" s="8" customFormat="1" x14ac:dyDescent="0.25">
      <c r="A241" s="42" t="s">
        <v>333</v>
      </c>
      <c r="B241" s="2" t="s">
        <v>111</v>
      </c>
      <c r="C241" s="2" t="s">
        <v>112</v>
      </c>
      <c r="D241" s="15" t="s">
        <v>348</v>
      </c>
      <c r="E241" s="31"/>
      <c r="F241" s="31"/>
      <c r="G241" s="15" t="s">
        <v>252</v>
      </c>
      <c r="H241" s="1" t="s">
        <v>261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>
        <v>1</v>
      </c>
      <c r="AB241" s="1"/>
      <c r="AC241" s="1">
        <v>1</v>
      </c>
      <c r="AD241" s="1"/>
      <c r="AE241" s="1"/>
      <c r="AF241" s="48"/>
    </row>
    <row r="242" spans="1:32" s="8" customFormat="1" x14ac:dyDescent="0.25">
      <c r="A242" s="42" t="s">
        <v>333</v>
      </c>
      <c r="B242" s="2" t="s">
        <v>111</v>
      </c>
      <c r="C242" s="2" t="s">
        <v>112</v>
      </c>
      <c r="D242" s="15" t="s">
        <v>348</v>
      </c>
      <c r="E242" s="31"/>
      <c r="F242" s="31"/>
      <c r="G242" s="15" t="s">
        <v>252</v>
      </c>
      <c r="H242" s="1" t="s">
        <v>265</v>
      </c>
      <c r="I242" s="1"/>
      <c r="J242" s="1">
        <v>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>
        <v>1</v>
      </c>
      <c r="AC242" s="1"/>
      <c r="AD242" s="1"/>
      <c r="AE242" s="1"/>
      <c r="AF242" s="48"/>
    </row>
    <row r="243" spans="1:32" s="8" customFormat="1" x14ac:dyDescent="0.25">
      <c r="A243" s="42" t="s">
        <v>333</v>
      </c>
      <c r="B243" s="2" t="s">
        <v>111</v>
      </c>
      <c r="C243" s="2" t="s">
        <v>112</v>
      </c>
      <c r="D243" s="15" t="s">
        <v>348</v>
      </c>
      <c r="E243" s="31"/>
      <c r="F243" s="31"/>
      <c r="G243" s="15" t="s">
        <v>252</v>
      </c>
      <c r="H243" s="1" t="s">
        <v>267</v>
      </c>
      <c r="I243" s="1"/>
      <c r="J243" s="1"/>
      <c r="K243" s="1"/>
      <c r="L243" s="1"/>
      <c r="M243" s="1">
        <v>1</v>
      </c>
      <c r="N243" s="1"/>
      <c r="O243" s="1"/>
      <c r="P243" s="1"/>
      <c r="Q243" s="1"/>
      <c r="R243" s="1"/>
      <c r="S243" s="1"/>
      <c r="T243" s="1"/>
      <c r="U243" s="1">
        <v>1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48"/>
    </row>
    <row r="244" spans="1:32" s="8" customFormat="1" x14ac:dyDescent="0.25">
      <c r="A244" s="42" t="s">
        <v>333</v>
      </c>
      <c r="B244" s="2" t="s">
        <v>111</v>
      </c>
      <c r="C244" s="2" t="s">
        <v>112</v>
      </c>
      <c r="D244" s="15" t="s">
        <v>348</v>
      </c>
      <c r="E244" s="31"/>
      <c r="F244" s="31"/>
      <c r="G244" s="15" t="s">
        <v>252</v>
      </c>
      <c r="H244" s="1" t="s">
        <v>269</v>
      </c>
      <c r="I244" s="1"/>
      <c r="J244" s="1"/>
      <c r="K244" s="1"/>
      <c r="L244" s="1"/>
      <c r="M244" s="1"/>
      <c r="N244" s="1">
        <v>1</v>
      </c>
      <c r="O244" s="1">
        <v>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48"/>
    </row>
    <row r="245" spans="1:32" s="8" customFormat="1" x14ac:dyDescent="0.25">
      <c r="A245" s="42" t="s">
        <v>333</v>
      </c>
      <c r="B245" s="2" t="s">
        <v>111</v>
      </c>
      <c r="C245" s="2" t="s">
        <v>112</v>
      </c>
      <c r="D245" s="15" t="s">
        <v>348</v>
      </c>
      <c r="E245" s="31"/>
      <c r="F245" s="31"/>
      <c r="G245" s="15" t="s">
        <v>252</v>
      </c>
      <c r="H245" s="1" t="s">
        <v>272</v>
      </c>
      <c r="I245" s="1"/>
      <c r="J245" s="1"/>
      <c r="K245" s="1"/>
      <c r="L245" s="1"/>
      <c r="M245" s="1"/>
      <c r="N245" s="1"/>
      <c r="O245" s="1"/>
      <c r="P245" s="1"/>
      <c r="Q245" s="1">
        <v>1</v>
      </c>
      <c r="R245" s="1">
        <v>1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48"/>
    </row>
    <row r="246" spans="1:32" s="8" customFormat="1" x14ac:dyDescent="0.25">
      <c r="A246" s="42" t="s">
        <v>333</v>
      </c>
      <c r="B246" s="2" t="s">
        <v>111</v>
      </c>
      <c r="C246" s="2" t="s">
        <v>112</v>
      </c>
      <c r="D246" s="15" t="s">
        <v>348</v>
      </c>
      <c r="E246" s="31"/>
      <c r="F246" s="31"/>
      <c r="G246" s="15" t="s">
        <v>67</v>
      </c>
      <c r="H246" s="1" t="s">
        <v>273</v>
      </c>
      <c r="I246" s="1"/>
      <c r="J246" s="1"/>
      <c r="K246" s="1">
        <v>1</v>
      </c>
      <c r="L246" s="1">
        <v>1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48"/>
    </row>
    <row r="247" spans="1:32" s="8" customFormat="1" x14ac:dyDescent="0.25">
      <c r="A247" s="42" t="s">
        <v>333</v>
      </c>
      <c r="B247" s="2" t="s">
        <v>111</v>
      </c>
      <c r="C247" s="2" t="s">
        <v>112</v>
      </c>
      <c r="D247" s="15" t="s">
        <v>348</v>
      </c>
      <c r="E247" s="31"/>
      <c r="F247" s="31"/>
      <c r="G247" s="15" t="s">
        <v>252</v>
      </c>
      <c r="H247" s="1" t="s">
        <v>274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1</v>
      </c>
      <c r="X247" s="1">
        <v>1</v>
      </c>
      <c r="Y247" s="1"/>
      <c r="Z247" s="1"/>
      <c r="AA247" s="1"/>
      <c r="AB247" s="1"/>
      <c r="AC247" s="1"/>
      <c r="AD247" s="1"/>
      <c r="AE247" s="1"/>
      <c r="AF247" s="48"/>
    </row>
    <row r="248" spans="1:32" s="8" customFormat="1" x14ac:dyDescent="0.25">
      <c r="A248" s="42" t="s">
        <v>333</v>
      </c>
      <c r="B248" s="2" t="s">
        <v>111</v>
      </c>
      <c r="C248" s="2" t="s">
        <v>112</v>
      </c>
      <c r="D248" s="15" t="s">
        <v>348</v>
      </c>
      <c r="E248" s="31"/>
      <c r="F248" s="31"/>
      <c r="G248" s="15" t="s">
        <v>252</v>
      </c>
      <c r="H248" s="1" t="s">
        <v>275</v>
      </c>
      <c r="I248" s="1"/>
      <c r="J248" s="1"/>
      <c r="K248" s="1"/>
      <c r="L248" s="1"/>
      <c r="M248" s="1"/>
      <c r="N248" s="1"/>
      <c r="O248" s="1"/>
      <c r="P248" s="1">
        <v>1</v>
      </c>
      <c r="Q248" s="1"/>
      <c r="R248" s="1"/>
      <c r="S248" s="1">
        <v>1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48"/>
    </row>
    <row r="249" spans="1:32" s="8" customFormat="1" x14ac:dyDescent="0.25">
      <c r="A249" s="42" t="s">
        <v>333</v>
      </c>
      <c r="B249" s="2" t="s">
        <v>111</v>
      </c>
      <c r="C249" s="2" t="s">
        <v>112</v>
      </c>
      <c r="D249" s="15" t="s">
        <v>348</v>
      </c>
      <c r="E249" s="31"/>
      <c r="F249" s="31"/>
      <c r="G249" s="15" t="s">
        <v>252</v>
      </c>
      <c r="H249" s="1" t="s">
        <v>276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1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48"/>
    </row>
    <row r="250" spans="1:32" s="8" customFormat="1" x14ac:dyDescent="0.25">
      <c r="A250" s="42" t="s">
        <v>333</v>
      </c>
      <c r="B250" s="2" t="s">
        <v>113</v>
      </c>
      <c r="C250" s="2" t="s">
        <v>114</v>
      </c>
      <c r="D250" s="15" t="s">
        <v>348</v>
      </c>
      <c r="E250" s="31">
        <v>12800</v>
      </c>
      <c r="F250" s="31">
        <v>0</v>
      </c>
      <c r="G250" s="15" t="s">
        <v>67</v>
      </c>
      <c r="H250" s="1" t="s">
        <v>255</v>
      </c>
      <c r="I250" s="1">
        <v>1</v>
      </c>
      <c r="J250" s="1">
        <v>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48"/>
    </row>
    <row r="251" spans="1:32" s="8" customFormat="1" x14ac:dyDescent="0.25">
      <c r="A251" s="42" t="s">
        <v>333</v>
      </c>
      <c r="B251" s="2" t="s">
        <v>113</v>
      </c>
      <c r="C251" s="2" t="s">
        <v>114</v>
      </c>
      <c r="D251" s="15" t="s">
        <v>348</v>
      </c>
      <c r="E251" s="31"/>
      <c r="F251" s="31"/>
      <c r="G251" s="15" t="s">
        <v>252</v>
      </c>
      <c r="H251" s="1" t="s">
        <v>255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>
        <v>1</v>
      </c>
      <c r="AC251" s="1"/>
      <c r="AD251" s="1"/>
      <c r="AE251" s="1">
        <v>1</v>
      </c>
      <c r="AF251" s="48"/>
    </row>
    <row r="252" spans="1:32" s="8" customFormat="1" x14ac:dyDescent="0.25">
      <c r="A252" s="42" t="s">
        <v>333</v>
      </c>
      <c r="B252" s="2" t="s">
        <v>113</v>
      </c>
      <c r="C252" s="2" t="s">
        <v>114</v>
      </c>
      <c r="D252" s="15" t="s">
        <v>348</v>
      </c>
      <c r="E252" s="31"/>
      <c r="F252" s="31"/>
      <c r="G252" s="15" t="s">
        <v>252</v>
      </c>
      <c r="H252" s="1" t="s">
        <v>261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>
        <v>1</v>
      </c>
      <c r="AB252" s="1"/>
      <c r="AC252" s="1">
        <v>1</v>
      </c>
      <c r="AD252" s="1"/>
      <c r="AE252" s="1"/>
      <c r="AF252" s="48"/>
    </row>
    <row r="253" spans="1:32" s="8" customFormat="1" x14ac:dyDescent="0.25">
      <c r="A253" s="42" t="s">
        <v>333</v>
      </c>
      <c r="B253" s="2" t="s">
        <v>113</v>
      </c>
      <c r="C253" s="2" t="s">
        <v>114</v>
      </c>
      <c r="D253" s="15" t="s">
        <v>348</v>
      </c>
      <c r="E253" s="31"/>
      <c r="F253" s="31"/>
      <c r="G253" s="15" t="s">
        <v>252</v>
      </c>
      <c r="H253" s="1" t="s">
        <v>265</v>
      </c>
      <c r="I253" s="1"/>
      <c r="J253" s="1"/>
      <c r="K253" s="1"/>
      <c r="L253" s="1"/>
      <c r="M253" s="1"/>
      <c r="N253" s="1"/>
      <c r="O253" s="1">
        <v>1</v>
      </c>
      <c r="P253" s="1">
        <v>1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48"/>
    </row>
    <row r="254" spans="1:32" s="8" customFormat="1" x14ac:dyDescent="0.25">
      <c r="A254" s="42" t="s">
        <v>333</v>
      </c>
      <c r="B254" s="2" t="s">
        <v>113</v>
      </c>
      <c r="C254" s="2" t="s">
        <v>114</v>
      </c>
      <c r="D254" s="15" t="s">
        <v>348</v>
      </c>
      <c r="E254" s="31"/>
      <c r="F254" s="31"/>
      <c r="G254" s="15" t="s">
        <v>252</v>
      </c>
      <c r="H254" s="1" t="s">
        <v>267</v>
      </c>
      <c r="I254" s="1"/>
      <c r="J254" s="1"/>
      <c r="K254" s="1"/>
      <c r="L254" s="1"/>
      <c r="M254" s="1">
        <v>1</v>
      </c>
      <c r="N254" s="1">
        <v>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48"/>
    </row>
    <row r="255" spans="1:32" s="8" customFormat="1" x14ac:dyDescent="0.25">
      <c r="A255" s="42" t="s">
        <v>333</v>
      </c>
      <c r="B255" s="2" t="s">
        <v>113</v>
      </c>
      <c r="C255" s="2" t="s">
        <v>114</v>
      </c>
      <c r="D255" s="15" t="s">
        <v>348</v>
      </c>
      <c r="E255" s="31"/>
      <c r="F255" s="31"/>
      <c r="G255" s="15" t="s">
        <v>252</v>
      </c>
      <c r="H255" s="1" t="s">
        <v>269</v>
      </c>
      <c r="I255" s="1"/>
      <c r="J255" s="1"/>
      <c r="K255" s="1"/>
      <c r="L255" s="1"/>
      <c r="M255" s="1"/>
      <c r="N255" s="1"/>
      <c r="O255" s="1"/>
      <c r="P255" s="1"/>
      <c r="Q255" s="1">
        <v>1</v>
      </c>
      <c r="R255" s="1">
        <v>1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48"/>
    </row>
    <row r="256" spans="1:32" s="8" customFormat="1" x14ac:dyDescent="0.25">
      <c r="A256" s="42" t="s">
        <v>333</v>
      </c>
      <c r="B256" s="2" t="s">
        <v>113</v>
      </c>
      <c r="C256" s="2" t="s">
        <v>114</v>
      </c>
      <c r="D256" s="15" t="s">
        <v>348</v>
      </c>
      <c r="E256" s="31"/>
      <c r="F256" s="31"/>
      <c r="G256" s="15" t="s">
        <v>67</v>
      </c>
      <c r="H256" s="1" t="s">
        <v>272</v>
      </c>
      <c r="I256" s="1"/>
      <c r="J256" s="1"/>
      <c r="K256" s="1">
        <v>1</v>
      </c>
      <c r="L256" s="1">
        <v>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48"/>
    </row>
    <row r="257" spans="1:32" s="8" customFormat="1" x14ac:dyDescent="0.25">
      <c r="A257" s="42" t="s">
        <v>333</v>
      </c>
      <c r="B257" s="2" t="s">
        <v>113</v>
      </c>
      <c r="C257" s="2" t="s">
        <v>114</v>
      </c>
      <c r="D257" s="15" t="s">
        <v>348</v>
      </c>
      <c r="E257" s="31"/>
      <c r="F257" s="31"/>
      <c r="G257" s="15" t="s">
        <v>252</v>
      </c>
      <c r="H257" s="1" t="s">
        <v>273</v>
      </c>
      <c r="I257" s="1"/>
      <c r="J257" s="1">
        <v>1</v>
      </c>
      <c r="K257" s="1">
        <v>1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48"/>
    </row>
    <row r="258" spans="1:32" s="8" customFormat="1" x14ac:dyDescent="0.25">
      <c r="A258" s="42" t="s">
        <v>333</v>
      </c>
      <c r="B258" s="2" t="s">
        <v>113</v>
      </c>
      <c r="C258" s="2" t="s">
        <v>114</v>
      </c>
      <c r="D258" s="15" t="s">
        <v>348</v>
      </c>
      <c r="E258" s="31"/>
      <c r="F258" s="31"/>
      <c r="G258" s="15" t="s">
        <v>252</v>
      </c>
      <c r="H258" s="1" t="s">
        <v>274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>
        <v>1</v>
      </c>
      <c r="T258" s="1">
        <v>1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48"/>
    </row>
    <row r="259" spans="1:32" s="8" customFormat="1" x14ac:dyDescent="0.25">
      <c r="A259" s="42" t="s">
        <v>333</v>
      </c>
      <c r="B259" s="2" t="s">
        <v>113</v>
      </c>
      <c r="C259" s="2" t="s">
        <v>114</v>
      </c>
      <c r="D259" s="15" t="s">
        <v>348</v>
      </c>
      <c r="E259" s="31"/>
      <c r="F259" s="31"/>
      <c r="G259" s="15" t="s">
        <v>252</v>
      </c>
      <c r="H259" s="1" t="s">
        <v>275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>
        <v>1</v>
      </c>
      <c r="Z259" s="1">
        <v>1</v>
      </c>
      <c r="AA259" s="1"/>
      <c r="AB259" s="1"/>
      <c r="AC259" s="1"/>
      <c r="AD259" s="1"/>
      <c r="AE259" s="1"/>
      <c r="AF259" s="48"/>
    </row>
    <row r="260" spans="1:32" s="8" customFormat="1" x14ac:dyDescent="0.25">
      <c r="A260" s="42" t="s">
        <v>333</v>
      </c>
      <c r="B260" s="2" t="s">
        <v>113</v>
      </c>
      <c r="C260" s="2" t="s">
        <v>114</v>
      </c>
      <c r="D260" s="15" t="s">
        <v>348</v>
      </c>
      <c r="E260" s="31"/>
      <c r="F260" s="31"/>
      <c r="G260" s="15" t="s">
        <v>252</v>
      </c>
      <c r="H260" s="1" t="s">
        <v>276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>
        <v>1</v>
      </c>
      <c r="V260" s="1">
        <v>1</v>
      </c>
      <c r="W260" s="1"/>
      <c r="X260" s="1"/>
      <c r="Y260" s="1"/>
      <c r="Z260" s="1"/>
      <c r="AA260" s="1"/>
      <c r="AB260" s="1"/>
      <c r="AC260" s="1"/>
      <c r="AD260" s="1"/>
      <c r="AE260" s="1"/>
      <c r="AF260" s="48"/>
    </row>
    <row r="261" spans="1:32" s="8" customFormat="1" x14ac:dyDescent="0.25">
      <c r="A261" s="42" t="s">
        <v>333</v>
      </c>
      <c r="B261" s="2" t="s">
        <v>115</v>
      </c>
      <c r="C261" s="2" t="s">
        <v>116</v>
      </c>
      <c r="D261" s="15" t="s">
        <v>348</v>
      </c>
      <c r="E261" s="31">
        <v>21600</v>
      </c>
      <c r="F261" s="31">
        <v>0</v>
      </c>
      <c r="G261" s="15" t="s">
        <v>67</v>
      </c>
      <c r="H261" s="1" t="s">
        <v>255</v>
      </c>
      <c r="I261" s="1">
        <v>1</v>
      </c>
      <c r="J261" s="1">
        <v>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48"/>
    </row>
    <row r="262" spans="1:32" s="8" customFormat="1" x14ac:dyDescent="0.25">
      <c r="A262" s="42" t="s">
        <v>333</v>
      </c>
      <c r="B262" s="2" t="s">
        <v>115</v>
      </c>
      <c r="C262" s="2" t="s">
        <v>116</v>
      </c>
      <c r="D262" s="15" t="s">
        <v>348</v>
      </c>
      <c r="E262" s="31"/>
      <c r="F262" s="31"/>
      <c r="G262" s="15" t="s">
        <v>252</v>
      </c>
      <c r="H262" s="1" t="s">
        <v>255</v>
      </c>
      <c r="I262" s="1"/>
      <c r="J262" s="1"/>
      <c r="K262" s="1"/>
      <c r="L262" s="1"/>
      <c r="M262" s="1"/>
      <c r="N262" s="1"/>
      <c r="O262" s="1">
        <v>1</v>
      </c>
      <c r="P262" s="1"/>
      <c r="Q262" s="1"/>
      <c r="R262" s="1"/>
      <c r="S262" s="1"/>
      <c r="T262" s="1"/>
      <c r="U262" s="1"/>
      <c r="V262" s="1">
        <v>1</v>
      </c>
      <c r="W262" s="1"/>
      <c r="X262" s="1"/>
      <c r="Y262" s="1"/>
      <c r="Z262" s="1"/>
      <c r="AA262" s="1"/>
      <c r="AB262" s="1"/>
      <c r="AC262" s="1"/>
      <c r="AD262" s="1"/>
      <c r="AE262" s="1"/>
      <c r="AF262" s="48"/>
    </row>
    <row r="263" spans="1:32" s="8" customFormat="1" x14ac:dyDescent="0.25">
      <c r="A263" s="42" t="s">
        <v>333</v>
      </c>
      <c r="B263" s="2" t="s">
        <v>115</v>
      </c>
      <c r="C263" s="2" t="s">
        <v>116</v>
      </c>
      <c r="D263" s="15" t="s">
        <v>348</v>
      </c>
      <c r="E263" s="31"/>
      <c r="F263" s="31"/>
      <c r="G263" s="15" t="s">
        <v>252</v>
      </c>
      <c r="H263" s="1" t="s">
        <v>261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>
        <v>1</v>
      </c>
      <c r="Z263" s="1">
        <v>1</v>
      </c>
      <c r="AA263" s="1"/>
      <c r="AB263" s="1">
        <v>1</v>
      </c>
      <c r="AC263" s="1"/>
      <c r="AD263" s="1"/>
      <c r="AE263" s="1">
        <v>1</v>
      </c>
      <c r="AF263" s="48"/>
    </row>
    <row r="264" spans="1:32" s="8" customFormat="1" x14ac:dyDescent="0.25">
      <c r="A264" s="42" t="s">
        <v>333</v>
      </c>
      <c r="B264" s="2" t="s">
        <v>115</v>
      </c>
      <c r="C264" s="2" t="s">
        <v>116</v>
      </c>
      <c r="D264" s="15" t="s">
        <v>348</v>
      </c>
      <c r="E264" s="31"/>
      <c r="F264" s="31"/>
      <c r="G264" s="15" t="s">
        <v>252</v>
      </c>
      <c r="H264" s="1" t="s">
        <v>265</v>
      </c>
      <c r="I264" s="1"/>
      <c r="J264" s="1">
        <v>1</v>
      </c>
      <c r="K264" s="1">
        <v>1</v>
      </c>
      <c r="L264" s="1"/>
      <c r="M264" s="1">
        <v>1</v>
      </c>
      <c r="N264" s="1">
        <v>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48"/>
    </row>
    <row r="265" spans="1:32" s="8" customFormat="1" x14ac:dyDescent="0.25">
      <c r="A265" s="42" t="s">
        <v>333</v>
      </c>
      <c r="B265" s="2" t="s">
        <v>115</v>
      </c>
      <c r="C265" s="2" t="s">
        <v>116</v>
      </c>
      <c r="D265" s="15" t="s">
        <v>348</v>
      </c>
      <c r="E265" s="31"/>
      <c r="F265" s="31"/>
      <c r="G265" s="15" t="s">
        <v>252</v>
      </c>
      <c r="H265" s="1" t="s">
        <v>267</v>
      </c>
      <c r="I265" s="1"/>
      <c r="J265" s="1"/>
      <c r="K265" s="1"/>
      <c r="L265" s="1"/>
      <c r="M265" s="1"/>
      <c r="N265" s="1">
        <v>1</v>
      </c>
      <c r="O265" s="1">
        <v>1</v>
      </c>
      <c r="P265" s="1">
        <v>1</v>
      </c>
      <c r="Q265" s="1">
        <v>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48"/>
    </row>
    <row r="266" spans="1:32" s="8" customFormat="1" x14ac:dyDescent="0.25">
      <c r="A266" s="42" t="s">
        <v>333</v>
      </c>
      <c r="B266" s="2" t="s">
        <v>115</v>
      </c>
      <c r="C266" s="2" t="s">
        <v>116</v>
      </c>
      <c r="D266" s="15" t="s">
        <v>348</v>
      </c>
      <c r="E266" s="31"/>
      <c r="F266" s="31"/>
      <c r="G266" s="15" t="s">
        <v>252</v>
      </c>
      <c r="H266" s="1" t="s">
        <v>269</v>
      </c>
      <c r="I266" s="1"/>
      <c r="J266" s="1"/>
      <c r="K266" s="1"/>
      <c r="L266" s="1"/>
      <c r="M266" s="1">
        <v>1</v>
      </c>
      <c r="N266" s="1">
        <v>1</v>
      </c>
      <c r="O266" s="1"/>
      <c r="P266" s="1"/>
      <c r="Q266" s="1"/>
      <c r="R266" s="1">
        <v>1</v>
      </c>
      <c r="S266" s="1">
        <v>1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48"/>
    </row>
    <row r="267" spans="1:32" s="8" customFormat="1" x14ac:dyDescent="0.25">
      <c r="A267" s="42" t="s">
        <v>333</v>
      </c>
      <c r="B267" s="2" t="s">
        <v>115</v>
      </c>
      <c r="C267" s="2" t="s">
        <v>116</v>
      </c>
      <c r="D267" s="15" t="s">
        <v>348</v>
      </c>
      <c r="E267" s="31"/>
      <c r="F267" s="31"/>
      <c r="G267" s="15" t="s">
        <v>252</v>
      </c>
      <c r="H267" s="1" t="s">
        <v>272</v>
      </c>
      <c r="I267" s="1"/>
      <c r="J267" s="1"/>
      <c r="K267" s="1"/>
      <c r="L267" s="1"/>
      <c r="M267" s="1"/>
      <c r="N267" s="1"/>
      <c r="O267" s="1">
        <v>1</v>
      </c>
      <c r="P267" s="1"/>
      <c r="Q267" s="1"/>
      <c r="R267" s="1"/>
      <c r="S267" s="1"/>
      <c r="T267" s="1">
        <v>1</v>
      </c>
      <c r="U267" s="1">
        <v>1</v>
      </c>
      <c r="V267" s="1"/>
      <c r="W267" s="1"/>
      <c r="X267" s="1"/>
      <c r="Y267" s="1"/>
      <c r="Z267" s="1"/>
      <c r="AA267" s="1"/>
      <c r="AB267" s="1"/>
      <c r="AC267" s="1"/>
      <c r="AD267" s="1"/>
      <c r="AE267" s="1">
        <v>1</v>
      </c>
      <c r="AF267" s="48"/>
    </row>
    <row r="268" spans="1:32" s="8" customFormat="1" x14ac:dyDescent="0.25">
      <c r="A268" s="42" t="s">
        <v>333</v>
      </c>
      <c r="B268" s="2" t="s">
        <v>115</v>
      </c>
      <c r="C268" s="2" t="s">
        <v>116</v>
      </c>
      <c r="D268" s="15" t="s">
        <v>348</v>
      </c>
      <c r="E268" s="31"/>
      <c r="F268" s="31"/>
      <c r="G268" s="15" t="s">
        <v>252</v>
      </c>
      <c r="H268" s="1" t="s">
        <v>273</v>
      </c>
      <c r="I268" s="1"/>
      <c r="J268" s="1"/>
      <c r="K268" s="1"/>
      <c r="L268" s="1"/>
      <c r="M268" s="1">
        <v>1</v>
      </c>
      <c r="N268" s="1"/>
      <c r="O268" s="1">
        <v>1</v>
      </c>
      <c r="P268" s="1"/>
      <c r="Q268" s="1"/>
      <c r="R268" s="1"/>
      <c r="S268" s="1"/>
      <c r="T268" s="1"/>
      <c r="U268" s="1"/>
      <c r="V268" s="1"/>
      <c r="W268" s="1">
        <v>1</v>
      </c>
      <c r="X268" s="1">
        <v>1</v>
      </c>
      <c r="Y268" s="1"/>
      <c r="Z268" s="1"/>
      <c r="AA268" s="1"/>
      <c r="AB268" s="1"/>
      <c r="AC268" s="1"/>
      <c r="AD268" s="1"/>
      <c r="AE268" s="1"/>
      <c r="AF268" s="48"/>
    </row>
    <row r="269" spans="1:32" s="8" customFormat="1" x14ac:dyDescent="0.25">
      <c r="A269" s="42" t="s">
        <v>333</v>
      </c>
      <c r="B269" s="2" t="s">
        <v>115</v>
      </c>
      <c r="C269" s="2" t="s">
        <v>116</v>
      </c>
      <c r="D269" s="15" t="s">
        <v>348</v>
      </c>
      <c r="E269" s="31"/>
      <c r="F269" s="31"/>
      <c r="G269" s="15" t="s">
        <v>67</v>
      </c>
      <c r="H269" s="1" t="s">
        <v>274</v>
      </c>
      <c r="I269" s="1"/>
      <c r="J269" s="1"/>
      <c r="K269" s="1">
        <v>1</v>
      </c>
      <c r="L269" s="1">
        <v>1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48"/>
    </row>
    <row r="270" spans="1:32" s="8" customFormat="1" x14ac:dyDescent="0.25">
      <c r="A270" s="42" t="s">
        <v>333</v>
      </c>
      <c r="B270" s="2" t="s">
        <v>115</v>
      </c>
      <c r="C270" s="2" t="s">
        <v>116</v>
      </c>
      <c r="D270" s="15" t="s">
        <v>348</v>
      </c>
      <c r="E270" s="31"/>
      <c r="F270" s="31"/>
      <c r="G270" s="15" t="s">
        <v>252</v>
      </c>
      <c r="H270" s="1" t="s">
        <v>275</v>
      </c>
      <c r="I270" s="1"/>
      <c r="J270" s="1">
        <v>1</v>
      </c>
      <c r="K270" s="1">
        <v>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>
        <v>1</v>
      </c>
      <c r="AB270" s="1"/>
      <c r="AC270" s="1">
        <v>1</v>
      </c>
      <c r="AD270" s="1"/>
      <c r="AE270" s="1"/>
      <c r="AF270" s="48"/>
    </row>
    <row r="271" spans="1:32" s="8" customFormat="1" x14ac:dyDescent="0.25">
      <c r="A271" s="42" t="s">
        <v>333</v>
      </c>
      <c r="B271" s="2" t="s">
        <v>115</v>
      </c>
      <c r="C271" s="2" t="s">
        <v>116</v>
      </c>
      <c r="D271" s="15" t="s">
        <v>348</v>
      </c>
      <c r="E271" s="31"/>
      <c r="F271" s="31"/>
      <c r="G271" s="15" t="s">
        <v>252</v>
      </c>
      <c r="H271" s="1" t="s">
        <v>276</v>
      </c>
      <c r="I271" s="1"/>
      <c r="J271" s="1"/>
      <c r="K271" s="1"/>
      <c r="L271" s="1">
        <v>1</v>
      </c>
      <c r="M271" s="1"/>
      <c r="N271" s="1"/>
      <c r="O271" s="1">
        <v>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>
        <v>1</v>
      </c>
      <c r="AC271" s="1"/>
      <c r="AD271" s="1"/>
      <c r="AE271" s="1"/>
      <c r="AF271" s="48"/>
    </row>
    <row r="272" spans="1:32" s="8" customFormat="1" x14ac:dyDescent="0.25">
      <c r="A272" s="42" t="s">
        <v>334</v>
      </c>
      <c r="B272" s="2" t="s">
        <v>118</v>
      </c>
      <c r="C272" s="2" t="s">
        <v>119</v>
      </c>
      <c r="D272" s="15" t="s">
        <v>348</v>
      </c>
      <c r="E272" s="31">
        <v>3000</v>
      </c>
      <c r="F272" s="31">
        <v>0</v>
      </c>
      <c r="G272" s="15" t="s">
        <v>252</v>
      </c>
      <c r="H272" s="1" t="s">
        <v>261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>
        <v>1</v>
      </c>
      <c r="AB272" s="1"/>
      <c r="AC272" s="1"/>
      <c r="AD272" s="1"/>
      <c r="AE272" s="1"/>
      <c r="AF272" s="48"/>
    </row>
    <row r="273" spans="1:32" s="8" customFormat="1" x14ac:dyDescent="0.25">
      <c r="A273" s="42" t="s">
        <v>334</v>
      </c>
      <c r="B273" s="2" t="s">
        <v>118</v>
      </c>
      <c r="C273" s="2" t="s">
        <v>119</v>
      </c>
      <c r="D273" s="15" t="s">
        <v>348</v>
      </c>
      <c r="E273" s="31"/>
      <c r="F273" s="31"/>
      <c r="G273" s="15" t="s">
        <v>252</v>
      </c>
      <c r="H273" s="1" t="s">
        <v>265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>
        <v>1</v>
      </c>
      <c r="AC273" s="1"/>
      <c r="AD273" s="1"/>
      <c r="AE273" s="1"/>
      <c r="AF273" s="48"/>
    </row>
    <row r="274" spans="1:32" s="8" customFormat="1" x14ac:dyDescent="0.25">
      <c r="A274" s="42" t="s">
        <v>334</v>
      </c>
      <c r="B274" s="2" t="s">
        <v>118</v>
      </c>
      <c r="C274" s="2" t="s">
        <v>119</v>
      </c>
      <c r="D274" s="15" t="s">
        <v>348</v>
      </c>
      <c r="E274" s="31"/>
      <c r="F274" s="31"/>
      <c r="G274" s="15" t="s">
        <v>252</v>
      </c>
      <c r="H274" s="1" t="s">
        <v>267</v>
      </c>
      <c r="I274" s="1"/>
      <c r="J274" s="1"/>
      <c r="K274" s="1">
        <v>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48"/>
    </row>
    <row r="275" spans="1:32" s="8" customFormat="1" x14ac:dyDescent="0.25">
      <c r="A275" s="42" t="s">
        <v>334</v>
      </c>
      <c r="B275" s="2" t="s">
        <v>118</v>
      </c>
      <c r="C275" s="2" t="s">
        <v>119</v>
      </c>
      <c r="D275" s="15" t="s">
        <v>348</v>
      </c>
      <c r="E275" s="31"/>
      <c r="F275" s="31"/>
      <c r="G275" s="15" t="s">
        <v>252</v>
      </c>
      <c r="H275" s="1" t="s">
        <v>269</v>
      </c>
      <c r="I275" s="1"/>
      <c r="J275" s="1"/>
      <c r="K275" s="1"/>
      <c r="L275" s="1"/>
      <c r="M275" s="1"/>
      <c r="N275" s="1"/>
      <c r="O275" s="1">
        <v>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48"/>
    </row>
    <row r="276" spans="1:32" s="8" customFormat="1" x14ac:dyDescent="0.25">
      <c r="A276" s="42" t="s">
        <v>334</v>
      </c>
      <c r="B276" s="2" t="s">
        <v>118</v>
      </c>
      <c r="C276" s="2" t="s">
        <v>119</v>
      </c>
      <c r="D276" s="15" t="s">
        <v>348</v>
      </c>
      <c r="E276" s="31"/>
      <c r="F276" s="31"/>
      <c r="G276" s="15" t="s">
        <v>67</v>
      </c>
      <c r="H276" s="1" t="s">
        <v>272</v>
      </c>
      <c r="I276" s="1">
        <v>1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48"/>
    </row>
    <row r="277" spans="1:32" s="8" customFormat="1" x14ac:dyDescent="0.25">
      <c r="A277" s="42" t="s">
        <v>334</v>
      </c>
      <c r="B277" s="2" t="s">
        <v>118</v>
      </c>
      <c r="C277" s="2" t="s">
        <v>119</v>
      </c>
      <c r="D277" s="15" t="s">
        <v>348</v>
      </c>
      <c r="E277" s="31"/>
      <c r="F277" s="31"/>
      <c r="G277" s="15" t="s">
        <v>252</v>
      </c>
      <c r="H277" s="1" t="s">
        <v>273</v>
      </c>
      <c r="I277" s="1"/>
      <c r="J277" s="1"/>
      <c r="K277" s="1"/>
      <c r="L277" s="1"/>
      <c r="M277" s="1"/>
      <c r="N277" s="1"/>
      <c r="O277" s="1"/>
      <c r="P277" s="1">
        <v>1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48"/>
    </row>
    <row r="278" spans="1:32" s="8" customFormat="1" x14ac:dyDescent="0.25">
      <c r="A278" s="42" t="s">
        <v>334</v>
      </c>
      <c r="B278" s="2" t="s">
        <v>120</v>
      </c>
      <c r="C278" s="2" t="s">
        <v>121</v>
      </c>
      <c r="D278" s="15" t="s">
        <v>348</v>
      </c>
      <c r="E278" s="31">
        <v>800</v>
      </c>
      <c r="F278" s="31">
        <v>0</v>
      </c>
      <c r="G278" s="15" t="s">
        <v>252</v>
      </c>
      <c r="H278" s="1" t="s">
        <v>265</v>
      </c>
      <c r="I278" s="1"/>
      <c r="J278" s="1">
        <v>1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48"/>
    </row>
    <row r="279" spans="1:32" s="8" customFormat="1" x14ac:dyDescent="0.25">
      <c r="A279" s="42" t="s">
        <v>334</v>
      </c>
      <c r="B279" s="2" t="s">
        <v>120</v>
      </c>
      <c r="C279" s="2" t="s">
        <v>121</v>
      </c>
      <c r="D279" s="15" t="s">
        <v>348</v>
      </c>
      <c r="E279" s="31"/>
      <c r="F279" s="31"/>
      <c r="G279" s="15" t="s">
        <v>252</v>
      </c>
      <c r="H279" s="1" t="s">
        <v>272</v>
      </c>
      <c r="I279" s="1"/>
      <c r="J279" s="1"/>
      <c r="K279" s="1"/>
      <c r="L279" s="1"/>
      <c r="M279" s="1"/>
      <c r="N279" s="1"/>
      <c r="O279" s="1">
        <v>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48"/>
    </row>
    <row r="280" spans="1:32" s="12" customFormat="1" x14ac:dyDescent="0.25">
      <c r="A280" s="42" t="s">
        <v>334</v>
      </c>
      <c r="B280" s="2" t="s">
        <v>120</v>
      </c>
      <c r="C280" s="2" t="s">
        <v>121</v>
      </c>
      <c r="D280" s="15" t="s">
        <v>350</v>
      </c>
      <c r="E280" s="31">
        <v>1400</v>
      </c>
      <c r="F280" s="31">
        <v>0</v>
      </c>
      <c r="G280" s="15" t="s">
        <v>254</v>
      </c>
      <c r="H280" s="1" t="s">
        <v>261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>
        <v>1</v>
      </c>
      <c r="AB280" s="1"/>
      <c r="AC280" s="1">
        <v>1</v>
      </c>
      <c r="AD280" s="1"/>
      <c r="AE280" s="1"/>
      <c r="AF280" s="48"/>
    </row>
    <row r="281" spans="1:32" s="12" customFormat="1" x14ac:dyDescent="0.25">
      <c r="A281" s="42" t="s">
        <v>334</v>
      </c>
      <c r="B281" s="2" t="s">
        <v>120</v>
      </c>
      <c r="C281" s="2" t="s">
        <v>121</v>
      </c>
      <c r="D281" s="15" t="s">
        <v>350</v>
      </c>
      <c r="E281" s="31"/>
      <c r="F281" s="31"/>
      <c r="G281" s="16" t="s">
        <v>122</v>
      </c>
      <c r="H281" s="1" t="s">
        <v>265</v>
      </c>
      <c r="I281" s="1">
        <v>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48"/>
    </row>
    <row r="282" spans="1:32" s="12" customFormat="1" x14ac:dyDescent="0.25">
      <c r="A282" s="42" t="s">
        <v>334</v>
      </c>
      <c r="B282" s="2" t="s">
        <v>120</v>
      </c>
      <c r="C282" s="2" t="s">
        <v>121</v>
      </c>
      <c r="D282" s="15" t="s">
        <v>350</v>
      </c>
      <c r="E282" s="31"/>
      <c r="F282" s="31"/>
      <c r="G282" s="15" t="s">
        <v>254</v>
      </c>
      <c r="H282" s="1" t="s">
        <v>267</v>
      </c>
      <c r="I282" s="1"/>
      <c r="J282" s="1">
        <v>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48"/>
    </row>
    <row r="283" spans="1:32" s="12" customFormat="1" x14ac:dyDescent="0.25">
      <c r="A283" s="42" t="s">
        <v>334</v>
      </c>
      <c r="B283" s="2" t="s">
        <v>120</v>
      </c>
      <c r="C283" s="2" t="s">
        <v>121</v>
      </c>
      <c r="D283" s="15" t="s">
        <v>350</v>
      </c>
      <c r="E283" s="31"/>
      <c r="F283" s="31"/>
      <c r="G283" s="15" t="s">
        <v>254</v>
      </c>
      <c r="H283" s="1" t="s">
        <v>269</v>
      </c>
      <c r="I283" s="1"/>
      <c r="J283" s="1"/>
      <c r="K283" s="1">
        <v>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48"/>
    </row>
    <row r="284" spans="1:32" s="12" customFormat="1" x14ac:dyDescent="0.25">
      <c r="A284" s="42" t="s">
        <v>334</v>
      </c>
      <c r="B284" s="2" t="s">
        <v>120</v>
      </c>
      <c r="C284" s="2" t="s">
        <v>121</v>
      </c>
      <c r="D284" s="15" t="s">
        <v>350</v>
      </c>
      <c r="E284" s="31"/>
      <c r="F284" s="31"/>
      <c r="G284" s="15" t="s">
        <v>254</v>
      </c>
      <c r="H284" s="1" t="s">
        <v>272</v>
      </c>
      <c r="I284" s="1"/>
      <c r="J284" s="1"/>
      <c r="K284" s="1"/>
      <c r="L284" s="1"/>
      <c r="M284" s="1"/>
      <c r="N284" s="1"/>
      <c r="O284" s="1">
        <v>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48"/>
    </row>
    <row r="285" spans="1:32" s="12" customFormat="1" x14ac:dyDescent="0.25">
      <c r="A285" s="42" t="s">
        <v>334</v>
      </c>
      <c r="B285" s="2" t="s">
        <v>120</v>
      </c>
      <c r="C285" s="2" t="s">
        <v>121</v>
      </c>
      <c r="D285" s="15" t="s">
        <v>350</v>
      </c>
      <c r="E285" s="31"/>
      <c r="F285" s="31"/>
      <c r="G285" s="15" t="s">
        <v>254</v>
      </c>
      <c r="H285" s="1" t="s">
        <v>273</v>
      </c>
      <c r="I285" s="1"/>
      <c r="J285" s="1"/>
      <c r="K285" s="1"/>
      <c r="L285" s="1"/>
      <c r="M285" s="1"/>
      <c r="N285" s="1"/>
      <c r="O285" s="1"/>
      <c r="P285" s="1"/>
      <c r="Q285" s="1">
        <v>1</v>
      </c>
      <c r="R285" s="1"/>
      <c r="S285" s="1">
        <v>1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48"/>
    </row>
    <row r="286" spans="1:32" s="12" customFormat="1" x14ac:dyDescent="0.25">
      <c r="A286" s="42" t="s">
        <v>334</v>
      </c>
      <c r="B286" s="2" t="s">
        <v>120</v>
      </c>
      <c r="C286" s="2" t="s">
        <v>121</v>
      </c>
      <c r="D286" s="15" t="s">
        <v>350</v>
      </c>
      <c r="E286" s="31"/>
      <c r="F286" s="31"/>
      <c r="G286" s="15" t="s">
        <v>254</v>
      </c>
      <c r="H286" s="1" t="s">
        <v>274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>
        <v>1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48"/>
    </row>
    <row r="287" spans="1:32" s="8" customFormat="1" x14ac:dyDescent="0.25">
      <c r="A287" s="42" t="s">
        <v>335</v>
      </c>
      <c r="B287" s="2" t="s">
        <v>124</v>
      </c>
      <c r="C287" s="2" t="s">
        <v>125</v>
      </c>
      <c r="D287" s="15" t="s">
        <v>346</v>
      </c>
      <c r="E287" s="31">
        <v>5480</v>
      </c>
      <c r="F287" s="31">
        <v>0</v>
      </c>
      <c r="G287" s="15" t="s">
        <v>263</v>
      </c>
      <c r="H287" s="1" t="s">
        <v>265</v>
      </c>
      <c r="I287" s="1"/>
      <c r="J287" s="1">
        <v>1</v>
      </c>
      <c r="K287" s="1">
        <v>1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48"/>
    </row>
    <row r="288" spans="1:32" s="8" customFormat="1" x14ac:dyDescent="0.25">
      <c r="A288" s="42" t="s">
        <v>335</v>
      </c>
      <c r="B288" s="2" t="s">
        <v>124</v>
      </c>
      <c r="C288" s="2" t="s">
        <v>125</v>
      </c>
      <c r="D288" s="15" t="s">
        <v>346</v>
      </c>
      <c r="E288" s="31"/>
      <c r="F288" s="31"/>
      <c r="G288" s="15" t="s">
        <v>258</v>
      </c>
      <c r="H288" s="1" t="s">
        <v>265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>
        <v>1</v>
      </c>
      <c r="AB288" s="1"/>
      <c r="AC288" s="1">
        <v>1</v>
      </c>
      <c r="AD288" s="1">
        <v>1</v>
      </c>
      <c r="AE288" s="1"/>
      <c r="AF288" s="48"/>
    </row>
    <row r="289" spans="1:32" s="8" customFormat="1" x14ac:dyDescent="0.25">
      <c r="A289" s="42" t="s">
        <v>335</v>
      </c>
      <c r="B289" s="2" t="s">
        <v>124</v>
      </c>
      <c r="C289" s="2" t="s">
        <v>125</v>
      </c>
      <c r="D289" s="15" t="s">
        <v>346</v>
      </c>
      <c r="E289" s="31"/>
      <c r="F289" s="31"/>
      <c r="G289" s="15" t="s">
        <v>263</v>
      </c>
      <c r="H289" s="1" t="s">
        <v>267</v>
      </c>
      <c r="I289" s="1"/>
      <c r="J289" s="1">
        <v>1</v>
      </c>
      <c r="K289" s="1"/>
      <c r="L289" s="1">
        <v>1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48"/>
    </row>
    <row r="290" spans="1:32" s="8" customFormat="1" x14ac:dyDescent="0.25">
      <c r="A290" s="42" t="s">
        <v>335</v>
      </c>
      <c r="B290" s="2" t="s">
        <v>124</v>
      </c>
      <c r="C290" s="2" t="s">
        <v>125</v>
      </c>
      <c r="D290" s="15" t="s">
        <v>346</v>
      </c>
      <c r="E290" s="31"/>
      <c r="F290" s="31"/>
      <c r="G290" s="15" t="s">
        <v>258</v>
      </c>
      <c r="H290" s="1" t="s">
        <v>267</v>
      </c>
      <c r="I290" s="1"/>
      <c r="J290" s="1"/>
      <c r="K290" s="1"/>
      <c r="L290" s="1"/>
      <c r="M290" s="1">
        <v>1</v>
      </c>
      <c r="N290" s="1">
        <v>1</v>
      </c>
      <c r="O290" s="1">
        <v>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48"/>
    </row>
    <row r="291" spans="1:32" s="8" customFormat="1" x14ac:dyDescent="0.25">
      <c r="A291" s="42" t="s">
        <v>335</v>
      </c>
      <c r="B291" s="2" t="s">
        <v>124</v>
      </c>
      <c r="C291" s="2" t="s">
        <v>125</v>
      </c>
      <c r="D291" s="15" t="s">
        <v>346</v>
      </c>
      <c r="E291" s="31"/>
      <c r="F291" s="31"/>
      <c r="G291" s="15" t="s">
        <v>263</v>
      </c>
      <c r="H291" s="1" t="s">
        <v>269</v>
      </c>
      <c r="I291" s="1"/>
      <c r="J291" s="1"/>
      <c r="K291" s="1">
        <v>1</v>
      </c>
      <c r="L291" s="1">
        <v>1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48"/>
    </row>
    <row r="292" spans="1:32" s="8" customFormat="1" x14ac:dyDescent="0.25">
      <c r="A292" s="42" t="s">
        <v>335</v>
      </c>
      <c r="B292" s="2" t="s">
        <v>124</v>
      </c>
      <c r="C292" s="2" t="s">
        <v>125</v>
      </c>
      <c r="D292" s="15" t="s">
        <v>346</v>
      </c>
      <c r="E292" s="31"/>
      <c r="F292" s="31"/>
      <c r="G292" s="15" t="s">
        <v>258</v>
      </c>
      <c r="H292" s="1" t="s">
        <v>269</v>
      </c>
      <c r="I292" s="1"/>
      <c r="J292" s="1"/>
      <c r="K292" s="1"/>
      <c r="L292" s="1"/>
      <c r="M292" s="1"/>
      <c r="N292" s="1"/>
      <c r="O292" s="1"/>
      <c r="P292" s="1">
        <v>1</v>
      </c>
      <c r="Q292" s="1">
        <v>1</v>
      </c>
      <c r="R292" s="1">
        <v>1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48"/>
    </row>
    <row r="293" spans="1:32" s="8" customFormat="1" x14ac:dyDescent="0.25">
      <c r="A293" s="42" t="s">
        <v>335</v>
      </c>
      <c r="B293" s="2" t="s">
        <v>124</v>
      </c>
      <c r="C293" s="2" t="s">
        <v>125</v>
      </c>
      <c r="D293" s="15" t="s">
        <v>346</v>
      </c>
      <c r="E293" s="31"/>
      <c r="F293" s="31"/>
      <c r="G293" s="15" t="s">
        <v>258</v>
      </c>
      <c r="H293" s="1" t="s">
        <v>272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>
        <v>1</v>
      </c>
      <c r="T293" s="1">
        <v>1</v>
      </c>
      <c r="U293" s="1">
        <v>1</v>
      </c>
      <c r="V293" s="1">
        <v>1</v>
      </c>
      <c r="W293" s="1"/>
      <c r="X293" s="1"/>
      <c r="Y293" s="1"/>
      <c r="Z293" s="1"/>
      <c r="AA293" s="1"/>
      <c r="AB293" s="1"/>
      <c r="AC293" s="1"/>
      <c r="AD293" s="1">
        <v>1</v>
      </c>
      <c r="AE293" s="1"/>
      <c r="AF293" s="48"/>
    </row>
    <row r="294" spans="1:32" s="8" customFormat="1" x14ac:dyDescent="0.25">
      <c r="A294" s="42" t="s">
        <v>335</v>
      </c>
      <c r="B294" s="2" t="s">
        <v>124</v>
      </c>
      <c r="C294" s="2" t="s">
        <v>125</v>
      </c>
      <c r="D294" s="15" t="s">
        <v>346</v>
      </c>
      <c r="E294" s="31"/>
      <c r="F294" s="31"/>
      <c r="G294" s="15" t="s">
        <v>258</v>
      </c>
      <c r="H294" s="1" t="s">
        <v>273</v>
      </c>
      <c r="I294" s="1"/>
      <c r="J294" s="1">
        <v>1</v>
      </c>
      <c r="K294" s="1">
        <v>1</v>
      </c>
      <c r="L294" s="1"/>
      <c r="M294" s="1"/>
      <c r="N294" s="1"/>
      <c r="O294" s="1">
        <v>1</v>
      </c>
      <c r="P294" s="1"/>
      <c r="Q294" s="1"/>
      <c r="R294" s="1"/>
      <c r="S294" s="1"/>
      <c r="T294" s="1"/>
      <c r="U294" s="1"/>
      <c r="V294" s="1"/>
      <c r="W294" s="1"/>
      <c r="X294" s="1"/>
      <c r="Y294" s="1">
        <v>1</v>
      </c>
      <c r="Z294" s="1">
        <v>1</v>
      </c>
      <c r="AA294" s="1"/>
      <c r="AB294" s="1"/>
      <c r="AC294" s="1"/>
      <c r="AD294" s="1"/>
      <c r="AE294" s="1"/>
      <c r="AF294" s="48"/>
    </row>
    <row r="295" spans="1:32" s="8" customFormat="1" x14ac:dyDescent="0.25">
      <c r="A295" s="42" t="s">
        <v>335</v>
      </c>
      <c r="B295" s="2" t="s">
        <v>124</v>
      </c>
      <c r="C295" s="2" t="s">
        <v>125</v>
      </c>
      <c r="D295" s="15" t="s">
        <v>346</v>
      </c>
      <c r="E295" s="31"/>
      <c r="F295" s="31"/>
      <c r="G295" s="15" t="s">
        <v>258</v>
      </c>
      <c r="H295" s="1" t="s">
        <v>274</v>
      </c>
      <c r="I295" s="1"/>
      <c r="J295" s="1"/>
      <c r="K295" s="1"/>
      <c r="L295" s="1"/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48"/>
    </row>
    <row r="296" spans="1:32" s="8" customFormat="1" x14ac:dyDescent="0.25">
      <c r="A296" s="42" t="s">
        <v>335</v>
      </c>
      <c r="B296" s="2" t="s">
        <v>124</v>
      </c>
      <c r="C296" s="2" t="s">
        <v>125</v>
      </c>
      <c r="D296" s="15" t="s">
        <v>346</v>
      </c>
      <c r="E296" s="31"/>
      <c r="F296" s="31"/>
      <c r="G296" s="15" t="s">
        <v>258</v>
      </c>
      <c r="H296" s="1" t="s">
        <v>275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1</v>
      </c>
      <c r="X296" s="1">
        <v>1</v>
      </c>
      <c r="Y296" s="1"/>
      <c r="Z296" s="1"/>
      <c r="AA296" s="1">
        <v>1</v>
      </c>
      <c r="AB296" s="1"/>
      <c r="AC296" s="1">
        <v>1</v>
      </c>
      <c r="AD296" s="1"/>
      <c r="AE296" s="1"/>
      <c r="AF296" s="48"/>
    </row>
    <row r="297" spans="1:32" s="8" customFormat="1" x14ac:dyDescent="0.25">
      <c r="A297" s="42" t="s">
        <v>335</v>
      </c>
      <c r="B297" s="2" t="s">
        <v>124</v>
      </c>
      <c r="C297" s="2" t="s">
        <v>125</v>
      </c>
      <c r="D297" s="15" t="s">
        <v>346</v>
      </c>
      <c r="E297" s="31"/>
      <c r="F297" s="31"/>
      <c r="G297" s="15" t="s">
        <v>258</v>
      </c>
      <c r="H297" s="1" t="s">
        <v>276</v>
      </c>
      <c r="I297" s="1"/>
      <c r="J297" s="1">
        <v>1</v>
      </c>
      <c r="K297" s="1">
        <v>1</v>
      </c>
      <c r="L297" s="1"/>
      <c r="M297" s="1"/>
      <c r="N297" s="1"/>
      <c r="O297" s="1">
        <v>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48"/>
    </row>
    <row r="298" spans="1:32" s="8" customFormat="1" x14ac:dyDescent="0.25">
      <c r="A298" s="42" t="s">
        <v>335</v>
      </c>
      <c r="B298" s="2" t="s">
        <v>124</v>
      </c>
      <c r="C298" s="2" t="s">
        <v>125</v>
      </c>
      <c r="D298" s="15" t="s">
        <v>347</v>
      </c>
      <c r="E298" s="31">
        <v>17000</v>
      </c>
      <c r="F298" s="31">
        <v>0</v>
      </c>
      <c r="G298" s="15" t="s">
        <v>256</v>
      </c>
      <c r="H298" s="1" t="s">
        <v>255</v>
      </c>
      <c r="I298" s="1"/>
      <c r="J298" s="1">
        <v>1</v>
      </c>
      <c r="K298" s="1">
        <v>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48"/>
    </row>
    <row r="299" spans="1:32" s="8" customFormat="1" ht="24" x14ac:dyDescent="0.25">
      <c r="A299" s="42" t="s">
        <v>335</v>
      </c>
      <c r="B299" s="2" t="s">
        <v>124</v>
      </c>
      <c r="C299" s="2" t="s">
        <v>125</v>
      </c>
      <c r="D299" s="15" t="s">
        <v>347</v>
      </c>
      <c r="E299" s="31"/>
      <c r="F299" s="31"/>
      <c r="G299" s="15" t="s">
        <v>257</v>
      </c>
      <c r="H299" s="1" t="s">
        <v>255</v>
      </c>
      <c r="I299" s="1"/>
      <c r="J299" s="1"/>
      <c r="K299" s="1"/>
      <c r="L299" s="1"/>
      <c r="M299" s="1">
        <v>1</v>
      </c>
      <c r="N299" s="1">
        <v>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48"/>
    </row>
    <row r="300" spans="1:32" s="8" customFormat="1" x14ac:dyDescent="0.25">
      <c r="A300" s="42" t="s">
        <v>335</v>
      </c>
      <c r="B300" s="2" t="s">
        <v>124</v>
      </c>
      <c r="C300" s="2" t="s">
        <v>125</v>
      </c>
      <c r="D300" s="15" t="s">
        <v>347</v>
      </c>
      <c r="E300" s="31"/>
      <c r="F300" s="31"/>
      <c r="G300" s="15" t="s">
        <v>256</v>
      </c>
      <c r="H300" s="1" t="s">
        <v>261</v>
      </c>
      <c r="I300" s="1"/>
      <c r="J300" s="1">
        <v>1</v>
      </c>
      <c r="K300" s="1"/>
      <c r="L300" s="1">
        <v>1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48"/>
    </row>
    <row r="301" spans="1:32" s="8" customFormat="1" ht="24" x14ac:dyDescent="0.25">
      <c r="A301" s="42" t="s">
        <v>335</v>
      </c>
      <c r="B301" s="2" t="s">
        <v>124</v>
      </c>
      <c r="C301" s="2" t="s">
        <v>125</v>
      </c>
      <c r="D301" s="15" t="s">
        <v>347</v>
      </c>
      <c r="E301" s="31"/>
      <c r="F301" s="31"/>
      <c r="G301" s="15" t="s">
        <v>257</v>
      </c>
      <c r="H301" s="1" t="s">
        <v>261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>
        <v>1</v>
      </c>
      <c r="AB301" s="1"/>
      <c r="AC301" s="1">
        <v>1</v>
      </c>
      <c r="AD301" s="1">
        <v>1</v>
      </c>
      <c r="AE301" s="1"/>
      <c r="AF301" s="48"/>
    </row>
    <row r="302" spans="1:32" s="8" customFormat="1" x14ac:dyDescent="0.25">
      <c r="A302" s="42" t="s">
        <v>335</v>
      </c>
      <c r="B302" s="2" t="s">
        <v>124</v>
      </c>
      <c r="C302" s="2" t="s">
        <v>125</v>
      </c>
      <c r="D302" s="15" t="s">
        <v>347</v>
      </c>
      <c r="E302" s="31"/>
      <c r="F302" s="31"/>
      <c r="G302" s="15" t="s">
        <v>256</v>
      </c>
      <c r="H302" s="1" t="s">
        <v>265</v>
      </c>
      <c r="I302" s="1"/>
      <c r="J302" s="1"/>
      <c r="K302" s="1">
        <v>1</v>
      </c>
      <c r="L302" s="1">
        <v>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48"/>
    </row>
    <row r="303" spans="1:32" s="8" customFormat="1" ht="24" x14ac:dyDescent="0.25">
      <c r="A303" s="42" t="s">
        <v>335</v>
      </c>
      <c r="B303" s="2" t="s">
        <v>124</v>
      </c>
      <c r="C303" s="2" t="s">
        <v>125</v>
      </c>
      <c r="D303" s="15" t="s">
        <v>347</v>
      </c>
      <c r="E303" s="31"/>
      <c r="F303" s="31"/>
      <c r="G303" s="15" t="s">
        <v>257</v>
      </c>
      <c r="H303" s="1" t="s">
        <v>265</v>
      </c>
      <c r="I303" s="1"/>
      <c r="J303" s="1"/>
      <c r="K303" s="1"/>
      <c r="L303" s="1"/>
      <c r="M303" s="1"/>
      <c r="N303" s="1"/>
      <c r="O303" s="1">
        <v>1</v>
      </c>
      <c r="P303" s="1">
        <v>1</v>
      </c>
      <c r="Q303" s="1">
        <v>1</v>
      </c>
      <c r="R303" s="1"/>
      <c r="S303" s="2"/>
      <c r="T303" s="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48"/>
    </row>
    <row r="304" spans="1:32" s="8" customFormat="1" x14ac:dyDescent="0.25">
      <c r="A304" s="42" t="s">
        <v>335</v>
      </c>
      <c r="B304" s="2" t="s">
        <v>124</v>
      </c>
      <c r="C304" s="2" t="s">
        <v>125</v>
      </c>
      <c r="D304" s="15" t="s">
        <v>347</v>
      </c>
      <c r="E304" s="31"/>
      <c r="F304" s="31"/>
      <c r="G304" s="15" t="s">
        <v>256</v>
      </c>
      <c r="H304" s="1" t="s">
        <v>267</v>
      </c>
      <c r="I304" s="1"/>
      <c r="J304" s="1">
        <v>1</v>
      </c>
      <c r="K304" s="1">
        <v>1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48"/>
    </row>
    <row r="305" spans="1:32" s="8" customFormat="1" ht="24" x14ac:dyDescent="0.25">
      <c r="A305" s="42" t="s">
        <v>335</v>
      </c>
      <c r="B305" s="2" t="s">
        <v>124</v>
      </c>
      <c r="C305" s="2" t="s">
        <v>125</v>
      </c>
      <c r="D305" s="15" t="s">
        <v>347</v>
      </c>
      <c r="E305" s="31"/>
      <c r="F305" s="31"/>
      <c r="G305" s="15" t="s">
        <v>257</v>
      </c>
      <c r="H305" s="1" t="s">
        <v>267</v>
      </c>
      <c r="I305" s="1"/>
      <c r="J305" s="1"/>
      <c r="K305" s="1"/>
      <c r="L305" s="1"/>
      <c r="M305" s="1"/>
      <c r="N305" s="1"/>
      <c r="O305" s="1"/>
      <c r="P305" s="1"/>
      <c r="Q305" s="1"/>
      <c r="R305" s="1">
        <v>1</v>
      </c>
      <c r="S305" s="1">
        <v>1</v>
      </c>
      <c r="T305" s="1">
        <v>1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48"/>
    </row>
    <row r="306" spans="1:32" s="8" customFormat="1" ht="24" x14ac:dyDescent="0.25">
      <c r="A306" s="42" t="s">
        <v>335</v>
      </c>
      <c r="B306" s="2" t="s">
        <v>124</v>
      </c>
      <c r="C306" s="2" t="s">
        <v>125</v>
      </c>
      <c r="D306" s="15" t="s">
        <v>347</v>
      </c>
      <c r="E306" s="31"/>
      <c r="F306" s="31"/>
      <c r="G306" s="15" t="s">
        <v>257</v>
      </c>
      <c r="H306" s="1" t="s">
        <v>269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>
        <v>1</v>
      </c>
      <c r="V306" s="1">
        <v>1</v>
      </c>
      <c r="W306" s="1">
        <v>1</v>
      </c>
      <c r="X306" s="1">
        <v>1</v>
      </c>
      <c r="Y306" s="1"/>
      <c r="Z306" s="1"/>
      <c r="AA306" s="1"/>
      <c r="AB306" s="1"/>
      <c r="AC306" s="1"/>
      <c r="AD306" s="1"/>
      <c r="AE306" s="1"/>
      <c r="AF306" s="48"/>
    </row>
    <row r="307" spans="1:32" s="8" customFormat="1" ht="24" x14ac:dyDescent="0.25">
      <c r="A307" s="42" t="s">
        <v>335</v>
      </c>
      <c r="B307" s="2" t="s">
        <v>124</v>
      </c>
      <c r="C307" s="2" t="s">
        <v>125</v>
      </c>
      <c r="D307" s="15" t="s">
        <v>347</v>
      </c>
      <c r="E307" s="31"/>
      <c r="F307" s="31"/>
      <c r="G307" s="15" t="s">
        <v>257</v>
      </c>
      <c r="H307" s="1" t="s">
        <v>272</v>
      </c>
      <c r="I307" s="1"/>
      <c r="J307" s="1">
        <v>1</v>
      </c>
      <c r="K307" s="1">
        <v>1</v>
      </c>
      <c r="L307" s="1"/>
      <c r="M307" s="1"/>
      <c r="N307" s="1">
        <v>1</v>
      </c>
      <c r="O307" s="1">
        <v>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48"/>
    </row>
    <row r="308" spans="1:32" s="8" customFormat="1" ht="24" x14ac:dyDescent="0.25">
      <c r="A308" s="42" t="s">
        <v>335</v>
      </c>
      <c r="B308" s="2" t="s">
        <v>124</v>
      </c>
      <c r="C308" s="2" t="s">
        <v>125</v>
      </c>
      <c r="D308" s="15" t="s">
        <v>347</v>
      </c>
      <c r="E308" s="31"/>
      <c r="F308" s="31"/>
      <c r="G308" s="15" t="s">
        <v>257</v>
      </c>
      <c r="H308" s="1" t="s">
        <v>273</v>
      </c>
      <c r="I308" s="1"/>
      <c r="J308" s="1"/>
      <c r="K308" s="1"/>
      <c r="L308" s="1"/>
      <c r="M308" s="1"/>
      <c r="N308" s="1"/>
      <c r="O308" s="1"/>
      <c r="P308" s="1">
        <v>1</v>
      </c>
      <c r="Q308" s="1"/>
      <c r="R308" s="1">
        <v>1</v>
      </c>
      <c r="S308" s="1"/>
      <c r="T308" s="1">
        <v>1</v>
      </c>
      <c r="U308" s="1"/>
      <c r="V308" s="1">
        <v>1</v>
      </c>
      <c r="W308" s="1"/>
      <c r="X308" s="1"/>
      <c r="Y308" s="1"/>
      <c r="Z308" s="1"/>
      <c r="AA308" s="1"/>
      <c r="AB308" s="1"/>
      <c r="AC308" s="1"/>
      <c r="AD308" s="1"/>
      <c r="AE308" s="1"/>
      <c r="AF308" s="48"/>
    </row>
    <row r="309" spans="1:32" s="8" customFormat="1" ht="24" x14ac:dyDescent="0.25">
      <c r="A309" s="42" t="s">
        <v>335</v>
      </c>
      <c r="B309" s="2" t="s">
        <v>124</v>
      </c>
      <c r="C309" s="2" t="s">
        <v>125</v>
      </c>
      <c r="D309" s="15" t="s">
        <v>347</v>
      </c>
      <c r="E309" s="31"/>
      <c r="F309" s="31"/>
      <c r="G309" s="15" t="s">
        <v>257</v>
      </c>
      <c r="H309" s="1" t="s">
        <v>274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1</v>
      </c>
      <c r="X309" s="1">
        <v>1</v>
      </c>
      <c r="Y309" s="1"/>
      <c r="Z309" s="1"/>
      <c r="AA309" s="1">
        <v>1</v>
      </c>
      <c r="AB309" s="1"/>
      <c r="AC309" s="1">
        <v>1</v>
      </c>
      <c r="AD309" s="1"/>
      <c r="AE309" s="1"/>
      <c r="AF309" s="48"/>
    </row>
    <row r="310" spans="1:32" s="8" customFormat="1" ht="24" x14ac:dyDescent="0.25">
      <c r="A310" s="42" t="s">
        <v>335</v>
      </c>
      <c r="B310" s="2" t="s">
        <v>124</v>
      </c>
      <c r="C310" s="2" t="s">
        <v>125</v>
      </c>
      <c r="D310" s="15" t="s">
        <v>347</v>
      </c>
      <c r="E310" s="31"/>
      <c r="F310" s="31"/>
      <c r="G310" s="15" t="s">
        <v>257</v>
      </c>
      <c r="H310" s="1" t="s">
        <v>275</v>
      </c>
      <c r="I310" s="1"/>
      <c r="J310" s="1"/>
      <c r="K310" s="1"/>
      <c r="L310" s="1">
        <v>1</v>
      </c>
      <c r="M310" s="1">
        <v>1</v>
      </c>
      <c r="N310" s="1"/>
      <c r="O310" s="1">
        <v>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48"/>
    </row>
    <row r="311" spans="1:32" s="8" customFormat="1" ht="24" x14ac:dyDescent="0.25">
      <c r="A311" s="42" t="s">
        <v>335</v>
      </c>
      <c r="B311" s="2" t="s">
        <v>124</v>
      </c>
      <c r="C311" s="2" t="s">
        <v>125</v>
      </c>
      <c r="D311" s="15" t="s">
        <v>347</v>
      </c>
      <c r="E311" s="31"/>
      <c r="F311" s="31"/>
      <c r="G311" s="15" t="s">
        <v>257</v>
      </c>
      <c r="H311" s="1" t="s">
        <v>276</v>
      </c>
      <c r="I311" s="1"/>
      <c r="J311" s="1"/>
      <c r="K311" s="1"/>
      <c r="L311" s="1"/>
      <c r="M311" s="1"/>
      <c r="N311" s="1"/>
      <c r="O311" s="1">
        <v>1</v>
      </c>
      <c r="P311" s="1"/>
      <c r="Q311" s="1"/>
      <c r="R311" s="1"/>
      <c r="S311" s="1"/>
      <c r="T311" s="1"/>
      <c r="U311" s="1"/>
      <c r="V311" s="1"/>
      <c r="W311" s="1"/>
      <c r="X311" s="1"/>
      <c r="Y311" s="1">
        <v>1</v>
      </c>
      <c r="Z311" s="1">
        <v>1</v>
      </c>
      <c r="AA311" s="1"/>
      <c r="AB311" s="1"/>
      <c r="AC311" s="1"/>
      <c r="AD311" s="1"/>
      <c r="AE311" s="1"/>
      <c r="AF311" s="48"/>
    </row>
    <row r="312" spans="1:32" s="8" customFormat="1" ht="24" x14ac:dyDescent="0.25">
      <c r="A312" s="42" t="s">
        <v>335</v>
      </c>
      <c r="B312" s="2" t="s">
        <v>126</v>
      </c>
      <c r="C312" s="2" t="s">
        <v>127</v>
      </c>
      <c r="D312" s="15" t="s">
        <v>347</v>
      </c>
      <c r="E312" s="31">
        <v>480</v>
      </c>
      <c r="F312" s="31">
        <v>0</v>
      </c>
      <c r="G312" s="15" t="s">
        <v>257</v>
      </c>
      <c r="H312" s="1" t="s">
        <v>267</v>
      </c>
      <c r="I312" s="1"/>
      <c r="J312" s="1"/>
      <c r="K312" s="1">
        <v>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48"/>
    </row>
    <row r="313" spans="1:32" s="8" customFormat="1" ht="24" x14ac:dyDescent="0.25">
      <c r="A313" s="42" t="s">
        <v>335</v>
      </c>
      <c r="B313" s="2" t="s">
        <v>126</v>
      </c>
      <c r="C313" s="2" t="s">
        <v>127</v>
      </c>
      <c r="D313" s="15" t="s">
        <v>347</v>
      </c>
      <c r="E313" s="31"/>
      <c r="F313" s="31"/>
      <c r="G313" s="15" t="s">
        <v>257</v>
      </c>
      <c r="H313" s="1" t="s">
        <v>269</v>
      </c>
      <c r="I313" s="1"/>
      <c r="J313" s="1"/>
      <c r="K313" s="1"/>
      <c r="L313" s="1"/>
      <c r="M313" s="1"/>
      <c r="N313" s="1"/>
      <c r="O313" s="1">
        <v>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48"/>
    </row>
    <row r="314" spans="1:32" s="8" customFormat="1" x14ac:dyDescent="0.25">
      <c r="A314" s="42" t="s">
        <v>335</v>
      </c>
      <c r="B314" s="2" t="s">
        <v>126</v>
      </c>
      <c r="C314" s="2" t="s">
        <v>127</v>
      </c>
      <c r="D314" s="15" t="s">
        <v>348</v>
      </c>
      <c r="E314" s="31">
        <v>4000</v>
      </c>
      <c r="F314" s="31">
        <v>0</v>
      </c>
      <c r="G314" s="15" t="s">
        <v>67</v>
      </c>
      <c r="H314" s="1" t="s">
        <v>267</v>
      </c>
      <c r="I314" s="1">
        <v>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48"/>
    </row>
    <row r="315" spans="1:32" s="8" customFormat="1" x14ac:dyDescent="0.25">
      <c r="A315" s="42" t="s">
        <v>335</v>
      </c>
      <c r="B315" s="2" t="s">
        <v>126</v>
      </c>
      <c r="C315" s="2" t="s">
        <v>127</v>
      </c>
      <c r="D315" s="15" t="s">
        <v>348</v>
      </c>
      <c r="E315" s="31"/>
      <c r="F315" s="31"/>
      <c r="G315" s="15" t="s">
        <v>252</v>
      </c>
      <c r="H315" s="1" t="s">
        <v>267</v>
      </c>
      <c r="I315" s="1"/>
      <c r="J315" s="1">
        <v>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48"/>
    </row>
    <row r="316" spans="1:32" s="8" customFormat="1" x14ac:dyDescent="0.25">
      <c r="A316" s="42" t="s">
        <v>335</v>
      </c>
      <c r="B316" s="2" t="s">
        <v>126</v>
      </c>
      <c r="C316" s="2" t="s">
        <v>127</v>
      </c>
      <c r="D316" s="15" t="s">
        <v>348</v>
      </c>
      <c r="E316" s="31"/>
      <c r="F316" s="31"/>
      <c r="G316" s="15" t="s">
        <v>252</v>
      </c>
      <c r="H316" s="1" t="s">
        <v>269</v>
      </c>
      <c r="I316" s="1"/>
      <c r="J316" s="1"/>
      <c r="K316" s="1"/>
      <c r="L316" s="1"/>
      <c r="M316" s="1"/>
      <c r="N316" s="1"/>
      <c r="O316" s="1">
        <v>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48"/>
    </row>
    <row r="317" spans="1:32" s="8" customFormat="1" x14ac:dyDescent="0.25">
      <c r="A317" s="42" t="s">
        <v>335</v>
      </c>
      <c r="B317" s="2" t="s">
        <v>126</v>
      </c>
      <c r="C317" s="2" t="s">
        <v>127</v>
      </c>
      <c r="D317" s="15" t="s">
        <v>348</v>
      </c>
      <c r="E317" s="31"/>
      <c r="F317" s="31"/>
      <c r="G317" s="15" t="s">
        <v>252</v>
      </c>
      <c r="H317" s="1" t="s">
        <v>272</v>
      </c>
      <c r="I317" s="1"/>
      <c r="J317" s="1"/>
      <c r="K317" s="1">
        <v>1</v>
      </c>
      <c r="L317" s="1"/>
      <c r="M317" s="1"/>
      <c r="N317" s="1"/>
      <c r="O317" s="1"/>
      <c r="P317" s="1"/>
      <c r="Q317" s="1">
        <v>1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48"/>
    </row>
    <row r="318" spans="1:32" s="8" customFormat="1" x14ac:dyDescent="0.25">
      <c r="A318" s="42" t="s">
        <v>335</v>
      </c>
      <c r="B318" s="2" t="s">
        <v>126</v>
      </c>
      <c r="C318" s="2" t="s">
        <v>127</v>
      </c>
      <c r="D318" s="15" t="s">
        <v>348</v>
      </c>
      <c r="E318" s="31"/>
      <c r="F318" s="31"/>
      <c r="G318" s="15" t="s">
        <v>252</v>
      </c>
      <c r="H318" s="1" t="s">
        <v>273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>
        <v>1</v>
      </c>
      <c r="T318" s="1"/>
      <c r="U318" s="1">
        <v>1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48"/>
    </row>
    <row r="319" spans="1:32" s="8" customFormat="1" x14ac:dyDescent="0.25">
      <c r="A319" s="42" t="s">
        <v>335</v>
      </c>
      <c r="B319" s="2" t="s">
        <v>126</v>
      </c>
      <c r="C319" s="2" t="s">
        <v>127</v>
      </c>
      <c r="D319" s="15" t="s">
        <v>348</v>
      </c>
      <c r="E319" s="31"/>
      <c r="F319" s="31"/>
      <c r="G319" s="15" t="s">
        <v>252</v>
      </c>
      <c r="H319" s="1" t="s">
        <v>274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>
        <v>1</v>
      </c>
      <c r="AB319" s="1"/>
      <c r="AC319" s="1"/>
      <c r="AD319" s="1"/>
      <c r="AE319" s="1"/>
      <c r="AF319" s="48"/>
    </row>
    <row r="320" spans="1:32" s="8" customFormat="1" x14ac:dyDescent="0.25">
      <c r="A320" s="42" t="s">
        <v>335</v>
      </c>
      <c r="B320" s="2" t="s">
        <v>128</v>
      </c>
      <c r="C320" s="2" t="s">
        <v>129</v>
      </c>
      <c r="D320" s="15" t="s">
        <v>346</v>
      </c>
      <c r="E320" s="31">
        <v>3000</v>
      </c>
      <c r="F320" s="31">
        <v>0</v>
      </c>
      <c r="G320" s="15" t="s">
        <v>263</v>
      </c>
      <c r="H320" s="1" t="s">
        <v>267</v>
      </c>
      <c r="I320" s="1"/>
      <c r="J320" s="1">
        <v>1</v>
      </c>
      <c r="K320" s="1">
        <v>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48"/>
    </row>
    <row r="321" spans="1:32" s="8" customFormat="1" x14ac:dyDescent="0.25">
      <c r="A321" s="42" t="s">
        <v>335</v>
      </c>
      <c r="B321" s="2" t="s">
        <v>128</v>
      </c>
      <c r="C321" s="2" t="s">
        <v>129</v>
      </c>
      <c r="D321" s="15" t="s">
        <v>346</v>
      </c>
      <c r="E321" s="31"/>
      <c r="F321" s="31"/>
      <c r="G321" s="15" t="s">
        <v>258</v>
      </c>
      <c r="H321" s="1" t="s">
        <v>267</v>
      </c>
      <c r="I321" s="1"/>
      <c r="J321" s="1"/>
      <c r="K321" s="1">
        <v>1</v>
      </c>
      <c r="L321" s="1"/>
      <c r="M321" s="1">
        <v>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48"/>
    </row>
    <row r="322" spans="1:32" s="8" customFormat="1" x14ac:dyDescent="0.25">
      <c r="A322" s="42" t="s">
        <v>335</v>
      </c>
      <c r="B322" s="2" t="s">
        <v>128</v>
      </c>
      <c r="C322" s="2" t="s">
        <v>129</v>
      </c>
      <c r="D322" s="15" t="s">
        <v>346</v>
      </c>
      <c r="E322" s="31"/>
      <c r="F322" s="31"/>
      <c r="G322" s="15" t="s">
        <v>263</v>
      </c>
      <c r="H322" s="1" t="s">
        <v>269</v>
      </c>
      <c r="I322" s="1"/>
      <c r="J322" s="1">
        <v>1</v>
      </c>
      <c r="K322" s="1"/>
      <c r="L322" s="1">
        <v>1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48"/>
    </row>
    <row r="323" spans="1:32" s="8" customFormat="1" x14ac:dyDescent="0.25">
      <c r="A323" s="42" t="s">
        <v>335</v>
      </c>
      <c r="B323" s="2" t="s">
        <v>128</v>
      </c>
      <c r="C323" s="2" t="s">
        <v>129</v>
      </c>
      <c r="D323" s="15" t="s">
        <v>346</v>
      </c>
      <c r="E323" s="31"/>
      <c r="F323" s="31"/>
      <c r="G323" s="15" t="s">
        <v>258</v>
      </c>
      <c r="H323" s="1" t="s">
        <v>269</v>
      </c>
      <c r="I323" s="1"/>
      <c r="J323" s="1"/>
      <c r="K323" s="1"/>
      <c r="L323" s="1"/>
      <c r="M323" s="1"/>
      <c r="N323" s="1"/>
      <c r="O323" s="1">
        <v>1</v>
      </c>
      <c r="P323" s="1">
        <v>1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48"/>
    </row>
    <row r="324" spans="1:32" s="8" customFormat="1" x14ac:dyDescent="0.25">
      <c r="A324" s="42" t="s">
        <v>335</v>
      </c>
      <c r="B324" s="2" t="s">
        <v>128</v>
      </c>
      <c r="C324" s="2" t="s">
        <v>129</v>
      </c>
      <c r="D324" s="15" t="s">
        <v>346</v>
      </c>
      <c r="E324" s="31"/>
      <c r="F324" s="31"/>
      <c r="G324" s="15" t="s">
        <v>258</v>
      </c>
      <c r="H324" s="1" t="s">
        <v>272</v>
      </c>
      <c r="I324" s="1"/>
      <c r="J324" s="1"/>
      <c r="K324" s="1"/>
      <c r="L324" s="1"/>
      <c r="M324" s="1"/>
      <c r="N324" s="1">
        <v>1</v>
      </c>
      <c r="O324" s="1"/>
      <c r="P324" s="1"/>
      <c r="Q324" s="1">
        <v>1</v>
      </c>
      <c r="R324" s="1"/>
      <c r="S324" s="1"/>
      <c r="T324" s="1"/>
      <c r="U324" s="1"/>
      <c r="V324" s="1"/>
      <c r="W324" s="1">
        <v>1</v>
      </c>
      <c r="X324" s="1"/>
      <c r="Y324" s="1"/>
      <c r="Z324" s="1"/>
      <c r="AA324" s="1"/>
      <c r="AB324" s="1"/>
      <c r="AC324" s="1"/>
      <c r="AD324" s="1"/>
      <c r="AE324" s="1"/>
      <c r="AF324" s="48"/>
    </row>
    <row r="325" spans="1:32" s="8" customFormat="1" x14ac:dyDescent="0.25">
      <c r="A325" s="42" t="s">
        <v>335</v>
      </c>
      <c r="B325" s="2" t="s">
        <v>128</v>
      </c>
      <c r="C325" s="2" t="s">
        <v>129</v>
      </c>
      <c r="D325" s="15" t="s">
        <v>346</v>
      </c>
      <c r="E325" s="31"/>
      <c r="F325" s="31"/>
      <c r="G325" s="15" t="s">
        <v>258</v>
      </c>
      <c r="H325" s="1" t="s">
        <v>273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>
        <v>1</v>
      </c>
      <c r="U325" s="1"/>
      <c r="V325" s="1">
        <v>1</v>
      </c>
      <c r="W325" s="1"/>
      <c r="X325" s="1">
        <v>1</v>
      </c>
      <c r="Y325" s="1"/>
      <c r="Z325" s="1"/>
      <c r="AA325" s="1"/>
      <c r="AB325" s="1"/>
      <c r="AC325" s="1"/>
      <c r="AD325" s="1"/>
      <c r="AE325" s="1"/>
      <c r="AF325" s="48"/>
    </row>
    <row r="326" spans="1:32" s="8" customFormat="1" x14ac:dyDescent="0.25">
      <c r="A326" s="42" t="s">
        <v>335</v>
      </c>
      <c r="B326" s="2" t="s">
        <v>128</v>
      </c>
      <c r="C326" s="2" t="s">
        <v>129</v>
      </c>
      <c r="D326" s="15" t="s">
        <v>346</v>
      </c>
      <c r="E326" s="31"/>
      <c r="F326" s="31"/>
      <c r="G326" s="15" t="s">
        <v>258</v>
      </c>
      <c r="H326" s="1" t="s">
        <v>274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>
        <v>1</v>
      </c>
      <c r="AB326" s="1"/>
      <c r="AC326" s="1">
        <v>1</v>
      </c>
      <c r="AD326" s="1"/>
      <c r="AE326" s="1"/>
      <c r="AF326" s="48"/>
    </row>
    <row r="327" spans="1:32" s="8" customFormat="1" x14ac:dyDescent="0.25">
      <c r="A327" s="42" t="s">
        <v>335</v>
      </c>
      <c r="B327" s="2" t="s">
        <v>128</v>
      </c>
      <c r="C327" s="2" t="s">
        <v>129</v>
      </c>
      <c r="D327" s="15" t="s">
        <v>346</v>
      </c>
      <c r="E327" s="31"/>
      <c r="F327" s="31"/>
      <c r="G327" s="15" t="s">
        <v>258</v>
      </c>
      <c r="H327" s="1" t="s">
        <v>275</v>
      </c>
      <c r="I327" s="1"/>
      <c r="J327" s="1"/>
      <c r="K327" s="1"/>
      <c r="L327" s="1"/>
      <c r="M327" s="1"/>
      <c r="N327" s="1"/>
      <c r="O327" s="1"/>
      <c r="P327" s="1"/>
      <c r="Q327" s="1"/>
      <c r="R327" s="1">
        <v>1</v>
      </c>
      <c r="S327" s="1">
        <v>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48"/>
    </row>
    <row r="328" spans="1:32" s="8" customFormat="1" x14ac:dyDescent="0.25">
      <c r="A328" s="42" t="s">
        <v>335</v>
      </c>
      <c r="B328" s="2" t="s">
        <v>128</v>
      </c>
      <c r="C328" s="2" t="s">
        <v>129</v>
      </c>
      <c r="D328" s="15" t="s">
        <v>346</v>
      </c>
      <c r="E328" s="31"/>
      <c r="F328" s="31"/>
      <c r="G328" s="15" t="s">
        <v>258</v>
      </c>
      <c r="H328" s="1" t="s">
        <v>276</v>
      </c>
      <c r="I328" s="1"/>
      <c r="J328" s="1"/>
      <c r="K328" s="1"/>
      <c r="L328" s="1"/>
      <c r="M328" s="1"/>
      <c r="N328" s="1"/>
      <c r="O328" s="1">
        <v>1</v>
      </c>
      <c r="P328" s="1"/>
      <c r="Q328" s="1"/>
      <c r="R328" s="1"/>
      <c r="S328" s="1"/>
      <c r="T328" s="1"/>
      <c r="U328" s="1">
        <v>1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48"/>
    </row>
    <row r="329" spans="1:32" s="8" customFormat="1" x14ac:dyDescent="0.25">
      <c r="A329" s="42" t="s">
        <v>335</v>
      </c>
      <c r="B329" s="2" t="s">
        <v>128</v>
      </c>
      <c r="C329" s="2" t="s">
        <v>129</v>
      </c>
      <c r="D329" s="15" t="s">
        <v>347</v>
      </c>
      <c r="E329" s="31">
        <v>8200</v>
      </c>
      <c r="F329" s="31">
        <v>0</v>
      </c>
      <c r="G329" s="15" t="s">
        <v>256</v>
      </c>
      <c r="H329" s="1" t="s">
        <v>265</v>
      </c>
      <c r="I329" s="1"/>
      <c r="J329" s="1">
        <v>1</v>
      </c>
      <c r="K329" s="1">
        <v>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48"/>
    </row>
    <row r="330" spans="1:32" s="8" customFormat="1" ht="24" x14ac:dyDescent="0.25">
      <c r="A330" s="42" t="s">
        <v>335</v>
      </c>
      <c r="B330" s="2" t="s">
        <v>128</v>
      </c>
      <c r="C330" s="2" t="s">
        <v>129</v>
      </c>
      <c r="D330" s="15" t="s">
        <v>347</v>
      </c>
      <c r="E330" s="31"/>
      <c r="F330" s="31"/>
      <c r="G330" s="15" t="s">
        <v>257</v>
      </c>
      <c r="H330" s="1" t="s">
        <v>265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>
        <v>1</v>
      </c>
      <c r="AB330" s="1"/>
      <c r="AC330" s="1">
        <v>1</v>
      </c>
      <c r="AD330" s="1"/>
      <c r="AE330" s="1"/>
      <c r="AF330" s="48"/>
    </row>
    <row r="331" spans="1:32" s="8" customFormat="1" x14ac:dyDescent="0.25">
      <c r="A331" s="42" t="s">
        <v>335</v>
      </c>
      <c r="B331" s="2" t="s">
        <v>128</v>
      </c>
      <c r="C331" s="2" t="s">
        <v>129</v>
      </c>
      <c r="D331" s="15" t="s">
        <v>347</v>
      </c>
      <c r="E331" s="31"/>
      <c r="F331" s="31"/>
      <c r="G331" s="15" t="s">
        <v>256</v>
      </c>
      <c r="H331" s="1" t="s">
        <v>267</v>
      </c>
      <c r="I331" s="1"/>
      <c r="J331" s="1"/>
      <c r="K331" s="1">
        <v>1</v>
      </c>
      <c r="L331" s="1">
        <v>1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48"/>
    </row>
    <row r="332" spans="1:32" s="8" customFormat="1" ht="24" x14ac:dyDescent="0.25">
      <c r="A332" s="42" t="s">
        <v>335</v>
      </c>
      <c r="B332" s="2" t="s">
        <v>128</v>
      </c>
      <c r="C332" s="2" t="s">
        <v>129</v>
      </c>
      <c r="D332" s="15" t="s">
        <v>347</v>
      </c>
      <c r="E332" s="31"/>
      <c r="F332" s="31"/>
      <c r="G332" s="15" t="s">
        <v>257</v>
      </c>
      <c r="H332" s="1" t="s">
        <v>267</v>
      </c>
      <c r="I332" s="1"/>
      <c r="J332" s="1"/>
      <c r="K332" s="1"/>
      <c r="L332" s="1"/>
      <c r="M332" s="1"/>
      <c r="N332" s="1"/>
      <c r="O332" s="1"/>
      <c r="P332" s="1"/>
      <c r="Q332" s="1">
        <v>1</v>
      </c>
      <c r="R332" s="1"/>
      <c r="S332" s="1">
        <v>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48"/>
    </row>
    <row r="333" spans="1:32" s="8" customFormat="1" ht="24" x14ac:dyDescent="0.25">
      <c r="A333" s="42" t="s">
        <v>335</v>
      </c>
      <c r="B333" s="2" t="s">
        <v>128</v>
      </c>
      <c r="C333" s="2" t="s">
        <v>129</v>
      </c>
      <c r="D333" s="15" t="s">
        <v>347</v>
      </c>
      <c r="E333" s="31"/>
      <c r="F333" s="31"/>
      <c r="G333" s="15" t="s">
        <v>257</v>
      </c>
      <c r="H333" s="1" t="s">
        <v>269</v>
      </c>
      <c r="I333" s="1"/>
      <c r="J333" s="1"/>
      <c r="K333" s="1"/>
      <c r="L333" s="1"/>
      <c r="M333" s="1">
        <v>1</v>
      </c>
      <c r="N333" s="1"/>
      <c r="O333" s="1"/>
      <c r="P333" s="1"/>
      <c r="Q333" s="1"/>
      <c r="R333" s="1"/>
      <c r="S333" s="1"/>
      <c r="T333" s="1"/>
      <c r="U333" s="1">
        <v>1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48"/>
    </row>
    <row r="334" spans="1:32" s="8" customFormat="1" ht="24" x14ac:dyDescent="0.25">
      <c r="A334" s="42" t="s">
        <v>335</v>
      </c>
      <c r="B334" s="2" t="s">
        <v>128</v>
      </c>
      <c r="C334" s="2" t="s">
        <v>129</v>
      </c>
      <c r="D334" s="15" t="s">
        <v>347</v>
      </c>
      <c r="E334" s="31"/>
      <c r="F334" s="31"/>
      <c r="G334" s="15" t="s">
        <v>257</v>
      </c>
      <c r="H334" s="1" t="s">
        <v>272</v>
      </c>
      <c r="I334" s="1"/>
      <c r="J334" s="1"/>
      <c r="K334" s="1"/>
      <c r="L334" s="1"/>
      <c r="M334" s="1"/>
      <c r="N334" s="1">
        <v>1</v>
      </c>
      <c r="O334" s="1"/>
      <c r="P334" s="1">
        <v>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48"/>
    </row>
    <row r="335" spans="1:32" s="8" customFormat="1" ht="24" x14ac:dyDescent="0.25">
      <c r="A335" s="42" t="s">
        <v>335</v>
      </c>
      <c r="B335" s="2" t="s">
        <v>128</v>
      </c>
      <c r="C335" s="2" t="s">
        <v>129</v>
      </c>
      <c r="D335" s="15" t="s">
        <v>347</v>
      </c>
      <c r="E335" s="31"/>
      <c r="F335" s="31"/>
      <c r="G335" s="15" t="s">
        <v>257</v>
      </c>
      <c r="H335" s="1" t="s">
        <v>273</v>
      </c>
      <c r="I335" s="1"/>
      <c r="J335" s="1"/>
      <c r="K335" s="1"/>
      <c r="L335" s="1"/>
      <c r="M335" s="1"/>
      <c r="N335" s="1"/>
      <c r="O335" s="1">
        <v>1</v>
      </c>
      <c r="P335" s="1"/>
      <c r="Q335" s="1"/>
      <c r="R335" s="1">
        <v>1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48"/>
    </row>
    <row r="336" spans="1:32" s="8" customFormat="1" ht="24" x14ac:dyDescent="0.25">
      <c r="A336" s="42" t="s">
        <v>335</v>
      </c>
      <c r="B336" s="2" t="s">
        <v>128</v>
      </c>
      <c r="C336" s="2" t="s">
        <v>129</v>
      </c>
      <c r="D336" s="15" t="s">
        <v>347</v>
      </c>
      <c r="E336" s="31"/>
      <c r="F336" s="31"/>
      <c r="G336" s="15" t="s">
        <v>257</v>
      </c>
      <c r="H336" s="1" t="s">
        <v>274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>
        <v>1</v>
      </c>
      <c r="U336" s="1"/>
      <c r="V336" s="1"/>
      <c r="W336" s="1">
        <v>1</v>
      </c>
      <c r="X336" s="1"/>
      <c r="Y336" s="1"/>
      <c r="Z336" s="1"/>
      <c r="AA336" s="1"/>
      <c r="AB336" s="1"/>
      <c r="AC336" s="1"/>
      <c r="AD336" s="1"/>
      <c r="AE336" s="1"/>
      <c r="AF336" s="48"/>
    </row>
    <row r="337" spans="1:32" s="8" customFormat="1" ht="24" x14ac:dyDescent="0.25">
      <c r="A337" s="42" t="s">
        <v>335</v>
      </c>
      <c r="B337" s="2" t="s">
        <v>128</v>
      </c>
      <c r="C337" s="2" t="s">
        <v>129</v>
      </c>
      <c r="D337" s="15" t="s">
        <v>347</v>
      </c>
      <c r="E337" s="31"/>
      <c r="F337" s="31"/>
      <c r="G337" s="15" t="s">
        <v>257</v>
      </c>
      <c r="H337" s="1" t="s">
        <v>275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>
        <v>1</v>
      </c>
      <c r="W337" s="1"/>
      <c r="X337" s="1">
        <v>1</v>
      </c>
      <c r="Y337" s="1"/>
      <c r="Z337" s="1"/>
      <c r="AA337" s="1"/>
      <c r="AB337" s="1"/>
      <c r="AC337" s="1"/>
      <c r="AD337" s="1"/>
      <c r="AE337" s="1"/>
      <c r="AF337" s="48"/>
    </row>
    <row r="338" spans="1:32" s="8" customFormat="1" ht="24" x14ac:dyDescent="0.25">
      <c r="A338" s="42" t="s">
        <v>335</v>
      </c>
      <c r="B338" s="2" t="s">
        <v>128</v>
      </c>
      <c r="C338" s="2" t="s">
        <v>129</v>
      </c>
      <c r="D338" s="15" t="s">
        <v>347</v>
      </c>
      <c r="E338" s="31"/>
      <c r="F338" s="31"/>
      <c r="G338" s="15" t="s">
        <v>257</v>
      </c>
      <c r="H338" s="1" t="s">
        <v>276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>
        <v>1</v>
      </c>
      <c r="Z338" s="1"/>
      <c r="AA338" s="1"/>
      <c r="AB338" s="1"/>
      <c r="AC338" s="1"/>
      <c r="AD338" s="1">
        <v>1</v>
      </c>
      <c r="AE338" s="1"/>
      <c r="AF338" s="48"/>
    </row>
    <row r="339" spans="1:32" s="8" customFormat="1" x14ac:dyDescent="0.25">
      <c r="A339" s="42" t="s">
        <v>335</v>
      </c>
      <c r="B339" s="2" t="s">
        <v>130</v>
      </c>
      <c r="C339" s="2" t="s">
        <v>131</v>
      </c>
      <c r="D339" s="15" t="s">
        <v>346</v>
      </c>
      <c r="E339" s="31">
        <v>520</v>
      </c>
      <c r="F339" s="31">
        <v>0</v>
      </c>
      <c r="G339" s="15" t="s">
        <v>258</v>
      </c>
      <c r="H339" s="1" t="s">
        <v>269</v>
      </c>
      <c r="I339" s="1"/>
      <c r="J339" s="1">
        <v>1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48"/>
    </row>
    <row r="340" spans="1:32" s="8" customFormat="1" x14ac:dyDescent="0.25">
      <c r="A340" s="42" t="s">
        <v>335</v>
      </c>
      <c r="B340" s="2" t="s">
        <v>130</v>
      </c>
      <c r="C340" s="2" t="s">
        <v>131</v>
      </c>
      <c r="D340" s="15" t="s">
        <v>346</v>
      </c>
      <c r="E340" s="31"/>
      <c r="F340" s="31"/>
      <c r="G340" s="15" t="s">
        <v>258</v>
      </c>
      <c r="H340" s="1" t="s">
        <v>272</v>
      </c>
      <c r="I340" s="1"/>
      <c r="J340" s="1"/>
      <c r="K340" s="1">
        <v>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48"/>
    </row>
    <row r="341" spans="1:32" s="8" customFormat="1" x14ac:dyDescent="0.25">
      <c r="A341" s="42" t="s">
        <v>335</v>
      </c>
      <c r="B341" s="2" t="s">
        <v>130</v>
      </c>
      <c r="C341" s="2" t="s">
        <v>131</v>
      </c>
      <c r="D341" s="15" t="s">
        <v>346</v>
      </c>
      <c r="E341" s="31"/>
      <c r="F341" s="31"/>
      <c r="G341" s="15" t="s">
        <v>258</v>
      </c>
      <c r="H341" s="1" t="s">
        <v>273</v>
      </c>
      <c r="I341" s="1"/>
      <c r="J341" s="1"/>
      <c r="K341" s="1"/>
      <c r="L341" s="1"/>
      <c r="M341" s="1"/>
      <c r="N341" s="1"/>
      <c r="O341" s="1">
        <v>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48"/>
    </row>
    <row r="342" spans="1:32" s="8" customFormat="1" x14ac:dyDescent="0.25">
      <c r="A342" s="42" t="s">
        <v>335</v>
      </c>
      <c r="B342" s="2" t="s">
        <v>130</v>
      </c>
      <c r="C342" s="2" t="s">
        <v>131</v>
      </c>
      <c r="D342" s="15" t="s">
        <v>346</v>
      </c>
      <c r="E342" s="31"/>
      <c r="F342" s="31"/>
      <c r="G342" s="15" t="s">
        <v>258</v>
      </c>
      <c r="H342" s="1" t="s">
        <v>274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>
        <v>1</v>
      </c>
      <c r="W342" s="1"/>
      <c r="X342" s="1"/>
      <c r="Y342" s="1"/>
      <c r="Z342" s="1"/>
      <c r="AA342" s="1"/>
      <c r="AB342" s="1"/>
      <c r="AC342" s="1"/>
      <c r="AD342" s="1"/>
      <c r="AE342" s="1"/>
      <c r="AF342" s="48"/>
    </row>
    <row r="343" spans="1:32" s="8" customFormat="1" x14ac:dyDescent="0.25">
      <c r="A343" s="42" t="s">
        <v>335</v>
      </c>
      <c r="B343" s="2" t="s">
        <v>130</v>
      </c>
      <c r="C343" s="2" t="s">
        <v>131</v>
      </c>
      <c r="D343" s="15" t="s">
        <v>347</v>
      </c>
      <c r="E343" s="31">
        <v>4140</v>
      </c>
      <c r="F343" s="31">
        <v>0</v>
      </c>
      <c r="G343" s="15" t="s">
        <v>256</v>
      </c>
      <c r="H343" s="1" t="s">
        <v>265</v>
      </c>
      <c r="I343" s="1"/>
      <c r="J343" s="1"/>
      <c r="K343" s="1">
        <v>1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48"/>
    </row>
    <row r="344" spans="1:32" s="8" customFormat="1" ht="24" x14ac:dyDescent="0.25">
      <c r="A344" s="42" t="s">
        <v>335</v>
      </c>
      <c r="B344" s="2" t="s">
        <v>130</v>
      </c>
      <c r="C344" s="2" t="s">
        <v>131</v>
      </c>
      <c r="D344" s="15" t="s">
        <v>347</v>
      </c>
      <c r="E344" s="31"/>
      <c r="F344" s="31"/>
      <c r="G344" s="15" t="s">
        <v>257</v>
      </c>
      <c r="H344" s="1" t="s">
        <v>267</v>
      </c>
      <c r="I344" s="1"/>
      <c r="J344" s="1"/>
      <c r="K344" s="1"/>
      <c r="L344" s="1"/>
      <c r="M344" s="1"/>
      <c r="N344" s="1"/>
      <c r="O344" s="1">
        <v>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48"/>
    </row>
    <row r="345" spans="1:32" s="8" customFormat="1" ht="24" x14ac:dyDescent="0.25">
      <c r="A345" s="42" t="s">
        <v>335</v>
      </c>
      <c r="B345" s="2" t="s">
        <v>130</v>
      </c>
      <c r="C345" s="2" t="s">
        <v>131</v>
      </c>
      <c r="D345" s="15" t="s">
        <v>347</v>
      </c>
      <c r="E345" s="31"/>
      <c r="F345" s="31"/>
      <c r="G345" s="15" t="s">
        <v>257</v>
      </c>
      <c r="H345" s="1" t="s">
        <v>269</v>
      </c>
      <c r="I345" s="1"/>
      <c r="J345" s="1"/>
      <c r="K345" s="1"/>
      <c r="L345" s="1"/>
      <c r="M345" s="1"/>
      <c r="N345" s="1"/>
      <c r="O345" s="1"/>
      <c r="P345" s="1"/>
      <c r="Q345" s="1"/>
      <c r="R345" s="1">
        <v>1</v>
      </c>
      <c r="S345" s="1">
        <v>1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48"/>
    </row>
    <row r="346" spans="1:32" s="8" customFormat="1" ht="24" x14ac:dyDescent="0.25">
      <c r="A346" s="42" t="s">
        <v>335</v>
      </c>
      <c r="B346" s="2" t="s">
        <v>130</v>
      </c>
      <c r="C346" s="2" t="s">
        <v>131</v>
      </c>
      <c r="D346" s="15" t="s">
        <v>347</v>
      </c>
      <c r="E346" s="31"/>
      <c r="F346" s="31"/>
      <c r="G346" s="15" t="s">
        <v>257</v>
      </c>
      <c r="H346" s="1" t="s">
        <v>272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>
        <v>1</v>
      </c>
      <c r="V346" s="1">
        <v>1</v>
      </c>
      <c r="W346" s="1"/>
      <c r="X346" s="1"/>
      <c r="Y346" s="1"/>
      <c r="Z346" s="1"/>
      <c r="AA346" s="1"/>
      <c r="AB346" s="1"/>
      <c r="AC346" s="1"/>
      <c r="AD346" s="1"/>
      <c r="AE346" s="1"/>
      <c r="AF346" s="48"/>
    </row>
    <row r="347" spans="1:32" s="8" customFormat="1" ht="24" x14ac:dyDescent="0.25">
      <c r="A347" s="42" t="s">
        <v>335</v>
      </c>
      <c r="B347" s="2" t="s">
        <v>130</v>
      </c>
      <c r="C347" s="2" t="s">
        <v>131</v>
      </c>
      <c r="D347" s="15" t="s">
        <v>347</v>
      </c>
      <c r="E347" s="31"/>
      <c r="F347" s="31"/>
      <c r="G347" s="15" t="s">
        <v>257</v>
      </c>
      <c r="H347" s="1" t="s">
        <v>273</v>
      </c>
      <c r="I347" s="1"/>
      <c r="J347" s="1">
        <v>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48"/>
    </row>
    <row r="348" spans="1:32" s="8" customFormat="1" ht="24" x14ac:dyDescent="0.25">
      <c r="A348" s="42" t="s">
        <v>335</v>
      </c>
      <c r="B348" s="2" t="s">
        <v>130</v>
      </c>
      <c r="C348" s="2" t="s">
        <v>131</v>
      </c>
      <c r="D348" s="15" t="s">
        <v>347</v>
      </c>
      <c r="E348" s="31"/>
      <c r="F348" s="31"/>
      <c r="G348" s="15" t="s">
        <v>257</v>
      </c>
      <c r="H348" s="1" t="s">
        <v>274</v>
      </c>
      <c r="I348" s="1"/>
      <c r="J348" s="1"/>
      <c r="K348" s="1"/>
      <c r="L348" s="1">
        <v>1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48"/>
    </row>
    <row r="349" spans="1:32" s="8" customFormat="1" ht="24" x14ac:dyDescent="0.25">
      <c r="A349" s="42" t="s">
        <v>335</v>
      </c>
      <c r="B349" s="2" t="s">
        <v>130</v>
      </c>
      <c r="C349" s="2" t="s">
        <v>131</v>
      </c>
      <c r="D349" s="15" t="s">
        <v>347</v>
      </c>
      <c r="E349" s="31"/>
      <c r="F349" s="31"/>
      <c r="G349" s="15" t="s">
        <v>257</v>
      </c>
      <c r="H349" s="1" t="s">
        <v>275</v>
      </c>
      <c r="I349" s="1"/>
      <c r="J349" s="1"/>
      <c r="K349" s="1"/>
      <c r="L349" s="1"/>
      <c r="M349" s="1"/>
      <c r="N349" s="1"/>
      <c r="O349" s="1"/>
      <c r="P349" s="1"/>
      <c r="Q349" s="1">
        <v>1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48"/>
    </row>
    <row r="350" spans="1:32" s="8" customFormat="1" ht="24" x14ac:dyDescent="0.25">
      <c r="A350" s="42" t="s">
        <v>335</v>
      </c>
      <c r="B350" s="2" t="s">
        <v>130</v>
      </c>
      <c r="C350" s="2" t="s">
        <v>131</v>
      </c>
      <c r="D350" s="15" t="s">
        <v>347</v>
      </c>
      <c r="E350" s="31"/>
      <c r="F350" s="31"/>
      <c r="G350" s="15" t="s">
        <v>257</v>
      </c>
      <c r="H350" s="1" t="s">
        <v>276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>
        <v>1</v>
      </c>
      <c r="AB350" s="1"/>
      <c r="AC350" s="1"/>
      <c r="AD350" s="1"/>
      <c r="AE350" s="1"/>
      <c r="AF350" s="48"/>
    </row>
    <row r="351" spans="1:32" s="8" customFormat="1" x14ac:dyDescent="0.25">
      <c r="A351" s="42" t="s">
        <v>335</v>
      </c>
      <c r="B351" s="2" t="s">
        <v>132</v>
      </c>
      <c r="C351" s="2" t="s">
        <v>133</v>
      </c>
      <c r="D351" s="15" t="s">
        <v>348</v>
      </c>
      <c r="E351" s="31">
        <v>10000</v>
      </c>
      <c r="F351" s="31">
        <v>0</v>
      </c>
      <c r="G351" s="15" t="s">
        <v>67</v>
      </c>
      <c r="H351" s="1" t="s">
        <v>265</v>
      </c>
      <c r="I351" s="1">
        <v>1</v>
      </c>
      <c r="J351" s="1"/>
      <c r="K351" s="1"/>
      <c r="L351" s="1">
        <v>1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48"/>
    </row>
    <row r="352" spans="1:32" s="8" customFormat="1" x14ac:dyDescent="0.25">
      <c r="A352" s="42" t="s">
        <v>335</v>
      </c>
      <c r="B352" s="2" t="s">
        <v>132</v>
      </c>
      <c r="C352" s="2" t="s">
        <v>133</v>
      </c>
      <c r="D352" s="15" t="s">
        <v>348</v>
      </c>
      <c r="E352" s="31"/>
      <c r="F352" s="31"/>
      <c r="G352" s="15" t="s">
        <v>252</v>
      </c>
      <c r="H352" s="1" t="s">
        <v>265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>
        <v>1</v>
      </c>
      <c r="AB352" s="1"/>
      <c r="AC352" s="1">
        <v>1</v>
      </c>
      <c r="AD352" s="1"/>
      <c r="AE352" s="1"/>
      <c r="AF352" s="48"/>
    </row>
    <row r="353" spans="1:32" s="8" customFormat="1" x14ac:dyDescent="0.25">
      <c r="A353" s="42" t="s">
        <v>335</v>
      </c>
      <c r="B353" s="2" t="s">
        <v>132</v>
      </c>
      <c r="C353" s="2" t="s">
        <v>133</v>
      </c>
      <c r="D353" s="15" t="s">
        <v>348</v>
      </c>
      <c r="E353" s="31"/>
      <c r="F353" s="31"/>
      <c r="G353" s="15" t="s">
        <v>252</v>
      </c>
      <c r="H353" s="1" t="s">
        <v>267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>
        <v>1</v>
      </c>
      <c r="AC353" s="1"/>
      <c r="AD353" s="1"/>
      <c r="AE353" s="1">
        <v>1</v>
      </c>
      <c r="AF353" s="48"/>
    </row>
    <row r="354" spans="1:32" s="8" customFormat="1" x14ac:dyDescent="0.25">
      <c r="A354" s="42" t="s">
        <v>335</v>
      </c>
      <c r="B354" s="2" t="s">
        <v>132</v>
      </c>
      <c r="C354" s="2" t="s">
        <v>133</v>
      </c>
      <c r="D354" s="15" t="s">
        <v>348</v>
      </c>
      <c r="E354" s="31"/>
      <c r="F354" s="31"/>
      <c r="G354" s="15" t="s">
        <v>252</v>
      </c>
      <c r="H354" s="1" t="s">
        <v>269</v>
      </c>
      <c r="I354" s="1"/>
      <c r="J354" s="1">
        <v>1</v>
      </c>
      <c r="K354" s="1"/>
      <c r="L354" s="1"/>
      <c r="M354" s="1"/>
      <c r="N354" s="1"/>
      <c r="O354" s="1"/>
      <c r="P354" s="1">
        <v>1</v>
      </c>
      <c r="Q354" s="1">
        <v>1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48"/>
    </row>
    <row r="355" spans="1:32" s="8" customFormat="1" x14ac:dyDescent="0.25">
      <c r="A355" s="42" t="s">
        <v>335</v>
      </c>
      <c r="B355" s="2" t="s">
        <v>132</v>
      </c>
      <c r="C355" s="2" t="s">
        <v>133</v>
      </c>
      <c r="D355" s="15" t="s">
        <v>348</v>
      </c>
      <c r="E355" s="31"/>
      <c r="F355" s="31"/>
      <c r="G355" s="15" t="s">
        <v>252</v>
      </c>
      <c r="H355" s="1" t="s">
        <v>272</v>
      </c>
      <c r="I355" s="1"/>
      <c r="J355" s="1"/>
      <c r="K355" s="1">
        <v>1</v>
      </c>
      <c r="L355" s="1"/>
      <c r="M355" s="1">
        <v>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48"/>
    </row>
    <row r="356" spans="1:32" s="8" customFormat="1" x14ac:dyDescent="0.25">
      <c r="A356" s="42" t="s">
        <v>335</v>
      </c>
      <c r="B356" s="2" t="s">
        <v>132</v>
      </c>
      <c r="C356" s="2" t="s">
        <v>133</v>
      </c>
      <c r="D356" s="15" t="s">
        <v>348</v>
      </c>
      <c r="E356" s="31"/>
      <c r="F356" s="31"/>
      <c r="G356" s="15" t="s">
        <v>252</v>
      </c>
      <c r="H356" s="1" t="s">
        <v>273</v>
      </c>
      <c r="I356" s="1"/>
      <c r="J356" s="1"/>
      <c r="K356" s="1"/>
      <c r="L356" s="1"/>
      <c r="M356" s="1"/>
      <c r="N356" s="1">
        <v>1</v>
      </c>
      <c r="O356" s="1"/>
      <c r="P356" s="1"/>
      <c r="Q356" s="1"/>
      <c r="R356" s="1">
        <v>1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48"/>
    </row>
    <row r="357" spans="1:32" s="8" customFormat="1" x14ac:dyDescent="0.25">
      <c r="A357" s="42" t="s">
        <v>335</v>
      </c>
      <c r="B357" s="2" t="s">
        <v>132</v>
      </c>
      <c r="C357" s="2" t="s">
        <v>133</v>
      </c>
      <c r="D357" s="15" t="s">
        <v>348</v>
      </c>
      <c r="E357" s="31"/>
      <c r="F357" s="31"/>
      <c r="G357" s="15" t="s">
        <v>252</v>
      </c>
      <c r="H357" s="1" t="s">
        <v>274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>
        <v>1</v>
      </c>
      <c r="T357" s="1"/>
      <c r="U357" s="1">
        <v>1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48"/>
    </row>
    <row r="358" spans="1:32" s="8" customFormat="1" x14ac:dyDescent="0.25">
      <c r="A358" s="42" t="s">
        <v>335</v>
      </c>
      <c r="B358" s="2" t="s">
        <v>132</v>
      </c>
      <c r="C358" s="2" t="s">
        <v>133</v>
      </c>
      <c r="D358" s="15" t="s">
        <v>348</v>
      </c>
      <c r="E358" s="31"/>
      <c r="F358" s="31"/>
      <c r="G358" s="15" t="s">
        <v>252</v>
      </c>
      <c r="H358" s="1" t="s">
        <v>275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>
        <v>1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48"/>
    </row>
    <row r="359" spans="1:32" s="8" customFormat="1" x14ac:dyDescent="0.25">
      <c r="A359" s="42" t="s">
        <v>335</v>
      </c>
      <c r="B359" s="2" t="s">
        <v>132</v>
      </c>
      <c r="C359" s="2" t="s">
        <v>133</v>
      </c>
      <c r="D359" s="15" t="s">
        <v>348</v>
      </c>
      <c r="E359" s="31"/>
      <c r="F359" s="31"/>
      <c r="G359" s="15" t="s">
        <v>252</v>
      </c>
      <c r="H359" s="1" t="s">
        <v>276</v>
      </c>
      <c r="I359" s="1"/>
      <c r="J359" s="1"/>
      <c r="K359" s="1"/>
      <c r="L359" s="1"/>
      <c r="M359" s="1"/>
      <c r="N359" s="1"/>
      <c r="O359" s="1">
        <v>1</v>
      </c>
      <c r="P359" s="1"/>
      <c r="Q359" s="1"/>
      <c r="R359" s="1"/>
      <c r="S359" s="1"/>
      <c r="T359" s="1"/>
      <c r="U359" s="1"/>
      <c r="V359" s="1">
        <v>1</v>
      </c>
      <c r="W359" s="1"/>
      <c r="X359" s="1"/>
      <c r="Y359" s="1"/>
      <c r="Z359" s="1"/>
      <c r="AA359" s="1"/>
      <c r="AB359" s="1"/>
      <c r="AC359" s="1"/>
      <c r="AD359" s="1"/>
      <c r="AE359" s="1"/>
      <c r="AF359" s="48"/>
    </row>
    <row r="360" spans="1:32" s="8" customFormat="1" x14ac:dyDescent="0.25">
      <c r="A360" s="42" t="s">
        <v>335</v>
      </c>
      <c r="B360" s="2" t="s">
        <v>134</v>
      </c>
      <c r="C360" s="2" t="s">
        <v>135</v>
      </c>
      <c r="D360" s="15" t="s">
        <v>346</v>
      </c>
      <c r="E360" s="31">
        <v>1000</v>
      </c>
      <c r="F360" s="31">
        <v>0</v>
      </c>
      <c r="G360" s="15" t="s">
        <v>263</v>
      </c>
      <c r="H360" s="1" t="s">
        <v>269</v>
      </c>
      <c r="I360" s="1"/>
      <c r="J360" s="1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48"/>
    </row>
    <row r="361" spans="1:32" s="8" customFormat="1" x14ac:dyDescent="0.25">
      <c r="A361" s="42" t="s">
        <v>335</v>
      </c>
      <c r="B361" s="2" t="s">
        <v>134</v>
      </c>
      <c r="C361" s="2" t="s">
        <v>135</v>
      </c>
      <c r="D361" s="15" t="s">
        <v>346</v>
      </c>
      <c r="E361" s="31"/>
      <c r="F361" s="31"/>
      <c r="G361" s="15" t="s">
        <v>258</v>
      </c>
      <c r="H361" s="1" t="s">
        <v>272</v>
      </c>
      <c r="I361" s="1"/>
      <c r="J361" s="1"/>
      <c r="K361" s="1"/>
      <c r="L361" s="1"/>
      <c r="M361" s="1"/>
      <c r="N361" s="1"/>
      <c r="O361" s="1">
        <v>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48"/>
    </row>
    <row r="362" spans="1:32" s="8" customFormat="1" x14ac:dyDescent="0.25">
      <c r="A362" s="42" t="s">
        <v>335</v>
      </c>
      <c r="B362" s="2" t="s">
        <v>134</v>
      </c>
      <c r="C362" s="2" t="s">
        <v>135</v>
      </c>
      <c r="D362" s="15" t="s">
        <v>346</v>
      </c>
      <c r="E362" s="31"/>
      <c r="F362" s="31"/>
      <c r="G362" s="15" t="s">
        <v>258</v>
      </c>
      <c r="H362" s="1" t="s">
        <v>273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>
        <v>1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48"/>
    </row>
    <row r="363" spans="1:32" s="8" customFormat="1" x14ac:dyDescent="0.25">
      <c r="A363" s="42" t="s">
        <v>335</v>
      </c>
      <c r="B363" s="2" t="s">
        <v>134</v>
      </c>
      <c r="C363" s="2" t="s">
        <v>135</v>
      </c>
      <c r="D363" s="15" t="s">
        <v>346</v>
      </c>
      <c r="E363" s="31"/>
      <c r="F363" s="31"/>
      <c r="G363" s="15" t="s">
        <v>258</v>
      </c>
      <c r="H363" s="1" t="s">
        <v>274</v>
      </c>
      <c r="I363" s="1"/>
      <c r="J363" s="1"/>
      <c r="K363" s="1"/>
      <c r="L363" s="1"/>
      <c r="M363" s="1"/>
      <c r="N363" s="1"/>
      <c r="O363" s="1"/>
      <c r="P363" s="1">
        <v>1</v>
      </c>
      <c r="Q363" s="1">
        <v>1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48"/>
    </row>
    <row r="364" spans="1:32" s="8" customFormat="1" x14ac:dyDescent="0.25">
      <c r="A364" s="42" t="s">
        <v>335</v>
      </c>
      <c r="B364" s="2" t="s">
        <v>134</v>
      </c>
      <c r="C364" s="2" t="s">
        <v>135</v>
      </c>
      <c r="D364" s="15" t="s">
        <v>346</v>
      </c>
      <c r="E364" s="31"/>
      <c r="F364" s="31"/>
      <c r="G364" s="15" t="s">
        <v>258</v>
      </c>
      <c r="H364" s="1" t="s">
        <v>275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>
        <v>1</v>
      </c>
      <c r="AE364" s="1"/>
      <c r="AF364" s="48"/>
    </row>
    <row r="365" spans="1:32" s="8" customFormat="1" x14ac:dyDescent="0.25">
      <c r="A365" s="42" t="s">
        <v>335</v>
      </c>
      <c r="B365" s="2" t="s">
        <v>134</v>
      </c>
      <c r="C365" s="2" t="s">
        <v>135</v>
      </c>
      <c r="D365" s="15" t="s">
        <v>346</v>
      </c>
      <c r="E365" s="31"/>
      <c r="F365" s="31"/>
      <c r="G365" s="15" t="s">
        <v>258</v>
      </c>
      <c r="H365" s="1" t="s">
        <v>276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>
        <v>1</v>
      </c>
      <c r="W365" s="1"/>
      <c r="X365" s="1"/>
      <c r="Y365" s="1"/>
      <c r="Z365" s="1"/>
      <c r="AA365" s="1"/>
      <c r="AB365" s="1"/>
      <c r="AC365" s="1"/>
      <c r="AD365" s="1"/>
      <c r="AE365" s="1"/>
      <c r="AF365" s="48"/>
    </row>
    <row r="366" spans="1:32" s="8" customFormat="1" ht="24" x14ac:dyDescent="0.25">
      <c r="A366" s="42" t="s">
        <v>335</v>
      </c>
      <c r="B366" s="2" t="s">
        <v>134</v>
      </c>
      <c r="C366" s="2" t="s">
        <v>135</v>
      </c>
      <c r="D366" s="15" t="s">
        <v>347</v>
      </c>
      <c r="E366" s="31">
        <v>7100</v>
      </c>
      <c r="F366" s="31">
        <v>0</v>
      </c>
      <c r="G366" s="15" t="s">
        <v>257</v>
      </c>
      <c r="H366" s="1" t="s">
        <v>261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>
        <v>1</v>
      </c>
      <c r="AB366" s="1"/>
      <c r="AC366" s="1">
        <v>1</v>
      </c>
      <c r="AD366" s="1"/>
      <c r="AE366" s="1"/>
      <c r="AF366" s="48"/>
    </row>
    <row r="367" spans="1:32" s="8" customFormat="1" x14ac:dyDescent="0.25">
      <c r="A367" s="42" t="s">
        <v>335</v>
      </c>
      <c r="B367" s="2" t="s">
        <v>134</v>
      </c>
      <c r="C367" s="2" t="s">
        <v>135</v>
      </c>
      <c r="D367" s="15" t="s">
        <v>347</v>
      </c>
      <c r="E367" s="31"/>
      <c r="F367" s="31"/>
      <c r="G367" s="15" t="s">
        <v>256</v>
      </c>
      <c r="H367" s="1" t="s">
        <v>265</v>
      </c>
      <c r="I367" s="1"/>
      <c r="J367" s="1">
        <v>1</v>
      </c>
      <c r="K367" s="1">
        <v>1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48"/>
    </row>
    <row r="368" spans="1:32" s="8" customFormat="1" x14ac:dyDescent="0.25">
      <c r="A368" s="42" t="s">
        <v>335</v>
      </c>
      <c r="B368" s="2" t="s">
        <v>134</v>
      </c>
      <c r="C368" s="2" t="s">
        <v>135</v>
      </c>
      <c r="D368" s="15" t="s">
        <v>347</v>
      </c>
      <c r="E368" s="31"/>
      <c r="F368" s="31"/>
      <c r="G368" s="15" t="s">
        <v>256</v>
      </c>
      <c r="H368" s="1" t="s">
        <v>267</v>
      </c>
      <c r="I368" s="1"/>
      <c r="J368" s="1"/>
      <c r="K368" s="1"/>
      <c r="L368" s="1">
        <v>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48"/>
    </row>
    <row r="369" spans="1:32" s="8" customFormat="1" ht="24" x14ac:dyDescent="0.25">
      <c r="A369" s="42" t="s">
        <v>335</v>
      </c>
      <c r="B369" s="2" t="s">
        <v>134</v>
      </c>
      <c r="C369" s="2" t="s">
        <v>135</v>
      </c>
      <c r="D369" s="15" t="s">
        <v>347</v>
      </c>
      <c r="E369" s="31"/>
      <c r="F369" s="31"/>
      <c r="G369" s="15" t="s">
        <v>257</v>
      </c>
      <c r="H369" s="1" t="s">
        <v>269</v>
      </c>
      <c r="I369" s="1"/>
      <c r="J369" s="1"/>
      <c r="K369" s="1"/>
      <c r="L369" s="1"/>
      <c r="M369" s="1">
        <v>1</v>
      </c>
      <c r="N369" s="1">
        <v>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48"/>
    </row>
    <row r="370" spans="1:32" s="8" customFormat="1" ht="24" x14ac:dyDescent="0.25">
      <c r="A370" s="42" t="s">
        <v>335</v>
      </c>
      <c r="B370" s="2" t="s">
        <v>134</v>
      </c>
      <c r="C370" s="2" t="s">
        <v>135</v>
      </c>
      <c r="D370" s="15" t="s">
        <v>347</v>
      </c>
      <c r="E370" s="31"/>
      <c r="F370" s="31"/>
      <c r="G370" s="15" t="s">
        <v>257</v>
      </c>
      <c r="H370" s="1" t="s">
        <v>272</v>
      </c>
      <c r="I370" s="1"/>
      <c r="J370" s="1"/>
      <c r="K370" s="1"/>
      <c r="L370" s="1"/>
      <c r="M370" s="1"/>
      <c r="N370" s="1"/>
      <c r="O370" s="1">
        <v>1</v>
      </c>
      <c r="P370" s="1">
        <v>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48"/>
    </row>
    <row r="371" spans="1:32" s="8" customFormat="1" ht="24" x14ac:dyDescent="0.25">
      <c r="A371" s="42" t="s">
        <v>335</v>
      </c>
      <c r="B371" s="2" t="s">
        <v>134</v>
      </c>
      <c r="C371" s="2" t="s">
        <v>135</v>
      </c>
      <c r="D371" s="15" t="s">
        <v>347</v>
      </c>
      <c r="E371" s="31"/>
      <c r="F371" s="31"/>
      <c r="G371" s="15" t="s">
        <v>257</v>
      </c>
      <c r="H371" s="1" t="s">
        <v>273</v>
      </c>
      <c r="I371" s="1"/>
      <c r="J371" s="1"/>
      <c r="K371" s="1"/>
      <c r="L371" s="1"/>
      <c r="M371" s="1"/>
      <c r="N371" s="1"/>
      <c r="O371" s="1"/>
      <c r="P371" s="1"/>
      <c r="Q371" s="1">
        <v>1</v>
      </c>
      <c r="R371" s="1">
        <v>1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48"/>
    </row>
    <row r="372" spans="1:32" s="8" customFormat="1" ht="24" x14ac:dyDescent="0.25">
      <c r="A372" s="42" t="s">
        <v>335</v>
      </c>
      <c r="B372" s="2" t="s">
        <v>134</v>
      </c>
      <c r="C372" s="2" t="s">
        <v>135</v>
      </c>
      <c r="D372" s="15" t="s">
        <v>347</v>
      </c>
      <c r="E372" s="31"/>
      <c r="F372" s="31"/>
      <c r="G372" s="15" t="s">
        <v>257</v>
      </c>
      <c r="H372" s="1" t="s">
        <v>274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>
        <v>1</v>
      </c>
      <c r="T372" s="1">
        <v>1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48"/>
    </row>
    <row r="373" spans="1:32" s="8" customFormat="1" ht="24" x14ac:dyDescent="0.25">
      <c r="A373" s="42" t="s">
        <v>335</v>
      </c>
      <c r="B373" s="2" t="s">
        <v>134</v>
      </c>
      <c r="C373" s="2" t="s">
        <v>135</v>
      </c>
      <c r="D373" s="15" t="s">
        <v>347</v>
      </c>
      <c r="E373" s="31"/>
      <c r="F373" s="31"/>
      <c r="G373" s="15" t="s">
        <v>257</v>
      </c>
      <c r="H373" s="1" t="s">
        <v>275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1</v>
      </c>
      <c r="X373" s="1">
        <v>1</v>
      </c>
      <c r="Y373" s="1"/>
      <c r="Z373" s="1"/>
      <c r="AA373" s="1"/>
      <c r="AB373" s="1"/>
      <c r="AC373" s="1"/>
      <c r="AD373" s="1"/>
      <c r="AE373" s="1"/>
      <c r="AF373" s="48"/>
    </row>
    <row r="374" spans="1:32" s="8" customFormat="1" ht="24" x14ac:dyDescent="0.25">
      <c r="A374" s="42" t="s">
        <v>335</v>
      </c>
      <c r="B374" s="2" t="s">
        <v>134</v>
      </c>
      <c r="C374" s="2" t="s">
        <v>135</v>
      </c>
      <c r="D374" s="15" t="s">
        <v>347</v>
      </c>
      <c r="E374" s="31"/>
      <c r="F374" s="31"/>
      <c r="G374" s="15" t="s">
        <v>257</v>
      </c>
      <c r="H374" s="1" t="s">
        <v>276</v>
      </c>
      <c r="I374" s="1"/>
      <c r="J374" s="1">
        <v>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>
        <v>1</v>
      </c>
      <c r="AE374" s="1"/>
      <c r="AF374" s="48"/>
    </row>
    <row r="375" spans="1:32" s="8" customFormat="1" x14ac:dyDescent="0.2">
      <c r="A375" s="42" t="s">
        <v>336</v>
      </c>
      <c r="B375" s="2" t="s">
        <v>137</v>
      </c>
      <c r="C375" s="2" t="s">
        <v>138</v>
      </c>
      <c r="D375" s="15" t="s">
        <v>346</v>
      </c>
      <c r="E375" s="31">
        <v>3200</v>
      </c>
      <c r="F375" s="31"/>
      <c r="G375" s="15" t="s">
        <v>258</v>
      </c>
      <c r="H375" s="1" t="s">
        <v>255</v>
      </c>
      <c r="I375" s="1"/>
      <c r="J375" s="1"/>
      <c r="K375" s="1"/>
      <c r="L375" s="1"/>
      <c r="M375" s="1"/>
      <c r="N375" s="1">
        <v>1</v>
      </c>
      <c r="O375" s="1">
        <v>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2"/>
      <c r="AB375" s="22"/>
      <c r="AC375" s="22"/>
      <c r="AD375" s="22"/>
      <c r="AE375" s="1"/>
      <c r="AF375" s="48"/>
    </row>
    <row r="376" spans="1:32" s="8" customFormat="1" x14ac:dyDescent="0.2">
      <c r="A376" s="42" t="s">
        <v>336</v>
      </c>
      <c r="B376" s="2" t="s">
        <v>137</v>
      </c>
      <c r="C376" s="2" t="s">
        <v>138</v>
      </c>
      <c r="D376" s="15" t="s">
        <v>346</v>
      </c>
      <c r="E376" s="31"/>
      <c r="F376" s="31"/>
      <c r="G376" s="15" t="s">
        <v>258</v>
      </c>
      <c r="H376" s="1" t="s">
        <v>261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2">
        <v>1</v>
      </c>
      <c r="AB376" s="22"/>
      <c r="AC376" s="22">
        <v>1</v>
      </c>
      <c r="AD376" s="22"/>
      <c r="AE376" s="1"/>
      <c r="AF376" s="48"/>
    </row>
    <row r="377" spans="1:32" s="8" customFormat="1" x14ac:dyDescent="0.2">
      <c r="A377" s="42" t="s">
        <v>336</v>
      </c>
      <c r="B377" s="2" t="s">
        <v>137</v>
      </c>
      <c r="C377" s="2" t="s">
        <v>138</v>
      </c>
      <c r="D377" s="15" t="s">
        <v>346</v>
      </c>
      <c r="E377" s="31"/>
      <c r="F377" s="31"/>
      <c r="G377" s="15" t="s">
        <v>258</v>
      </c>
      <c r="H377" s="1" t="s">
        <v>265</v>
      </c>
      <c r="I377" s="1"/>
      <c r="J377" s="1"/>
      <c r="K377" s="1"/>
      <c r="L377" s="1"/>
      <c r="M377" s="1">
        <v>1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2"/>
      <c r="AB377" s="22"/>
      <c r="AC377" s="22"/>
      <c r="AD377" s="22">
        <v>1</v>
      </c>
      <c r="AE377" s="1"/>
      <c r="AF377" s="48"/>
    </row>
    <row r="378" spans="1:32" s="8" customFormat="1" x14ac:dyDescent="0.2">
      <c r="A378" s="42" t="s">
        <v>336</v>
      </c>
      <c r="B378" s="2" t="s">
        <v>137</v>
      </c>
      <c r="C378" s="2" t="s">
        <v>138</v>
      </c>
      <c r="D378" s="15" t="s">
        <v>346</v>
      </c>
      <c r="E378" s="31"/>
      <c r="F378" s="31"/>
      <c r="G378" s="15" t="s">
        <v>263</v>
      </c>
      <c r="H378" s="1" t="s">
        <v>267</v>
      </c>
      <c r="I378" s="1"/>
      <c r="J378" s="1">
        <v>1</v>
      </c>
      <c r="K378" s="1">
        <v>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2"/>
      <c r="AB378" s="22"/>
      <c r="AC378" s="22"/>
      <c r="AD378" s="22"/>
      <c r="AE378" s="1"/>
      <c r="AF378" s="48"/>
    </row>
    <row r="379" spans="1:32" s="8" customFormat="1" x14ac:dyDescent="0.2">
      <c r="A379" s="42" t="s">
        <v>336</v>
      </c>
      <c r="B379" s="2" t="s">
        <v>137</v>
      </c>
      <c r="C379" s="2" t="s">
        <v>138</v>
      </c>
      <c r="D379" s="15" t="s">
        <v>346</v>
      </c>
      <c r="E379" s="31"/>
      <c r="F379" s="31"/>
      <c r="G379" s="15" t="s">
        <v>258</v>
      </c>
      <c r="H379" s="1" t="s">
        <v>269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1</v>
      </c>
      <c r="X379" s="1">
        <v>1</v>
      </c>
      <c r="Y379" s="1">
        <v>1</v>
      </c>
      <c r="Z379" s="1"/>
      <c r="AA379" s="22"/>
      <c r="AB379" s="22"/>
      <c r="AC379" s="22"/>
      <c r="AD379" s="22"/>
      <c r="AE379" s="1"/>
      <c r="AF379" s="48"/>
    </row>
    <row r="380" spans="1:32" s="8" customFormat="1" x14ac:dyDescent="0.2">
      <c r="A380" s="42" t="s">
        <v>336</v>
      </c>
      <c r="B380" s="2" t="s">
        <v>137</v>
      </c>
      <c r="C380" s="2" t="s">
        <v>138</v>
      </c>
      <c r="D380" s="15" t="s">
        <v>346</v>
      </c>
      <c r="E380" s="31"/>
      <c r="F380" s="31"/>
      <c r="G380" s="15" t="s">
        <v>263</v>
      </c>
      <c r="H380" s="1" t="s">
        <v>272</v>
      </c>
      <c r="I380" s="1"/>
      <c r="J380" s="1"/>
      <c r="K380" s="1">
        <v>1</v>
      </c>
      <c r="L380" s="1">
        <v>1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2"/>
      <c r="AB380" s="22"/>
      <c r="AC380" s="22"/>
      <c r="AD380" s="22"/>
      <c r="AE380" s="1"/>
      <c r="AF380" s="48"/>
    </row>
    <row r="381" spans="1:32" s="8" customFormat="1" x14ac:dyDescent="0.2">
      <c r="A381" s="42" t="s">
        <v>336</v>
      </c>
      <c r="B381" s="2" t="s">
        <v>137</v>
      </c>
      <c r="C381" s="2" t="s">
        <v>138</v>
      </c>
      <c r="D381" s="15" t="s">
        <v>346</v>
      </c>
      <c r="E381" s="31"/>
      <c r="F381" s="31"/>
      <c r="G381" s="15" t="s">
        <v>258</v>
      </c>
      <c r="H381" s="1" t="s">
        <v>273</v>
      </c>
      <c r="I381" s="1"/>
      <c r="J381" s="1"/>
      <c r="K381" s="1"/>
      <c r="L381" s="1"/>
      <c r="M381" s="1"/>
      <c r="N381" s="1"/>
      <c r="O381" s="1">
        <v>1</v>
      </c>
      <c r="P381" s="1">
        <v>1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2"/>
      <c r="AB381" s="22"/>
      <c r="AC381" s="22"/>
      <c r="AD381" s="22"/>
      <c r="AE381" s="1"/>
      <c r="AF381" s="48"/>
    </row>
    <row r="382" spans="1:32" s="8" customFormat="1" x14ac:dyDescent="0.2">
      <c r="A382" s="42" t="s">
        <v>336</v>
      </c>
      <c r="B382" s="2" t="s">
        <v>137</v>
      </c>
      <c r="C382" s="2" t="s">
        <v>138</v>
      </c>
      <c r="D382" s="15" t="s">
        <v>346</v>
      </c>
      <c r="E382" s="31"/>
      <c r="F382" s="31"/>
      <c r="G382" s="15" t="s">
        <v>258</v>
      </c>
      <c r="H382" s="1" t="s">
        <v>274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>
        <v>1</v>
      </c>
      <c r="U382" s="1">
        <v>1</v>
      </c>
      <c r="V382" s="1"/>
      <c r="W382" s="1"/>
      <c r="X382" s="1"/>
      <c r="Y382" s="1"/>
      <c r="Z382" s="1"/>
      <c r="AA382" s="22"/>
      <c r="AB382" s="22"/>
      <c r="AC382" s="22"/>
      <c r="AD382" s="22"/>
      <c r="AE382" s="1"/>
      <c r="AF382" s="48"/>
    </row>
    <row r="383" spans="1:32" s="8" customFormat="1" x14ac:dyDescent="0.2">
      <c r="A383" s="42" t="s">
        <v>336</v>
      </c>
      <c r="B383" s="2" t="s">
        <v>137</v>
      </c>
      <c r="C383" s="2" t="s">
        <v>138</v>
      </c>
      <c r="D383" s="15" t="s">
        <v>346</v>
      </c>
      <c r="E383" s="31"/>
      <c r="F383" s="31"/>
      <c r="G383" s="15" t="s">
        <v>258</v>
      </c>
      <c r="H383" s="1" t="s">
        <v>275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>
        <v>1</v>
      </c>
      <c r="W383" s="1"/>
      <c r="X383" s="1"/>
      <c r="Y383" s="1"/>
      <c r="Z383" s="1">
        <v>1</v>
      </c>
      <c r="AA383" s="22"/>
      <c r="AB383" s="22"/>
      <c r="AC383" s="22"/>
      <c r="AD383" s="22"/>
      <c r="AE383" s="1"/>
      <c r="AF383" s="48"/>
    </row>
    <row r="384" spans="1:32" s="8" customFormat="1" x14ac:dyDescent="0.2">
      <c r="A384" s="42" t="s">
        <v>336</v>
      </c>
      <c r="B384" s="2" t="s">
        <v>137</v>
      </c>
      <c r="C384" s="2" t="s">
        <v>138</v>
      </c>
      <c r="D384" s="15" t="s">
        <v>346</v>
      </c>
      <c r="E384" s="31"/>
      <c r="F384" s="31"/>
      <c r="G384" s="15" t="s">
        <v>258</v>
      </c>
      <c r="H384" s="1" t="s">
        <v>276</v>
      </c>
      <c r="I384" s="1"/>
      <c r="J384" s="1"/>
      <c r="K384" s="1"/>
      <c r="L384" s="1"/>
      <c r="M384" s="1"/>
      <c r="N384" s="1"/>
      <c r="O384" s="1"/>
      <c r="P384" s="1"/>
      <c r="Q384" s="1">
        <v>1</v>
      </c>
      <c r="R384" s="1"/>
      <c r="S384" s="1"/>
      <c r="T384" s="1"/>
      <c r="U384" s="1"/>
      <c r="V384" s="1"/>
      <c r="W384" s="1"/>
      <c r="X384" s="1"/>
      <c r="Y384" s="1"/>
      <c r="Z384" s="1"/>
      <c r="AA384" s="22"/>
      <c r="AB384" s="22"/>
      <c r="AC384" s="22"/>
      <c r="AD384" s="22">
        <v>1</v>
      </c>
      <c r="AE384" s="1"/>
      <c r="AF384" s="48"/>
    </row>
    <row r="385" spans="1:32" s="8" customFormat="1" ht="24" x14ac:dyDescent="0.25">
      <c r="A385" s="42" t="s">
        <v>336</v>
      </c>
      <c r="B385" s="2" t="s">
        <v>137</v>
      </c>
      <c r="C385" s="2" t="s">
        <v>138</v>
      </c>
      <c r="D385" s="15" t="s">
        <v>347</v>
      </c>
      <c r="E385" s="31">
        <v>10500</v>
      </c>
      <c r="F385" s="31">
        <v>0</v>
      </c>
      <c r="G385" s="15" t="s">
        <v>257</v>
      </c>
      <c r="H385" s="1" t="s">
        <v>255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1</v>
      </c>
      <c r="X385" s="1">
        <v>1</v>
      </c>
      <c r="Y385" s="1"/>
      <c r="Z385" s="1"/>
      <c r="AA385" s="1"/>
      <c r="AB385" s="1"/>
      <c r="AC385" s="1"/>
      <c r="AD385" s="1">
        <v>1</v>
      </c>
      <c r="AE385" s="1"/>
      <c r="AF385" s="48"/>
    </row>
    <row r="386" spans="1:32" s="8" customFormat="1" ht="24" x14ac:dyDescent="0.25">
      <c r="A386" s="42" t="s">
        <v>336</v>
      </c>
      <c r="B386" s="2" t="s">
        <v>137</v>
      </c>
      <c r="C386" s="2" t="s">
        <v>138</v>
      </c>
      <c r="D386" s="15" t="s">
        <v>347</v>
      </c>
      <c r="E386" s="31"/>
      <c r="F386" s="31"/>
      <c r="G386" s="15" t="s">
        <v>257</v>
      </c>
      <c r="H386" s="1" t="s">
        <v>261</v>
      </c>
      <c r="I386" s="1"/>
      <c r="J386" s="1"/>
      <c r="K386" s="1"/>
      <c r="L386" s="1"/>
      <c r="M386" s="1"/>
      <c r="N386" s="1"/>
      <c r="O386" s="1">
        <v>1</v>
      </c>
      <c r="P386" s="1"/>
      <c r="Q386" s="1"/>
      <c r="R386" s="1">
        <v>1</v>
      </c>
      <c r="S386" s="1">
        <v>1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48"/>
    </row>
    <row r="387" spans="1:32" s="8" customFormat="1" ht="24" x14ac:dyDescent="0.25">
      <c r="A387" s="42" t="s">
        <v>336</v>
      </c>
      <c r="B387" s="2" t="s">
        <v>137</v>
      </c>
      <c r="C387" s="2" t="s">
        <v>138</v>
      </c>
      <c r="D387" s="15" t="s">
        <v>347</v>
      </c>
      <c r="E387" s="31"/>
      <c r="F387" s="31"/>
      <c r="G387" s="15" t="s">
        <v>257</v>
      </c>
      <c r="H387" s="1" t="s">
        <v>265</v>
      </c>
      <c r="I387" s="1"/>
      <c r="J387" s="1"/>
      <c r="K387" s="1"/>
      <c r="L387" s="1"/>
      <c r="M387" s="1">
        <v>1</v>
      </c>
      <c r="N387" s="1">
        <v>1</v>
      </c>
      <c r="O387" s="1"/>
      <c r="P387" s="1"/>
      <c r="Q387" s="1"/>
      <c r="R387" s="1"/>
      <c r="S387" s="1"/>
      <c r="T387" s="1">
        <v>1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48"/>
    </row>
    <row r="388" spans="1:32" s="8" customFormat="1" x14ac:dyDescent="0.25">
      <c r="A388" s="42" t="s">
        <v>336</v>
      </c>
      <c r="B388" s="2" t="s">
        <v>137</v>
      </c>
      <c r="C388" s="2" t="s">
        <v>138</v>
      </c>
      <c r="D388" s="15" t="s">
        <v>347</v>
      </c>
      <c r="E388" s="31"/>
      <c r="F388" s="31"/>
      <c r="G388" s="15" t="s">
        <v>256</v>
      </c>
      <c r="H388" s="1" t="s">
        <v>267</v>
      </c>
      <c r="I388" s="1"/>
      <c r="J388" s="1">
        <v>1</v>
      </c>
      <c r="K388" s="1">
        <v>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48"/>
    </row>
    <row r="389" spans="1:32" s="8" customFormat="1" ht="24" x14ac:dyDescent="0.25">
      <c r="A389" s="42" t="s">
        <v>336</v>
      </c>
      <c r="B389" s="2" t="s">
        <v>137</v>
      </c>
      <c r="C389" s="2" t="s">
        <v>138</v>
      </c>
      <c r="D389" s="15" t="s">
        <v>347</v>
      </c>
      <c r="E389" s="31"/>
      <c r="F389" s="31"/>
      <c r="G389" s="15" t="s">
        <v>257</v>
      </c>
      <c r="H389" s="1" t="s">
        <v>269</v>
      </c>
      <c r="I389" s="1"/>
      <c r="J389" s="1"/>
      <c r="K389" s="1"/>
      <c r="L389" s="1"/>
      <c r="M389" s="1"/>
      <c r="N389" s="1"/>
      <c r="O389" s="1"/>
      <c r="P389" s="1">
        <v>1</v>
      </c>
      <c r="Q389" s="1">
        <v>1</v>
      </c>
      <c r="R389" s="1"/>
      <c r="S389" s="1"/>
      <c r="T389" s="1"/>
      <c r="U389" s="1">
        <v>1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48"/>
    </row>
    <row r="390" spans="1:32" s="8" customFormat="1" x14ac:dyDescent="0.25">
      <c r="A390" s="42" t="s">
        <v>336</v>
      </c>
      <c r="B390" s="2" t="s">
        <v>137</v>
      </c>
      <c r="C390" s="2" t="s">
        <v>138</v>
      </c>
      <c r="D390" s="15" t="s">
        <v>347</v>
      </c>
      <c r="E390" s="31"/>
      <c r="F390" s="31"/>
      <c r="G390" s="15" t="s">
        <v>256</v>
      </c>
      <c r="H390" s="1" t="s">
        <v>272</v>
      </c>
      <c r="I390" s="1"/>
      <c r="J390" s="1"/>
      <c r="K390" s="1"/>
      <c r="L390" s="1">
        <v>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48"/>
    </row>
    <row r="391" spans="1:32" s="8" customFormat="1" ht="24" x14ac:dyDescent="0.25">
      <c r="A391" s="42" t="s">
        <v>336</v>
      </c>
      <c r="B391" s="2" t="s">
        <v>137</v>
      </c>
      <c r="C391" s="2" t="s">
        <v>138</v>
      </c>
      <c r="D391" s="15" t="s">
        <v>347</v>
      </c>
      <c r="E391" s="31"/>
      <c r="F391" s="31"/>
      <c r="G391" s="15" t="s">
        <v>257</v>
      </c>
      <c r="H391" s="1" t="s">
        <v>273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>
        <v>1</v>
      </c>
      <c r="W391" s="1"/>
      <c r="X391" s="1"/>
      <c r="Y391" s="1">
        <v>1</v>
      </c>
      <c r="Z391" s="1">
        <v>1</v>
      </c>
      <c r="AA391" s="1"/>
      <c r="AB391" s="1"/>
      <c r="AC391" s="1"/>
      <c r="AD391" s="1"/>
      <c r="AE391" s="1"/>
      <c r="AF391" s="48"/>
    </row>
    <row r="392" spans="1:32" s="8" customFormat="1" x14ac:dyDescent="0.25">
      <c r="A392" s="42" t="s">
        <v>336</v>
      </c>
      <c r="B392" s="2" t="s">
        <v>137</v>
      </c>
      <c r="C392" s="2" t="s">
        <v>138</v>
      </c>
      <c r="D392" s="15" t="s">
        <v>347</v>
      </c>
      <c r="E392" s="31"/>
      <c r="F392" s="31"/>
      <c r="G392" s="15" t="s">
        <v>256</v>
      </c>
      <c r="H392" s="1" t="s">
        <v>274</v>
      </c>
      <c r="I392" s="1"/>
      <c r="J392" s="1">
        <v>1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48"/>
    </row>
    <row r="393" spans="1:32" s="8" customFormat="1" ht="24" x14ac:dyDescent="0.25">
      <c r="A393" s="42" t="s">
        <v>336</v>
      </c>
      <c r="B393" s="2" t="s">
        <v>137</v>
      </c>
      <c r="C393" s="2" t="s">
        <v>138</v>
      </c>
      <c r="D393" s="15" t="s">
        <v>347</v>
      </c>
      <c r="E393" s="31"/>
      <c r="F393" s="31"/>
      <c r="G393" s="15" t="s">
        <v>257</v>
      </c>
      <c r="H393" s="1" t="s">
        <v>275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1</v>
      </c>
      <c r="X393" s="1"/>
      <c r="Y393" s="1"/>
      <c r="Z393" s="1"/>
      <c r="AA393" s="1">
        <v>1</v>
      </c>
      <c r="AB393" s="1"/>
      <c r="AC393" s="1">
        <v>1</v>
      </c>
      <c r="AD393" s="1"/>
      <c r="AE393" s="1"/>
      <c r="AF393" s="48"/>
    </row>
    <row r="394" spans="1:32" s="8" customFormat="1" ht="24" x14ac:dyDescent="0.25">
      <c r="A394" s="42" t="s">
        <v>336</v>
      </c>
      <c r="B394" s="2" t="s">
        <v>137</v>
      </c>
      <c r="C394" s="2" t="s">
        <v>138</v>
      </c>
      <c r="D394" s="15" t="s">
        <v>347</v>
      </c>
      <c r="E394" s="31"/>
      <c r="F394" s="31"/>
      <c r="G394" s="15" t="s">
        <v>257</v>
      </c>
      <c r="H394" s="1" t="s">
        <v>276</v>
      </c>
      <c r="I394" s="1"/>
      <c r="J394" s="1"/>
      <c r="K394" s="1">
        <v>1</v>
      </c>
      <c r="L394" s="1"/>
      <c r="M394" s="1"/>
      <c r="N394" s="1"/>
      <c r="O394" s="1">
        <v>1</v>
      </c>
      <c r="P394" s="1"/>
      <c r="Q394" s="1"/>
      <c r="R394" s="1"/>
      <c r="S394" s="1"/>
      <c r="T394" s="1"/>
      <c r="U394" s="1"/>
      <c r="V394" s="1"/>
      <c r="W394" s="1"/>
      <c r="X394" s="1">
        <v>1</v>
      </c>
      <c r="Y394" s="1"/>
      <c r="Z394" s="1"/>
      <c r="AA394" s="1"/>
      <c r="AB394" s="1"/>
      <c r="AC394" s="1"/>
      <c r="AD394" s="1"/>
      <c r="AE394" s="1"/>
      <c r="AF394" s="48"/>
    </row>
    <row r="395" spans="1:32" s="8" customFormat="1" x14ac:dyDescent="0.25">
      <c r="A395" s="42" t="s">
        <v>336</v>
      </c>
      <c r="B395" s="2" t="s">
        <v>139</v>
      </c>
      <c r="C395" s="2" t="s">
        <v>140</v>
      </c>
      <c r="D395" s="15" t="s">
        <v>346</v>
      </c>
      <c r="E395" s="31">
        <v>9400</v>
      </c>
      <c r="F395" s="31"/>
      <c r="G395" s="15" t="s">
        <v>258</v>
      </c>
      <c r="H395" s="1" t="s">
        <v>255</v>
      </c>
      <c r="I395" s="1"/>
      <c r="J395" s="1"/>
      <c r="K395" s="1"/>
      <c r="L395" s="1"/>
      <c r="M395" s="1"/>
      <c r="N395" s="1"/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/>
      <c r="X395" s="1"/>
      <c r="Y395" s="1"/>
      <c r="Z395" s="1"/>
      <c r="AA395" s="1"/>
      <c r="AB395" s="1"/>
      <c r="AC395" s="1"/>
      <c r="AD395" s="1"/>
      <c r="AE395" s="1"/>
      <c r="AF395" s="48"/>
    </row>
    <row r="396" spans="1:32" s="8" customFormat="1" x14ac:dyDescent="0.25">
      <c r="A396" s="42" t="s">
        <v>336</v>
      </c>
      <c r="B396" s="2" t="s">
        <v>139</v>
      </c>
      <c r="C396" s="2" t="s">
        <v>140</v>
      </c>
      <c r="D396" s="15" t="s">
        <v>346</v>
      </c>
      <c r="E396" s="31"/>
      <c r="F396" s="31"/>
      <c r="G396" s="15" t="s">
        <v>258</v>
      </c>
      <c r="H396" s="1" t="s">
        <v>261</v>
      </c>
      <c r="I396" s="1"/>
      <c r="J396" s="1"/>
      <c r="K396" s="1"/>
      <c r="L396" s="1"/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>
        <v>1</v>
      </c>
      <c r="AE396" s="1"/>
      <c r="AF396" s="48"/>
    </row>
    <row r="397" spans="1:32" s="8" customFormat="1" x14ac:dyDescent="0.25">
      <c r="A397" s="42" t="s">
        <v>336</v>
      </c>
      <c r="B397" s="2" t="s">
        <v>139</v>
      </c>
      <c r="C397" s="2" t="s">
        <v>140</v>
      </c>
      <c r="D397" s="15" t="s">
        <v>346</v>
      </c>
      <c r="E397" s="31"/>
      <c r="F397" s="31"/>
      <c r="G397" s="15" t="s">
        <v>258</v>
      </c>
      <c r="H397" s="1" t="s">
        <v>265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>
        <v>1</v>
      </c>
      <c r="V397" s="1">
        <v>1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/>
      <c r="AC397" s="1">
        <v>1</v>
      </c>
      <c r="AD397" s="1"/>
      <c r="AE397" s="1"/>
      <c r="AF397" s="48"/>
    </row>
    <row r="398" spans="1:32" s="8" customFormat="1" x14ac:dyDescent="0.25">
      <c r="A398" s="42" t="s">
        <v>336</v>
      </c>
      <c r="B398" s="2" t="s">
        <v>139</v>
      </c>
      <c r="C398" s="2" t="s">
        <v>140</v>
      </c>
      <c r="D398" s="15" t="s">
        <v>346</v>
      </c>
      <c r="E398" s="31"/>
      <c r="F398" s="31"/>
      <c r="G398" s="15" t="s">
        <v>263</v>
      </c>
      <c r="H398" s="1" t="s">
        <v>267</v>
      </c>
      <c r="I398" s="1"/>
      <c r="J398" s="1">
        <v>1</v>
      </c>
      <c r="K398" s="1">
        <v>1</v>
      </c>
      <c r="L398" s="1">
        <v>1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48"/>
    </row>
    <row r="399" spans="1:32" s="8" customFormat="1" x14ac:dyDescent="0.25">
      <c r="A399" s="42" t="s">
        <v>336</v>
      </c>
      <c r="B399" s="2" t="s">
        <v>139</v>
      </c>
      <c r="C399" s="2" t="s">
        <v>140</v>
      </c>
      <c r="D399" s="15" t="s">
        <v>346</v>
      </c>
      <c r="E399" s="31"/>
      <c r="F399" s="31"/>
      <c r="G399" s="15" t="s">
        <v>258</v>
      </c>
      <c r="H399" s="1" t="s">
        <v>269</v>
      </c>
      <c r="I399" s="1"/>
      <c r="J399" s="1"/>
      <c r="K399" s="1"/>
      <c r="L399" s="1"/>
      <c r="M399" s="1">
        <v>1</v>
      </c>
      <c r="N399" s="1">
        <v>1</v>
      </c>
      <c r="O399" s="1">
        <v>1</v>
      </c>
      <c r="P399" s="1">
        <v>1</v>
      </c>
      <c r="Q399" s="1"/>
      <c r="R399" s="1"/>
      <c r="S399" s="1"/>
      <c r="T399" s="1"/>
      <c r="U399" s="1"/>
      <c r="V399" s="1"/>
      <c r="W399" s="1">
        <v>1</v>
      </c>
      <c r="X399" s="1">
        <v>1</v>
      </c>
      <c r="Y399" s="1">
        <v>1</v>
      </c>
      <c r="Z399" s="1">
        <v>1</v>
      </c>
      <c r="AA399" s="1"/>
      <c r="AB399" s="1"/>
      <c r="AC399" s="1"/>
      <c r="AD399" s="1"/>
      <c r="AE399" s="1"/>
      <c r="AF399" s="48"/>
    </row>
    <row r="400" spans="1:32" s="8" customFormat="1" x14ac:dyDescent="0.25">
      <c r="A400" s="42" t="s">
        <v>336</v>
      </c>
      <c r="B400" s="2" t="s">
        <v>139</v>
      </c>
      <c r="C400" s="2" t="s">
        <v>140</v>
      </c>
      <c r="D400" s="15" t="s">
        <v>346</v>
      </c>
      <c r="E400" s="31"/>
      <c r="F400" s="31"/>
      <c r="G400" s="15" t="s">
        <v>263</v>
      </c>
      <c r="H400" s="1" t="s">
        <v>272</v>
      </c>
      <c r="I400" s="1"/>
      <c r="J400" s="1">
        <v>1</v>
      </c>
      <c r="K400" s="1">
        <v>1</v>
      </c>
      <c r="L400" s="1">
        <v>1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48"/>
    </row>
    <row r="401" spans="1:32" s="8" customFormat="1" x14ac:dyDescent="0.25">
      <c r="A401" s="42" t="s">
        <v>336</v>
      </c>
      <c r="B401" s="2" t="s">
        <v>139</v>
      </c>
      <c r="C401" s="2" t="s">
        <v>140</v>
      </c>
      <c r="D401" s="15" t="s">
        <v>346</v>
      </c>
      <c r="E401" s="31"/>
      <c r="F401" s="31"/>
      <c r="G401" s="15" t="s">
        <v>258</v>
      </c>
      <c r="H401" s="1" t="s">
        <v>273</v>
      </c>
      <c r="I401" s="1"/>
      <c r="J401" s="1"/>
      <c r="K401" s="1"/>
      <c r="L401" s="1"/>
      <c r="M401" s="1"/>
      <c r="N401" s="1"/>
      <c r="O401" s="1"/>
      <c r="P401" s="1"/>
      <c r="Q401" s="1">
        <v>1</v>
      </c>
      <c r="R401" s="1">
        <v>1</v>
      </c>
      <c r="S401" s="1">
        <v>1</v>
      </c>
      <c r="T401" s="1">
        <v>1</v>
      </c>
      <c r="U401" s="1"/>
      <c r="V401" s="1"/>
      <c r="W401" s="1"/>
      <c r="X401" s="1">
        <v>1</v>
      </c>
      <c r="Y401" s="1">
        <v>1</v>
      </c>
      <c r="Z401" s="1">
        <v>1</v>
      </c>
      <c r="AA401" s="1"/>
      <c r="AB401" s="1"/>
      <c r="AC401" s="1"/>
      <c r="AD401" s="1">
        <v>1</v>
      </c>
      <c r="AE401" s="1"/>
      <c r="AF401" s="48"/>
    </row>
    <row r="402" spans="1:32" s="8" customFormat="1" x14ac:dyDescent="0.25">
      <c r="A402" s="42" t="s">
        <v>336</v>
      </c>
      <c r="B402" s="2" t="s">
        <v>139</v>
      </c>
      <c r="C402" s="2" t="s">
        <v>140</v>
      </c>
      <c r="D402" s="15" t="s">
        <v>346</v>
      </c>
      <c r="E402" s="31"/>
      <c r="F402" s="31"/>
      <c r="G402" s="15" t="s">
        <v>263</v>
      </c>
      <c r="H402" s="1" t="s">
        <v>274</v>
      </c>
      <c r="I402" s="1"/>
      <c r="J402" s="1">
        <v>1</v>
      </c>
      <c r="K402" s="1">
        <v>1</v>
      </c>
      <c r="L402" s="1">
        <v>1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48"/>
    </row>
    <row r="403" spans="1:32" s="8" customFormat="1" x14ac:dyDescent="0.25">
      <c r="A403" s="42" t="s">
        <v>336</v>
      </c>
      <c r="B403" s="2" t="s">
        <v>139</v>
      </c>
      <c r="C403" s="2" t="s">
        <v>140</v>
      </c>
      <c r="D403" s="15" t="s">
        <v>346</v>
      </c>
      <c r="E403" s="31"/>
      <c r="F403" s="31"/>
      <c r="G403" s="15" t="s">
        <v>258</v>
      </c>
      <c r="H403" s="1" t="s">
        <v>275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>
        <v>1</v>
      </c>
      <c r="U403" s="1">
        <v>1</v>
      </c>
      <c r="V403" s="1">
        <v>1</v>
      </c>
      <c r="W403" s="1">
        <v>1</v>
      </c>
      <c r="X403" s="1">
        <v>1</v>
      </c>
      <c r="Y403" s="1"/>
      <c r="Z403" s="1"/>
      <c r="AA403" s="1">
        <v>1</v>
      </c>
      <c r="AB403" s="1"/>
      <c r="AC403" s="1">
        <v>1</v>
      </c>
      <c r="AD403" s="1"/>
      <c r="AE403" s="1"/>
      <c r="AF403" s="48"/>
    </row>
    <row r="404" spans="1:32" s="8" customFormat="1" x14ac:dyDescent="0.25">
      <c r="A404" s="42" t="s">
        <v>336</v>
      </c>
      <c r="B404" s="2" t="s">
        <v>139</v>
      </c>
      <c r="C404" s="2" t="s">
        <v>140</v>
      </c>
      <c r="D404" s="15" t="s">
        <v>346</v>
      </c>
      <c r="E404" s="31"/>
      <c r="F404" s="31"/>
      <c r="G404" s="15" t="s">
        <v>258</v>
      </c>
      <c r="H404" s="1" t="s">
        <v>276</v>
      </c>
      <c r="I404" s="1"/>
      <c r="J404" s="1">
        <v>1</v>
      </c>
      <c r="K404" s="1">
        <v>1</v>
      </c>
      <c r="L404" s="1"/>
      <c r="M404" s="1">
        <v>1</v>
      </c>
      <c r="N404" s="1">
        <v>1</v>
      </c>
      <c r="O404" s="1">
        <v>1</v>
      </c>
      <c r="P404" s="1"/>
      <c r="Q404" s="1"/>
      <c r="R404" s="1"/>
      <c r="S404" s="1"/>
      <c r="T404" s="1"/>
      <c r="U404" s="1"/>
      <c r="V404" s="1"/>
      <c r="W404" s="1">
        <v>1</v>
      </c>
      <c r="X404" s="1"/>
      <c r="Y404" s="1"/>
      <c r="Z404" s="1"/>
      <c r="AA404" s="1"/>
      <c r="AB404" s="1"/>
      <c r="AC404" s="1"/>
      <c r="AD404" s="1">
        <v>1</v>
      </c>
      <c r="AE404" s="1"/>
      <c r="AF404" s="48"/>
    </row>
    <row r="405" spans="1:32" s="8" customFormat="1" ht="24" x14ac:dyDescent="0.25">
      <c r="A405" s="42" t="s">
        <v>336</v>
      </c>
      <c r="B405" s="2" t="s">
        <v>139</v>
      </c>
      <c r="C405" s="2" t="s">
        <v>140</v>
      </c>
      <c r="D405" s="15" t="s">
        <v>347</v>
      </c>
      <c r="E405" s="31">
        <v>12600</v>
      </c>
      <c r="F405" s="31">
        <v>0</v>
      </c>
      <c r="G405" s="15" t="s">
        <v>257</v>
      </c>
      <c r="H405" s="1" t="s">
        <v>255</v>
      </c>
      <c r="I405" s="1"/>
      <c r="J405" s="1"/>
      <c r="K405" s="1"/>
      <c r="L405" s="1"/>
      <c r="M405" s="1">
        <v>1</v>
      </c>
      <c r="N405" s="1"/>
      <c r="O405" s="1">
        <v>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48"/>
    </row>
    <row r="406" spans="1:32" s="8" customFormat="1" ht="24" x14ac:dyDescent="0.25">
      <c r="A406" s="42" t="s">
        <v>336</v>
      </c>
      <c r="B406" s="2" t="s">
        <v>139</v>
      </c>
      <c r="C406" s="2" t="s">
        <v>140</v>
      </c>
      <c r="D406" s="15" t="s">
        <v>347</v>
      </c>
      <c r="E406" s="31"/>
      <c r="F406" s="31"/>
      <c r="G406" s="15" t="s">
        <v>257</v>
      </c>
      <c r="H406" s="1" t="s">
        <v>261</v>
      </c>
      <c r="I406" s="1"/>
      <c r="J406" s="1"/>
      <c r="K406" s="1"/>
      <c r="L406" s="1"/>
      <c r="M406" s="1"/>
      <c r="N406" s="1">
        <v>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>
        <v>1</v>
      </c>
      <c r="AE406" s="1"/>
      <c r="AF406" s="48"/>
    </row>
    <row r="407" spans="1:32" s="8" customFormat="1" ht="24" x14ac:dyDescent="0.25">
      <c r="A407" s="42" t="s">
        <v>336</v>
      </c>
      <c r="B407" s="2" t="s">
        <v>139</v>
      </c>
      <c r="C407" s="2" t="s">
        <v>140</v>
      </c>
      <c r="D407" s="15" t="s">
        <v>347</v>
      </c>
      <c r="E407" s="31"/>
      <c r="F407" s="31"/>
      <c r="G407" s="15" t="s">
        <v>257</v>
      </c>
      <c r="H407" s="1" t="s">
        <v>265</v>
      </c>
      <c r="I407" s="1"/>
      <c r="J407" s="1"/>
      <c r="K407" s="1"/>
      <c r="L407" s="1"/>
      <c r="M407" s="1"/>
      <c r="N407" s="1"/>
      <c r="O407" s="1">
        <v>1</v>
      </c>
      <c r="P407" s="1">
        <v>1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>
        <v>1</v>
      </c>
      <c r="AB407" s="1"/>
      <c r="AC407" s="1">
        <v>1</v>
      </c>
      <c r="AD407" s="1"/>
      <c r="AE407" s="1"/>
      <c r="AF407" s="48"/>
    </row>
    <row r="408" spans="1:32" s="8" customFormat="1" x14ac:dyDescent="0.25">
      <c r="A408" s="42" t="s">
        <v>336</v>
      </c>
      <c r="B408" s="2" t="s">
        <v>139</v>
      </c>
      <c r="C408" s="2" t="s">
        <v>140</v>
      </c>
      <c r="D408" s="15" t="s">
        <v>347</v>
      </c>
      <c r="E408" s="31"/>
      <c r="F408" s="31"/>
      <c r="G408" s="15" t="s">
        <v>256</v>
      </c>
      <c r="H408" s="1" t="s">
        <v>267</v>
      </c>
      <c r="I408" s="1"/>
      <c r="J408" s="1">
        <v>1</v>
      </c>
      <c r="K408" s="1">
        <v>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48"/>
    </row>
    <row r="409" spans="1:32" s="8" customFormat="1" ht="24" x14ac:dyDescent="0.25">
      <c r="A409" s="42" t="s">
        <v>336</v>
      </c>
      <c r="B409" s="2" t="s">
        <v>139</v>
      </c>
      <c r="C409" s="2" t="s">
        <v>140</v>
      </c>
      <c r="D409" s="15" t="s">
        <v>347</v>
      </c>
      <c r="E409" s="31"/>
      <c r="F409" s="31"/>
      <c r="G409" s="15" t="s">
        <v>257</v>
      </c>
      <c r="H409" s="1" t="s">
        <v>269</v>
      </c>
      <c r="I409" s="1"/>
      <c r="J409" s="1"/>
      <c r="K409" s="1"/>
      <c r="L409" s="1"/>
      <c r="M409" s="1"/>
      <c r="N409" s="1"/>
      <c r="O409" s="1"/>
      <c r="P409" s="1"/>
      <c r="Q409" s="1">
        <v>1</v>
      </c>
      <c r="R409" s="1">
        <v>1</v>
      </c>
      <c r="S409" s="1"/>
      <c r="T409" s="1"/>
      <c r="U409" s="1">
        <v>1</v>
      </c>
      <c r="V409" s="1">
        <v>1</v>
      </c>
      <c r="W409" s="1"/>
      <c r="X409" s="1"/>
      <c r="Y409" s="1"/>
      <c r="Z409" s="1"/>
      <c r="AA409" s="1"/>
      <c r="AB409" s="1"/>
      <c r="AC409" s="1"/>
      <c r="AD409" s="1"/>
      <c r="AE409" s="1"/>
      <c r="AF409" s="48"/>
    </row>
    <row r="410" spans="1:32" s="8" customFormat="1" x14ac:dyDescent="0.25">
      <c r="A410" s="42" t="s">
        <v>336</v>
      </c>
      <c r="B410" s="2" t="s">
        <v>139</v>
      </c>
      <c r="C410" s="2" t="s">
        <v>140</v>
      </c>
      <c r="D410" s="15" t="s">
        <v>347</v>
      </c>
      <c r="E410" s="31"/>
      <c r="F410" s="31"/>
      <c r="G410" s="15" t="s">
        <v>256</v>
      </c>
      <c r="H410" s="1" t="s">
        <v>272</v>
      </c>
      <c r="I410" s="1"/>
      <c r="J410" s="1"/>
      <c r="K410" s="1">
        <v>1</v>
      </c>
      <c r="L410" s="1">
        <v>1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48"/>
    </row>
    <row r="411" spans="1:32" s="8" customFormat="1" ht="24" x14ac:dyDescent="0.25">
      <c r="A411" s="42" t="s">
        <v>336</v>
      </c>
      <c r="B411" s="2" t="s">
        <v>139</v>
      </c>
      <c r="C411" s="2" t="s">
        <v>140</v>
      </c>
      <c r="D411" s="15" t="s">
        <v>347</v>
      </c>
      <c r="E411" s="31"/>
      <c r="F411" s="31"/>
      <c r="G411" s="15" t="s">
        <v>257</v>
      </c>
      <c r="H411" s="1" t="s">
        <v>273</v>
      </c>
      <c r="I411" s="1"/>
      <c r="J411" s="1"/>
      <c r="K411" s="1"/>
      <c r="L411" s="1"/>
      <c r="M411" s="1"/>
      <c r="N411" s="1"/>
      <c r="O411" s="1">
        <v>1</v>
      </c>
      <c r="P411" s="1"/>
      <c r="Q411" s="1"/>
      <c r="R411" s="1"/>
      <c r="S411" s="1">
        <v>1</v>
      </c>
      <c r="T411" s="1">
        <v>1</v>
      </c>
      <c r="U411" s="1"/>
      <c r="V411" s="1"/>
      <c r="W411" s="1"/>
      <c r="X411" s="1"/>
      <c r="Y411" s="1">
        <v>1</v>
      </c>
      <c r="Z411" s="1"/>
      <c r="AA411" s="1"/>
      <c r="AB411" s="1"/>
      <c r="AC411" s="1"/>
      <c r="AD411" s="1"/>
      <c r="AE411" s="1"/>
      <c r="AF411" s="48"/>
    </row>
    <row r="412" spans="1:32" s="8" customFormat="1" x14ac:dyDescent="0.25">
      <c r="A412" s="42" t="s">
        <v>336</v>
      </c>
      <c r="B412" s="2" t="s">
        <v>139</v>
      </c>
      <c r="C412" s="2" t="s">
        <v>140</v>
      </c>
      <c r="D412" s="15" t="s">
        <v>347</v>
      </c>
      <c r="E412" s="31"/>
      <c r="F412" s="31"/>
      <c r="G412" s="15" t="s">
        <v>256</v>
      </c>
      <c r="H412" s="1" t="s">
        <v>274</v>
      </c>
      <c r="I412" s="1"/>
      <c r="J412" s="1">
        <v>1</v>
      </c>
      <c r="K412" s="1"/>
      <c r="L412" s="1">
        <v>1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48"/>
    </row>
    <row r="413" spans="1:32" s="8" customFormat="1" ht="24" x14ac:dyDescent="0.25">
      <c r="A413" s="42" t="s">
        <v>336</v>
      </c>
      <c r="B413" s="2" t="s">
        <v>139</v>
      </c>
      <c r="C413" s="2" t="s">
        <v>140</v>
      </c>
      <c r="D413" s="15" t="s">
        <v>347</v>
      </c>
      <c r="E413" s="31"/>
      <c r="F413" s="31"/>
      <c r="G413" s="15" t="s">
        <v>257</v>
      </c>
      <c r="H413" s="1" t="s">
        <v>275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>
        <v>1</v>
      </c>
      <c r="AA413" s="1">
        <v>1</v>
      </c>
      <c r="AB413" s="1"/>
      <c r="AC413" s="1">
        <v>1</v>
      </c>
      <c r="AD413" s="1">
        <v>1</v>
      </c>
      <c r="AE413" s="1"/>
      <c r="AF413" s="48"/>
    </row>
    <row r="414" spans="1:32" s="8" customFormat="1" ht="24" x14ac:dyDescent="0.25">
      <c r="A414" s="42" t="s">
        <v>336</v>
      </c>
      <c r="B414" s="2" t="s">
        <v>139</v>
      </c>
      <c r="C414" s="2" t="s">
        <v>140</v>
      </c>
      <c r="D414" s="15" t="s">
        <v>347</v>
      </c>
      <c r="E414" s="31"/>
      <c r="F414" s="31"/>
      <c r="G414" s="15" t="s">
        <v>257</v>
      </c>
      <c r="H414" s="1" t="s">
        <v>276</v>
      </c>
      <c r="I414" s="1"/>
      <c r="J414" s="1">
        <v>1</v>
      </c>
      <c r="K414" s="1"/>
      <c r="L414" s="1"/>
      <c r="M414" s="1"/>
      <c r="N414" s="1"/>
      <c r="O414" s="1">
        <v>1</v>
      </c>
      <c r="P414" s="1"/>
      <c r="Q414" s="1"/>
      <c r="R414" s="1"/>
      <c r="S414" s="1"/>
      <c r="T414" s="1"/>
      <c r="U414" s="1"/>
      <c r="V414" s="1"/>
      <c r="W414" s="1">
        <v>1</v>
      </c>
      <c r="X414" s="1">
        <v>1</v>
      </c>
      <c r="Y414" s="1"/>
      <c r="Z414" s="1"/>
      <c r="AA414" s="1"/>
      <c r="AB414" s="1"/>
      <c r="AC414" s="1"/>
      <c r="AD414" s="1"/>
      <c r="AE414" s="1"/>
      <c r="AF414" s="48"/>
    </row>
    <row r="415" spans="1:32" s="8" customFormat="1" x14ac:dyDescent="0.25">
      <c r="A415" s="42" t="s">
        <v>336</v>
      </c>
      <c r="B415" s="2" t="s">
        <v>141</v>
      </c>
      <c r="C415" s="2" t="s">
        <v>142</v>
      </c>
      <c r="D415" s="15" t="s">
        <v>346</v>
      </c>
      <c r="E415" s="31">
        <v>2500</v>
      </c>
      <c r="F415" s="31"/>
      <c r="G415" s="15" t="s">
        <v>258</v>
      </c>
      <c r="H415" s="1" t="s">
        <v>261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>
        <v>1</v>
      </c>
      <c r="AB415" s="1"/>
      <c r="AC415" s="1">
        <v>1</v>
      </c>
      <c r="AD415" s="1"/>
      <c r="AE415" s="1"/>
      <c r="AF415" s="48"/>
    </row>
    <row r="416" spans="1:32" s="8" customFormat="1" x14ac:dyDescent="0.25">
      <c r="A416" s="42" t="s">
        <v>336</v>
      </c>
      <c r="B416" s="2" t="s">
        <v>141</v>
      </c>
      <c r="C416" s="2" t="s">
        <v>142</v>
      </c>
      <c r="D416" s="15" t="s">
        <v>346</v>
      </c>
      <c r="E416" s="31"/>
      <c r="F416" s="31"/>
      <c r="G416" s="15" t="s">
        <v>263</v>
      </c>
      <c r="H416" s="1" t="s">
        <v>265</v>
      </c>
      <c r="I416" s="1"/>
      <c r="J416" s="1">
        <v>1</v>
      </c>
      <c r="K416" s="1">
        <v>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48"/>
    </row>
    <row r="417" spans="1:32" s="8" customFormat="1" x14ac:dyDescent="0.25">
      <c r="A417" s="42" t="s">
        <v>336</v>
      </c>
      <c r="B417" s="2" t="s">
        <v>141</v>
      </c>
      <c r="C417" s="2" t="s">
        <v>142</v>
      </c>
      <c r="D417" s="15" t="s">
        <v>346</v>
      </c>
      <c r="E417" s="31"/>
      <c r="F417" s="31"/>
      <c r="G417" s="15" t="s">
        <v>258</v>
      </c>
      <c r="H417" s="1" t="s">
        <v>267</v>
      </c>
      <c r="I417" s="1"/>
      <c r="J417" s="1"/>
      <c r="K417" s="1"/>
      <c r="L417" s="1"/>
      <c r="M417" s="1"/>
      <c r="N417" s="1"/>
      <c r="O417" s="1">
        <v>1</v>
      </c>
      <c r="P417" s="1">
        <v>1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48"/>
    </row>
    <row r="418" spans="1:32" s="8" customFormat="1" x14ac:dyDescent="0.25">
      <c r="A418" s="42" t="s">
        <v>336</v>
      </c>
      <c r="B418" s="2" t="s">
        <v>141</v>
      </c>
      <c r="C418" s="2" t="s">
        <v>142</v>
      </c>
      <c r="D418" s="15" t="s">
        <v>346</v>
      </c>
      <c r="E418" s="31"/>
      <c r="F418" s="31"/>
      <c r="G418" s="15" t="s">
        <v>263</v>
      </c>
      <c r="H418" s="1" t="s">
        <v>269</v>
      </c>
      <c r="I418" s="1"/>
      <c r="J418" s="1"/>
      <c r="K418" s="1"/>
      <c r="L418" s="1">
        <v>1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48"/>
    </row>
    <row r="419" spans="1:32" s="8" customFormat="1" x14ac:dyDescent="0.25">
      <c r="A419" s="42" t="s">
        <v>336</v>
      </c>
      <c r="B419" s="2" t="s">
        <v>141</v>
      </c>
      <c r="C419" s="2" t="s">
        <v>142</v>
      </c>
      <c r="D419" s="15" t="s">
        <v>346</v>
      </c>
      <c r="E419" s="31"/>
      <c r="F419" s="31"/>
      <c r="G419" s="15" t="s">
        <v>258</v>
      </c>
      <c r="H419" s="1" t="s">
        <v>272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>
        <v>1</v>
      </c>
      <c r="U419" s="1">
        <v>1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48"/>
    </row>
    <row r="420" spans="1:32" s="8" customFormat="1" x14ac:dyDescent="0.25">
      <c r="A420" s="42" t="s">
        <v>336</v>
      </c>
      <c r="B420" s="2" t="s">
        <v>141</v>
      </c>
      <c r="C420" s="2" t="s">
        <v>142</v>
      </c>
      <c r="D420" s="15" t="s">
        <v>346</v>
      </c>
      <c r="E420" s="31"/>
      <c r="F420" s="31"/>
      <c r="G420" s="15" t="s">
        <v>258</v>
      </c>
      <c r="H420" s="1" t="s">
        <v>273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1</v>
      </c>
      <c r="X420" s="1">
        <v>1</v>
      </c>
      <c r="Y420" s="1"/>
      <c r="Z420" s="1"/>
      <c r="AA420" s="1"/>
      <c r="AB420" s="1"/>
      <c r="AC420" s="1"/>
      <c r="AD420" s="1"/>
      <c r="AE420" s="1"/>
      <c r="AF420" s="48"/>
    </row>
    <row r="421" spans="1:32" s="8" customFormat="1" x14ac:dyDescent="0.25">
      <c r="A421" s="42" t="s">
        <v>336</v>
      </c>
      <c r="B421" s="2" t="s">
        <v>141</v>
      </c>
      <c r="C421" s="2" t="s">
        <v>142</v>
      </c>
      <c r="D421" s="15" t="s">
        <v>346</v>
      </c>
      <c r="E421" s="31"/>
      <c r="F421" s="31"/>
      <c r="G421" s="15" t="s">
        <v>258</v>
      </c>
      <c r="H421" s="1" t="s">
        <v>274</v>
      </c>
      <c r="I421" s="1"/>
      <c r="J421" s="1"/>
      <c r="K421" s="1"/>
      <c r="L421" s="1"/>
      <c r="M421" s="1">
        <v>1</v>
      </c>
      <c r="N421" s="1"/>
      <c r="O421" s="1"/>
      <c r="P421" s="1"/>
      <c r="Q421" s="1">
        <v>1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48"/>
    </row>
    <row r="422" spans="1:32" s="8" customFormat="1" x14ac:dyDescent="0.25">
      <c r="A422" s="42" t="s">
        <v>336</v>
      </c>
      <c r="B422" s="2" t="s">
        <v>141</v>
      </c>
      <c r="C422" s="2" t="s">
        <v>142</v>
      </c>
      <c r="D422" s="15" t="s">
        <v>346</v>
      </c>
      <c r="E422" s="31"/>
      <c r="F422" s="31"/>
      <c r="G422" s="15" t="s">
        <v>258</v>
      </c>
      <c r="H422" s="1" t="s">
        <v>275</v>
      </c>
      <c r="I422" s="1"/>
      <c r="J422" s="1"/>
      <c r="K422" s="1"/>
      <c r="L422" s="1"/>
      <c r="M422" s="1"/>
      <c r="N422" s="1">
        <v>1</v>
      </c>
      <c r="O422" s="1"/>
      <c r="P422" s="1"/>
      <c r="Q422" s="1"/>
      <c r="R422" s="1">
        <v>1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48"/>
    </row>
    <row r="423" spans="1:32" s="8" customFormat="1" x14ac:dyDescent="0.25">
      <c r="A423" s="42" t="s">
        <v>336</v>
      </c>
      <c r="B423" s="2" t="s">
        <v>141</v>
      </c>
      <c r="C423" s="2" t="s">
        <v>142</v>
      </c>
      <c r="D423" s="15" t="s">
        <v>346</v>
      </c>
      <c r="E423" s="31"/>
      <c r="F423" s="31"/>
      <c r="G423" s="15" t="s">
        <v>258</v>
      </c>
      <c r="H423" s="1" t="s">
        <v>276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>
        <v>1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>
        <v>1</v>
      </c>
      <c r="AE423" s="1"/>
      <c r="AF423" s="48"/>
    </row>
    <row r="424" spans="1:32" s="8" customFormat="1" ht="24" x14ac:dyDescent="0.25">
      <c r="A424" s="42" t="s">
        <v>336</v>
      </c>
      <c r="B424" s="2" t="s">
        <v>141</v>
      </c>
      <c r="C424" s="2" t="s">
        <v>142</v>
      </c>
      <c r="D424" s="15" t="s">
        <v>347</v>
      </c>
      <c r="E424" s="31">
        <v>7500</v>
      </c>
      <c r="F424" s="31">
        <v>0</v>
      </c>
      <c r="G424" s="15" t="s">
        <v>257</v>
      </c>
      <c r="H424" s="1" t="s">
        <v>261</v>
      </c>
      <c r="I424" s="1"/>
      <c r="J424" s="1"/>
      <c r="K424" s="1"/>
      <c r="L424" s="1"/>
      <c r="M424" s="1">
        <v>1</v>
      </c>
      <c r="N424" s="1">
        <v>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48"/>
    </row>
    <row r="425" spans="1:32" s="8" customFormat="1" x14ac:dyDescent="0.25">
      <c r="A425" s="42" t="s">
        <v>336</v>
      </c>
      <c r="B425" s="2" t="s">
        <v>141</v>
      </c>
      <c r="C425" s="2" t="s">
        <v>142</v>
      </c>
      <c r="D425" s="15" t="s">
        <v>347</v>
      </c>
      <c r="E425" s="31"/>
      <c r="F425" s="31"/>
      <c r="G425" s="15" t="s">
        <v>256</v>
      </c>
      <c r="H425" s="1" t="s">
        <v>265</v>
      </c>
      <c r="I425" s="1"/>
      <c r="J425" s="1">
        <v>1</v>
      </c>
      <c r="K425" s="1">
        <v>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48"/>
    </row>
    <row r="426" spans="1:32" s="8" customFormat="1" ht="24" x14ac:dyDescent="0.25">
      <c r="A426" s="42" t="s">
        <v>336</v>
      </c>
      <c r="B426" s="2" t="s">
        <v>141</v>
      </c>
      <c r="C426" s="2" t="s">
        <v>142</v>
      </c>
      <c r="D426" s="15" t="s">
        <v>347</v>
      </c>
      <c r="E426" s="31"/>
      <c r="F426" s="31"/>
      <c r="G426" s="15" t="s">
        <v>257</v>
      </c>
      <c r="H426" s="1" t="s">
        <v>267</v>
      </c>
      <c r="I426" s="1"/>
      <c r="J426" s="1"/>
      <c r="K426" s="1"/>
      <c r="L426" s="1"/>
      <c r="M426" s="1"/>
      <c r="N426" s="1"/>
      <c r="O426" s="1">
        <v>1</v>
      </c>
      <c r="P426" s="1">
        <v>1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48"/>
    </row>
    <row r="427" spans="1:32" s="8" customFormat="1" x14ac:dyDescent="0.25">
      <c r="A427" s="42" t="s">
        <v>336</v>
      </c>
      <c r="B427" s="2" t="s">
        <v>141</v>
      </c>
      <c r="C427" s="2" t="s">
        <v>142</v>
      </c>
      <c r="D427" s="15" t="s">
        <v>347</v>
      </c>
      <c r="E427" s="31"/>
      <c r="F427" s="31"/>
      <c r="G427" s="15" t="s">
        <v>256</v>
      </c>
      <c r="H427" s="1" t="s">
        <v>269</v>
      </c>
      <c r="I427" s="1"/>
      <c r="J427" s="1"/>
      <c r="K427" s="1"/>
      <c r="L427" s="1">
        <v>1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48"/>
    </row>
    <row r="428" spans="1:32" s="8" customFormat="1" ht="24" x14ac:dyDescent="0.25">
      <c r="A428" s="42" t="s">
        <v>336</v>
      </c>
      <c r="B428" s="2" t="s">
        <v>141</v>
      </c>
      <c r="C428" s="2" t="s">
        <v>142</v>
      </c>
      <c r="D428" s="15" t="s">
        <v>347</v>
      </c>
      <c r="E428" s="31"/>
      <c r="F428" s="31"/>
      <c r="G428" s="15" t="s">
        <v>257</v>
      </c>
      <c r="H428" s="1" t="s">
        <v>272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1</v>
      </c>
      <c r="X428" s="1">
        <v>1</v>
      </c>
      <c r="Y428" s="1"/>
      <c r="Z428" s="1"/>
      <c r="AA428" s="1"/>
      <c r="AB428" s="1"/>
      <c r="AC428" s="1"/>
      <c r="AD428" s="1">
        <v>1</v>
      </c>
      <c r="AE428" s="1"/>
      <c r="AF428" s="48"/>
    </row>
    <row r="429" spans="1:32" s="8" customFormat="1" ht="24" x14ac:dyDescent="0.25">
      <c r="A429" s="42" t="s">
        <v>336</v>
      </c>
      <c r="B429" s="2" t="s">
        <v>141</v>
      </c>
      <c r="C429" s="2" t="s">
        <v>142</v>
      </c>
      <c r="D429" s="15" t="s">
        <v>347</v>
      </c>
      <c r="E429" s="31"/>
      <c r="F429" s="31"/>
      <c r="G429" s="15" t="s">
        <v>257</v>
      </c>
      <c r="H429" s="1" t="s">
        <v>273</v>
      </c>
      <c r="I429" s="1"/>
      <c r="J429" s="1"/>
      <c r="K429" s="1"/>
      <c r="L429" s="1"/>
      <c r="M429" s="1"/>
      <c r="N429" s="1"/>
      <c r="O429" s="1"/>
      <c r="P429" s="1"/>
      <c r="Q429" s="1">
        <v>1</v>
      </c>
      <c r="R429" s="1">
        <v>1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48"/>
    </row>
    <row r="430" spans="1:32" s="8" customFormat="1" ht="24" x14ac:dyDescent="0.25">
      <c r="A430" s="42" t="s">
        <v>336</v>
      </c>
      <c r="B430" s="2" t="s">
        <v>141</v>
      </c>
      <c r="C430" s="2" t="s">
        <v>142</v>
      </c>
      <c r="D430" s="15" t="s">
        <v>347</v>
      </c>
      <c r="E430" s="31"/>
      <c r="F430" s="31"/>
      <c r="G430" s="15" t="s">
        <v>257</v>
      </c>
      <c r="H430" s="1" t="s">
        <v>274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>
        <v>1</v>
      </c>
      <c r="AB430" s="1"/>
      <c r="AC430" s="1">
        <v>1</v>
      </c>
      <c r="AD430" s="1"/>
      <c r="AE430" s="1"/>
      <c r="AF430" s="48"/>
    </row>
    <row r="431" spans="1:32" s="8" customFormat="1" ht="24" x14ac:dyDescent="0.25">
      <c r="A431" s="42" t="s">
        <v>336</v>
      </c>
      <c r="B431" s="2" t="s">
        <v>141</v>
      </c>
      <c r="C431" s="2" t="s">
        <v>142</v>
      </c>
      <c r="D431" s="15" t="s">
        <v>347</v>
      </c>
      <c r="E431" s="31"/>
      <c r="F431" s="31"/>
      <c r="G431" s="15" t="s">
        <v>257</v>
      </c>
      <c r="H431" s="1" t="s">
        <v>275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>
        <v>1</v>
      </c>
      <c r="T431" s="1"/>
      <c r="U431" s="1"/>
      <c r="V431" s="1"/>
      <c r="W431" s="1"/>
      <c r="X431" s="1"/>
      <c r="Y431" s="1">
        <v>1</v>
      </c>
      <c r="Z431" s="1"/>
      <c r="AA431" s="1"/>
      <c r="AB431" s="1"/>
      <c r="AC431" s="1"/>
      <c r="AD431" s="1"/>
      <c r="AE431" s="1"/>
      <c r="AF431" s="48"/>
    </row>
    <row r="432" spans="1:32" s="8" customFormat="1" ht="24" x14ac:dyDescent="0.25">
      <c r="A432" s="42" t="s">
        <v>336</v>
      </c>
      <c r="B432" s="2" t="s">
        <v>141</v>
      </c>
      <c r="C432" s="2" t="s">
        <v>142</v>
      </c>
      <c r="D432" s="15" t="s">
        <v>347</v>
      </c>
      <c r="E432" s="31"/>
      <c r="F432" s="31"/>
      <c r="G432" s="15" t="s">
        <v>257</v>
      </c>
      <c r="H432" s="1" t="s">
        <v>276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>
        <v>1</v>
      </c>
      <c r="W432" s="1"/>
      <c r="X432" s="1"/>
      <c r="Y432" s="1"/>
      <c r="Z432" s="1">
        <v>1</v>
      </c>
      <c r="AA432" s="1"/>
      <c r="AB432" s="1"/>
      <c r="AC432" s="1"/>
      <c r="AD432" s="1"/>
      <c r="AE432" s="1"/>
      <c r="AF432" s="48"/>
    </row>
    <row r="433" spans="1:32" s="8" customFormat="1" x14ac:dyDescent="0.25">
      <c r="A433" s="42" t="s">
        <v>336</v>
      </c>
      <c r="B433" s="2" t="s">
        <v>143</v>
      </c>
      <c r="C433" s="2" t="s">
        <v>144</v>
      </c>
      <c r="D433" s="15" t="s">
        <v>346</v>
      </c>
      <c r="E433" s="31">
        <v>200</v>
      </c>
      <c r="F433" s="31"/>
      <c r="G433" s="15" t="s">
        <v>258</v>
      </c>
      <c r="H433" s="1" t="s">
        <v>269</v>
      </c>
      <c r="I433" s="1"/>
      <c r="J433" s="1"/>
      <c r="K433" s="1"/>
      <c r="L433" s="1"/>
      <c r="M433" s="1"/>
      <c r="N433" s="1"/>
      <c r="O433" s="1">
        <v>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48"/>
    </row>
    <row r="434" spans="1:32" s="8" customFormat="1" x14ac:dyDescent="0.25">
      <c r="A434" s="42" t="s">
        <v>336</v>
      </c>
      <c r="B434" s="2" t="s">
        <v>143</v>
      </c>
      <c r="C434" s="2" t="s">
        <v>144</v>
      </c>
      <c r="D434" s="15" t="s">
        <v>346</v>
      </c>
      <c r="E434" s="31"/>
      <c r="F434" s="31"/>
      <c r="G434" s="15" t="s">
        <v>258</v>
      </c>
      <c r="H434" s="1" t="s">
        <v>272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>
        <v>1</v>
      </c>
      <c r="AB434" s="1"/>
      <c r="AC434" s="1"/>
      <c r="AD434" s="1"/>
      <c r="AE434" s="1"/>
      <c r="AF434" s="48"/>
    </row>
    <row r="435" spans="1:32" s="8" customFormat="1" ht="24" x14ac:dyDescent="0.25">
      <c r="A435" s="42" t="s">
        <v>336</v>
      </c>
      <c r="B435" s="2" t="s">
        <v>143</v>
      </c>
      <c r="C435" s="2" t="s">
        <v>144</v>
      </c>
      <c r="D435" s="15" t="s">
        <v>347</v>
      </c>
      <c r="E435" s="31">
        <v>600</v>
      </c>
      <c r="F435" s="31">
        <v>0</v>
      </c>
      <c r="G435" s="15" t="s">
        <v>257</v>
      </c>
      <c r="H435" s="1" t="s">
        <v>269</v>
      </c>
      <c r="I435" s="1"/>
      <c r="J435" s="1">
        <v>1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48"/>
    </row>
    <row r="436" spans="1:32" s="8" customFormat="1" ht="24" x14ac:dyDescent="0.25">
      <c r="A436" s="42" t="s">
        <v>336</v>
      </c>
      <c r="B436" s="2" t="s">
        <v>143</v>
      </c>
      <c r="C436" s="2" t="s">
        <v>144</v>
      </c>
      <c r="D436" s="15" t="s">
        <v>347</v>
      </c>
      <c r="E436" s="31"/>
      <c r="F436" s="31"/>
      <c r="G436" s="15" t="s">
        <v>257</v>
      </c>
      <c r="H436" s="1" t="s">
        <v>272</v>
      </c>
      <c r="I436" s="1"/>
      <c r="J436" s="1"/>
      <c r="K436" s="1">
        <v>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48"/>
    </row>
    <row r="437" spans="1:32" s="8" customFormat="1" x14ac:dyDescent="0.25">
      <c r="A437" s="42" t="s">
        <v>336</v>
      </c>
      <c r="B437" s="2" t="s">
        <v>345</v>
      </c>
      <c r="C437" s="2" t="s">
        <v>145</v>
      </c>
      <c r="D437" s="2" t="s">
        <v>346</v>
      </c>
      <c r="E437" s="31"/>
      <c r="F437" s="31">
        <v>900</v>
      </c>
      <c r="G437" s="15" t="s">
        <v>258</v>
      </c>
      <c r="H437" s="1" t="s">
        <v>265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>
        <v>1</v>
      </c>
      <c r="AB437" s="1"/>
      <c r="AC437" s="1"/>
      <c r="AD437" s="1"/>
      <c r="AE437" s="1"/>
      <c r="AF437" s="48"/>
    </row>
    <row r="438" spans="1:32" s="8" customFormat="1" x14ac:dyDescent="0.25">
      <c r="A438" s="42" t="s">
        <v>336</v>
      </c>
      <c r="B438" s="2" t="s">
        <v>345</v>
      </c>
      <c r="C438" s="2" t="s">
        <v>145</v>
      </c>
      <c r="D438" s="2" t="s">
        <v>346</v>
      </c>
      <c r="E438" s="31"/>
      <c r="F438" s="31"/>
      <c r="G438" s="15" t="s">
        <v>258</v>
      </c>
      <c r="H438" s="1" t="s">
        <v>273</v>
      </c>
      <c r="I438" s="1"/>
      <c r="J438" s="1"/>
      <c r="K438" s="1"/>
      <c r="L438" s="1"/>
      <c r="M438" s="1"/>
      <c r="N438" s="1"/>
      <c r="O438" s="1">
        <v>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48"/>
    </row>
    <row r="439" spans="1:32" s="8" customFormat="1" x14ac:dyDescent="0.25">
      <c r="A439" s="42" t="s">
        <v>336</v>
      </c>
      <c r="B439" s="2" t="s">
        <v>345</v>
      </c>
      <c r="C439" s="2" t="s">
        <v>145</v>
      </c>
      <c r="D439" s="2" t="s">
        <v>346</v>
      </c>
      <c r="E439" s="31"/>
      <c r="F439" s="31"/>
      <c r="G439" s="15" t="s">
        <v>30</v>
      </c>
      <c r="H439" s="1" t="s">
        <v>265</v>
      </c>
      <c r="I439" s="1"/>
      <c r="J439" s="1">
        <v>1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48"/>
    </row>
    <row r="440" spans="1:32" s="8" customFormat="1" x14ac:dyDescent="0.25">
      <c r="A440" s="42" t="s">
        <v>336</v>
      </c>
      <c r="B440" s="2" t="s">
        <v>345</v>
      </c>
      <c r="C440" s="2" t="s">
        <v>145</v>
      </c>
      <c r="D440" s="2" t="s">
        <v>346</v>
      </c>
      <c r="E440" s="31"/>
      <c r="F440" s="31"/>
      <c r="G440" s="15" t="s">
        <v>30</v>
      </c>
      <c r="H440" s="1" t="s">
        <v>267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48">
        <v>1</v>
      </c>
    </row>
    <row r="441" spans="1:32" s="8" customFormat="1" x14ac:dyDescent="0.25">
      <c r="A441" s="42" t="s">
        <v>336</v>
      </c>
      <c r="B441" s="2" t="s">
        <v>345</v>
      </c>
      <c r="C441" s="2" t="s">
        <v>145</v>
      </c>
      <c r="D441" s="2" t="s">
        <v>346</v>
      </c>
      <c r="E441" s="31"/>
      <c r="F441" s="31"/>
      <c r="G441" s="15" t="s">
        <v>30</v>
      </c>
      <c r="H441" s="1" t="s">
        <v>269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>
        <v>1</v>
      </c>
      <c r="AE441" s="1"/>
      <c r="AF441" s="48"/>
    </row>
    <row r="442" spans="1:32" s="8" customFormat="1" x14ac:dyDescent="0.25">
      <c r="A442" s="42" t="s">
        <v>336</v>
      </c>
      <c r="B442" s="2" t="s">
        <v>345</v>
      </c>
      <c r="C442" s="2" t="s">
        <v>145</v>
      </c>
      <c r="D442" s="2" t="s">
        <v>346</v>
      </c>
      <c r="E442" s="31"/>
      <c r="F442" s="31"/>
      <c r="G442" s="15" t="s">
        <v>30</v>
      </c>
      <c r="H442" s="1" t="s">
        <v>272</v>
      </c>
      <c r="I442" s="1"/>
      <c r="J442" s="1"/>
      <c r="K442" s="1"/>
      <c r="L442" s="1"/>
      <c r="M442" s="1"/>
      <c r="N442" s="1">
        <v>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48"/>
    </row>
    <row r="443" spans="1:32" s="8" customFormat="1" x14ac:dyDescent="0.25">
      <c r="A443" s="42" t="s">
        <v>336</v>
      </c>
      <c r="B443" s="2" t="s">
        <v>345</v>
      </c>
      <c r="C443" s="2" t="s">
        <v>145</v>
      </c>
      <c r="D443" s="2" t="s">
        <v>346</v>
      </c>
      <c r="E443" s="31"/>
      <c r="F443" s="31"/>
      <c r="G443" s="15" t="s">
        <v>30</v>
      </c>
      <c r="H443" s="1" t="s">
        <v>273</v>
      </c>
      <c r="I443" s="1"/>
      <c r="J443" s="1"/>
      <c r="K443" s="1"/>
      <c r="L443" s="1"/>
      <c r="M443" s="1"/>
      <c r="N443" s="1"/>
      <c r="O443" s="1">
        <v>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48"/>
    </row>
    <row r="444" spans="1:32" s="8" customFormat="1" x14ac:dyDescent="0.25">
      <c r="A444" s="42" t="s">
        <v>336</v>
      </c>
      <c r="B444" s="2" t="s">
        <v>345</v>
      </c>
      <c r="C444" s="2" t="s">
        <v>145</v>
      </c>
      <c r="D444" s="2" t="s">
        <v>346</v>
      </c>
      <c r="E444" s="31"/>
      <c r="F444" s="31"/>
      <c r="G444" s="15" t="s">
        <v>30</v>
      </c>
      <c r="H444" s="1" t="s">
        <v>274</v>
      </c>
      <c r="I444" s="1"/>
      <c r="J444" s="1"/>
      <c r="K444" s="1"/>
      <c r="L444" s="1"/>
      <c r="M444" s="1"/>
      <c r="N444" s="1"/>
      <c r="O444" s="1"/>
      <c r="P444" s="1">
        <v>1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48"/>
    </row>
    <row r="445" spans="1:32" s="8" customFormat="1" x14ac:dyDescent="0.25">
      <c r="A445" s="42" t="s">
        <v>337</v>
      </c>
      <c r="B445" s="2" t="s">
        <v>147</v>
      </c>
      <c r="C445" s="2" t="s">
        <v>148</v>
      </c>
      <c r="D445" s="2" t="s">
        <v>346</v>
      </c>
      <c r="E445" s="31">
        <v>700</v>
      </c>
      <c r="F445" s="31">
        <v>964</v>
      </c>
      <c r="G445" s="15" t="s">
        <v>263</v>
      </c>
      <c r="H445" s="1" t="s">
        <v>265</v>
      </c>
      <c r="I445" s="1"/>
      <c r="J445" s="1">
        <v>1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48"/>
    </row>
    <row r="446" spans="1:32" s="8" customFormat="1" x14ac:dyDescent="0.25">
      <c r="A446" s="42" t="s">
        <v>337</v>
      </c>
      <c r="B446" s="2" t="s">
        <v>147</v>
      </c>
      <c r="C446" s="2" t="s">
        <v>148</v>
      </c>
      <c r="D446" s="2" t="s">
        <v>346</v>
      </c>
      <c r="E446" s="31"/>
      <c r="F446" s="31"/>
      <c r="G446" s="15" t="s">
        <v>258</v>
      </c>
      <c r="H446" s="1" t="s">
        <v>267</v>
      </c>
      <c r="I446" s="1"/>
      <c r="J446" s="1"/>
      <c r="K446" s="1">
        <v>1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48"/>
    </row>
    <row r="447" spans="1:32" s="8" customFormat="1" x14ac:dyDescent="0.25">
      <c r="A447" s="42" t="s">
        <v>337</v>
      </c>
      <c r="B447" s="2" t="s">
        <v>147</v>
      </c>
      <c r="C447" s="2" t="s">
        <v>148</v>
      </c>
      <c r="D447" s="2" t="s">
        <v>346</v>
      </c>
      <c r="E447" s="31"/>
      <c r="F447" s="31"/>
      <c r="G447" s="15" t="s">
        <v>258</v>
      </c>
      <c r="H447" s="1" t="s">
        <v>269</v>
      </c>
      <c r="I447" s="1"/>
      <c r="J447" s="1"/>
      <c r="K447" s="1"/>
      <c r="L447" s="1"/>
      <c r="M447" s="1"/>
      <c r="N447" s="1"/>
      <c r="O447" s="1">
        <v>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48"/>
    </row>
    <row r="448" spans="1:32" s="8" customFormat="1" x14ac:dyDescent="0.25">
      <c r="A448" s="42" t="s">
        <v>337</v>
      </c>
      <c r="B448" s="2" t="s">
        <v>147</v>
      </c>
      <c r="C448" s="2" t="s">
        <v>148</v>
      </c>
      <c r="D448" s="2" t="s">
        <v>346</v>
      </c>
      <c r="E448" s="31"/>
      <c r="F448" s="31"/>
      <c r="G448" s="15" t="s">
        <v>258</v>
      </c>
      <c r="H448" s="1" t="s">
        <v>272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>
        <v>1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48"/>
    </row>
    <row r="449" spans="1:32" s="8" customFormat="1" x14ac:dyDescent="0.25">
      <c r="A449" s="42" t="s">
        <v>337</v>
      </c>
      <c r="B449" s="2" t="s">
        <v>147</v>
      </c>
      <c r="C449" s="2" t="s">
        <v>148</v>
      </c>
      <c r="D449" s="2" t="s">
        <v>346</v>
      </c>
      <c r="E449" s="31"/>
      <c r="F449" s="31"/>
      <c r="G449" s="15" t="s">
        <v>258</v>
      </c>
      <c r="H449" s="1" t="s">
        <v>273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>
        <v>1</v>
      </c>
      <c r="AE449" s="1"/>
      <c r="AF449" s="48"/>
    </row>
    <row r="450" spans="1:32" s="8" customFormat="1" x14ac:dyDescent="0.25">
      <c r="A450" s="42" t="s">
        <v>337</v>
      </c>
      <c r="B450" s="2" t="s">
        <v>147</v>
      </c>
      <c r="C450" s="2" t="s">
        <v>148</v>
      </c>
      <c r="D450" s="2" t="s">
        <v>346</v>
      </c>
      <c r="E450" s="31"/>
      <c r="F450" s="31"/>
      <c r="G450" s="15" t="s">
        <v>30</v>
      </c>
      <c r="H450" s="1" t="s">
        <v>265</v>
      </c>
      <c r="I450" s="1"/>
      <c r="J450" s="1">
        <v>1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48"/>
    </row>
    <row r="451" spans="1:32" s="8" customFormat="1" x14ac:dyDescent="0.25">
      <c r="A451" s="42" t="s">
        <v>337</v>
      </c>
      <c r="B451" s="2" t="s">
        <v>147</v>
      </c>
      <c r="C451" s="2" t="s">
        <v>148</v>
      </c>
      <c r="D451" s="2" t="s">
        <v>346</v>
      </c>
      <c r="E451" s="31"/>
      <c r="F451" s="31"/>
      <c r="G451" s="15" t="s">
        <v>30</v>
      </c>
      <c r="H451" s="1" t="s">
        <v>267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48">
        <v>1</v>
      </c>
    </row>
    <row r="452" spans="1:32" s="8" customFormat="1" x14ac:dyDescent="0.25">
      <c r="A452" s="42" t="s">
        <v>337</v>
      </c>
      <c r="B452" s="2" t="s">
        <v>147</v>
      </c>
      <c r="C452" s="2" t="s">
        <v>148</v>
      </c>
      <c r="D452" s="2" t="s">
        <v>346</v>
      </c>
      <c r="E452" s="31"/>
      <c r="F452" s="31"/>
      <c r="G452" s="15" t="s">
        <v>30</v>
      </c>
      <c r="H452" s="1" t="s">
        <v>269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>
        <v>1</v>
      </c>
      <c r="AE452" s="1"/>
      <c r="AF452" s="48"/>
    </row>
    <row r="453" spans="1:32" s="8" customFormat="1" x14ac:dyDescent="0.25">
      <c r="A453" s="42" t="s">
        <v>337</v>
      </c>
      <c r="B453" s="2" t="s">
        <v>147</v>
      </c>
      <c r="C453" s="2" t="s">
        <v>148</v>
      </c>
      <c r="D453" s="2" t="s">
        <v>346</v>
      </c>
      <c r="E453" s="31"/>
      <c r="F453" s="31"/>
      <c r="G453" s="15" t="s">
        <v>30</v>
      </c>
      <c r="H453" s="1" t="s">
        <v>272</v>
      </c>
      <c r="I453" s="1"/>
      <c r="J453" s="1"/>
      <c r="K453" s="1"/>
      <c r="L453" s="1"/>
      <c r="M453" s="1">
        <v>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48"/>
    </row>
    <row r="454" spans="1:32" s="8" customFormat="1" x14ac:dyDescent="0.25">
      <c r="A454" s="42" t="s">
        <v>337</v>
      </c>
      <c r="B454" s="2" t="s">
        <v>147</v>
      </c>
      <c r="C454" s="2" t="s">
        <v>148</v>
      </c>
      <c r="D454" s="2" t="s">
        <v>346</v>
      </c>
      <c r="E454" s="31"/>
      <c r="F454" s="31"/>
      <c r="G454" s="15" t="s">
        <v>30</v>
      </c>
      <c r="H454" s="1" t="s">
        <v>273</v>
      </c>
      <c r="I454" s="1"/>
      <c r="J454" s="1"/>
      <c r="K454" s="1"/>
      <c r="L454" s="1"/>
      <c r="M454" s="1"/>
      <c r="N454" s="1">
        <v>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48"/>
    </row>
    <row r="455" spans="1:32" s="8" customFormat="1" x14ac:dyDescent="0.25">
      <c r="A455" s="42" t="s">
        <v>337</v>
      </c>
      <c r="B455" s="2" t="s">
        <v>147</v>
      </c>
      <c r="C455" s="2" t="s">
        <v>148</v>
      </c>
      <c r="D455" s="2" t="s">
        <v>346</v>
      </c>
      <c r="E455" s="31"/>
      <c r="F455" s="31"/>
      <c r="G455" s="15" t="s">
        <v>30</v>
      </c>
      <c r="H455" s="1" t="s">
        <v>274</v>
      </c>
      <c r="I455" s="1"/>
      <c r="J455" s="1"/>
      <c r="K455" s="1"/>
      <c r="L455" s="1"/>
      <c r="M455" s="1"/>
      <c r="N455" s="1"/>
      <c r="O455" s="1">
        <v>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48"/>
    </row>
    <row r="456" spans="1:32" s="8" customFormat="1" ht="24" x14ac:dyDescent="0.25">
      <c r="A456" s="42" t="s">
        <v>337</v>
      </c>
      <c r="B456" s="2" t="s">
        <v>147</v>
      </c>
      <c r="C456" s="2" t="s">
        <v>148</v>
      </c>
      <c r="D456" s="15" t="s">
        <v>347</v>
      </c>
      <c r="E456" s="31">
        <v>7500</v>
      </c>
      <c r="F456" s="31">
        <v>0</v>
      </c>
      <c r="G456" s="15" t="s">
        <v>257</v>
      </c>
      <c r="H456" s="1" t="s">
        <v>255</v>
      </c>
      <c r="I456" s="1"/>
      <c r="J456" s="1">
        <v>1</v>
      </c>
      <c r="K456" s="1">
        <v>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48"/>
    </row>
    <row r="457" spans="1:32" s="8" customFormat="1" ht="24" x14ac:dyDescent="0.25">
      <c r="A457" s="42" t="s">
        <v>337</v>
      </c>
      <c r="B457" s="2" t="s">
        <v>147</v>
      </c>
      <c r="C457" s="2" t="s">
        <v>148</v>
      </c>
      <c r="D457" s="15" t="s">
        <v>347</v>
      </c>
      <c r="E457" s="31"/>
      <c r="F457" s="31"/>
      <c r="G457" s="15" t="s">
        <v>257</v>
      </c>
      <c r="H457" s="1" t="s">
        <v>261</v>
      </c>
      <c r="I457" s="1"/>
      <c r="J457" s="1"/>
      <c r="K457" s="1"/>
      <c r="L457" s="1"/>
      <c r="M457" s="1">
        <v>1</v>
      </c>
      <c r="N457" s="1"/>
      <c r="O457" s="1"/>
      <c r="P457" s="1">
        <v>1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48"/>
    </row>
    <row r="458" spans="1:32" s="8" customFormat="1" x14ac:dyDescent="0.25">
      <c r="A458" s="42" t="s">
        <v>337</v>
      </c>
      <c r="B458" s="2" t="s">
        <v>147</v>
      </c>
      <c r="C458" s="2" t="s">
        <v>148</v>
      </c>
      <c r="D458" s="15" t="s">
        <v>347</v>
      </c>
      <c r="E458" s="31"/>
      <c r="F458" s="31"/>
      <c r="G458" s="15" t="s">
        <v>256</v>
      </c>
      <c r="H458" s="1" t="s">
        <v>265</v>
      </c>
      <c r="I458" s="1"/>
      <c r="J458" s="1">
        <v>1</v>
      </c>
      <c r="K458" s="1">
        <v>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48"/>
    </row>
    <row r="459" spans="1:32" s="8" customFormat="1" ht="24" x14ac:dyDescent="0.25">
      <c r="A459" s="42" t="s">
        <v>337</v>
      </c>
      <c r="B459" s="2" t="s">
        <v>147</v>
      </c>
      <c r="C459" s="2" t="s">
        <v>148</v>
      </c>
      <c r="D459" s="15" t="s">
        <v>347</v>
      </c>
      <c r="E459" s="31"/>
      <c r="F459" s="31"/>
      <c r="G459" s="15" t="s">
        <v>257</v>
      </c>
      <c r="H459" s="1" t="s">
        <v>267</v>
      </c>
      <c r="I459" s="1"/>
      <c r="J459" s="1"/>
      <c r="K459" s="1"/>
      <c r="L459" s="1"/>
      <c r="M459" s="1"/>
      <c r="N459" s="1">
        <v>1</v>
      </c>
      <c r="O459" s="1"/>
      <c r="P459" s="1"/>
      <c r="Q459" s="1">
        <v>1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48"/>
    </row>
    <row r="460" spans="1:32" s="8" customFormat="1" x14ac:dyDescent="0.25">
      <c r="A460" s="42" t="s">
        <v>337</v>
      </c>
      <c r="B460" s="2" t="s">
        <v>147</v>
      </c>
      <c r="C460" s="2" t="s">
        <v>148</v>
      </c>
      <c r="D460" s="15" t="s">
        <v>347</v>
      </c>
      <c r="E460" s="31"/>
      <c r="F460" s="31"/>
      <c r="G460" s="15" t="s">
        <v>256</v>
      </c>
      <c r="H460" s="1" t="s">
        <v>269</v>
      </c>
      <c r="I460" s="1"/>
      <c r="J460" s="1"/>
      <c r="K460" s="1"/>
      <c r="L460" s="1">
        <v>1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48"/>
    </row>
    <row r="461" spans="1:32" s="8" customFormat="1" ht="24" x14ac:dyDescent="0.25">
      <c r="A461" s="42" t="s">
        <v>337</v>
      </c>
      <c r="B461" s="2" t="s">
        <v>147</v>
      </c>
      <c r="C461" s="2" t="s">
        <v>148</v>
      </c>
      <c r="D461" s="15" t="s">
        <v>347</v>
      </c>
      <c r="E461" s="31"/>
      <c r="F461" s="31"/>
      <c r="G461" s="15" t="s">
        <v>257</v>
      </c>
      <c r="H461" s="1" t="s">
        <v>272</v>
      </c>
      <c r="I461" s="1"/>
      <c r="J461" s="1"/>
      <c r="K461" s="1"/>
      <c r="L461" s="1"/>
      <c r="M461" s="1"/>
      <c r="N461" s="1"/>
      <c r="O461" s="1">
        <v>1</v>
      </c>
      <c r="P461" s="1"/>
      <c r="Q461" s="1"/>
      <c r="R461" s="1">
        <v>1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48"/>
    </row>
    <row r="462" spans="1:32" s="8" customFormat="1" ht="24" x14ac:dyDescent="0.25">
      <c r="A462" s="42" t="s">
        <v>337</v>
      </c>
      <c r="B462" s="2" t="s">
        <v>147</v>
      </c>
      <c r="C462" s="2" t="s">
        <v>148</v>
      </c>
      <c r="D462" s="15" t="s">
        <v>347</v>
      </c>
      <c r="E462" s="31"/>
      <c r="F462" s="31"/>
      <c r="G462" s="15" t="s">
        <v>257</v>
      </c>
      <c r="H462" s="1" t="s">
        <v>273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>
        <v>1</v>
      </c>
      <c r="T462" s="1">
        <v>1</v>
      </c>
      <c r="U462" s="1"/>
      <c r="V462" s="1"/>
      <c r="W462" s="1">
        <v>1</v>
      </c>
      <c r="X462" s="1"/>
      <c r="Y462" s="1"/>
      <c r="Z462" s="1"/>
      <c r="AA462" s="1"/>
      <c r="AB462" s="1"/>
      <c r="AC462" s="1"/>
      <c r="AD462" s="1"/>
      <c r="AE462" s="1"/>
      <c r="AF462" s="48"/>
    </row>
    <row r="463" spans="1:32" s="8" customFormat="1" ht="24" x14ac:dyDescent="0.25">
      <c r="A463" s="42" t="s">
        <v>337</v>
      </c>
      <c r="B463" s="2" t="s">
        <v>147</v>
      </c>
      <c r="C463" s="2" t="s">
        <v>148</v>
      </c>
      <c r="D463" s="15" t="s">
        <v>347</v>
      </c>
      <c r="E463" s="31"/>
      <c r="F463" s="31"/>
      <c r="G463" s="15" t="s">
        <v>257</v>
      </c>
      <c r="H463" s="1" t="s">
        <v>274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>
        <v>1</v>
      </c>
      <c r="AB463" s="1"/>
      <c r="AC463" s="1">
        <v>1</v>
      </c>
      <c r="AD463" s="1"/>
      <c r="AE463" s="1"/>
      <c r="AF463" s="48"/>
    </row>
    <row r="464" spans="1:32" s="8" customFormat="1" ht="24" x14ac:dyDescent="0.25">
      <c r="A464" s="42" t="s">
        <v>337</v>
      </c>
      <c r="B464" s="2" t="s">
        <v>147</v>
      </c>
      <c r="C464" s="2" t="s">
        <v>148</v>
      </c>
      <c r="D464" s="15" t="s">
        <v>347</v>
      </c>
      <c r="E464" s="31"/>
      <c r="F464" s="31"/>
      <c r="G464" s="15" t="s">
        <v>257</v>
      </c>
      <c r="H464" s="1" t="s">
        <v>275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>
        <v>1</v>
      </c>
      <c r="Z464" s="1">
        <v>1</v>
      </c>
      <c r="AA464" s="1"/>
      <c r="AB464" s="1"/>
      <c r="AC464" s="1"/>
      <c r="AD464" s="1"/>
      <c r="AE464" s="1"/>
      <c r="AF464" s="48"/>
    </row>
    <row r="465" spans="1:32" s="8" customFormat="1" x14ac:dyDescent="0.25">
      <c r="A465" s="42" t="s">
        <v>337</v>
      </c>
      <c r="B465" s="2" t="s">
        <v>149</v>
      </c>
      <c r="C465" s="2" t="s">
        <v>150</v>
      </c>
      <c r="D465" s="15" t="s">
        <v>346</v>
      </c>
      <c r="E465" s="34">
        <v>800</v>
      </c>
      <c r="F465" s="34">
        <v>512</v>
      </c>
      <c r="G465" s="15" t="s">
        <v>263</v>
      </c>
      <c r="H465" s="1" t="s">
        <v>265</v>
      </c>
      <c r="I465" s="1"/>
      <c r="J465" s="1"/>
      <c r="K465" s="1">
        <v>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48"/>
    </row>
    <row r="466" spans="1:32" s="8" customFormat="1" x14ac:dyDescent="0.25">
      <c r="A466" s="42" t="s">
        <v>337</v>
      </c>
      <c r="B466" s="2" t="s">
        <v>149</v>
      </c>
      <c r="C466" s="2" t="s">
        <v>150</v>
      </c>
      <c r="D466" s="15" t="s">
        <v>346</v>
      </c>
      <c r="E466" s="34"/>
      <c r="F466" s="34"/>
      <c r="G466" s="15" t="s">
        <v>258</v>
      </c>
      <c r="H466" s="1" t="s">
        <v>267</v>
      </c>
      <c r="I466" s="1"/>
      <c r="J466" s="1">
        <v>1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48"/>
    </row>
    <row r="467" spans="1:32" s="8" customFormat="1" x14ac:dyDescent="0.25">
      <c r="A467" s="42" t="s">
        <v>337</v>
      </c>
      <c r="B467" s="2" t="s">
        <v>149</v>
      </c>
      <c r="C467" s="2" t="s">
        <v>150</v>
      </c>
      <c r="D467" s="15" t="s">
        <v>346</v>
      </c>
      <c r="E467" s="34"/>
      <c r="F467" s="34"/>
      <c r="G467" s="15" t="s">
        <v>258</v>
      </c>
      <c r="H467" s="1" t="s">
        <v>269</v>
      </c>
      <c r="I467" s="1"/>
      <c r="J467" s="1"/>
      <c r="K467" s="1"/>
      <c r="L467" s="1"/>
      <c r="M467" s="1"/>
      <c r="N467" s="1"/>
      <c r="O467" s="1">
        <v>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48"/>
    </row>
    <row r="468" spans="1:32" s="8" customFormat="1" x14ac:dyDescent="0.25">
      <c r="A468" s="42" t="s">
        <v>337</v>
      </c>
      <c r="B468" s="2" t="s">
        <v>149</v>
      </c>
      <c r="C468" s="2" t="s">
        <v>150</v>
      </c>
      <c r="D468" s="15" t="s">
        <v>346</v>
      </c>
      <c r="E468" s="15"/>
      <c r="F468" s="15"/>
      <c r="G468" s="15" t="s">
        <v>258</v>
      </c>
      <c r="H468" s="1" t="s">
        <v>272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>
        <v>1</v>
      </c>
      <c r="W468" s="1"/>
      <c r="X468" s="1"/>
      <c r="Y468" s="1"/>
      <c r="Z468" s="1"/>
      <c r="AA468" s="1"/>
      <c r="AB468" s="1"/>
      <c r="AC468" s="1"/>
      <c r="AD468" s="1"/>
      <c r="AE468" s="1"/>
      <c r="AF468" s="48"/>
    </row>
    <row r="469" spans="1:32" s="8" customFormat="1" x14ac:dyDescent="0.25">
      <c r="A469" s="42" t="s">
        <v>337</v>
      </c>
      <c r="B469" s="2" t="s">
        <v>149</v>
      </c>
      <c r="C469" s="2" t="s">
        <v>150</v>
      </c>
      <c r="D469" s="15" t="s">
        <v>346</v>
      </c>
      <c r="E469" s="15"/>
      <c r="F469" s="15"/>
      <c r="G469" s="15" t="s">
        <v>258</v>
      </c>
      <c r="H469" s="1" t="s">
        <v>273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>
        <v>1</v>
      </c>
      <c r="AE469" s="1"/>
      <c r="AF469" s="48"/>
    </row>
    <row r="470" spans="1:32" s="8" customFormat="1" x14ac:dyDescent="0.25">
      <c r="A470" s="42" t="s">
        <v>337</v>
      </c>
      <c r="B470" s="2" t="s">
        <v>149</v>
      </c>
      <c r="C470" s="2" t="s">
        <v>150</v>
      </c>
      <c r="D470" s="15" t="s">
        <v>346</v>
      </c>
      <c r="E470" s="15"/>
      <c r="F470" s="15"/>
      <c r="G470" s="15" t="s">
        <v>30</v>
      </c>
      <c r="H470" s="1" t="s">
        <v>265</v>
      </c>
      <c r="I470" s="1"/>
      <c r="J470" s="1"/>
      <c r="K470" s="1"/>
      <c r="L470" s="1"/>
      <c r="M470" s="1"/>
      <c r="N470" s="1"/>
      <c r="O470" s="1">
        <v>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48"/>
    </row>
    <row r="471" spans="1:32" s="8" customFormat="1" x14ac:dyDescent="0.25">
      <c r="A471" s="42" t="s">
        <v>337</v>
      </c>
      <c r="B471" s="2" t="s">
        <v>149</v>
      </c>
      <c r="C471" s="2" t="s">
        <v>150</v>
      </c>
      <c r="D471" s="15" t="s">
        <v>346</v>
      </c>
      <c r="E471" s="15"/>
      <c r="F471" s="15"/>
      <c r="G471" s="15" t="s">
        <v>30</v>
      </c>
      <c r="H471" s="1" t="s">
        <v>267</v>
      </c>
      <c r="I471" s="1"/>
      <c r="J471" s="1"/>
      <c r="K471" s="1"/>
      <c r="L471" s="1"/>
      <c r="M471" s="1"/>
      <c r="N471" s="1"/>
      <c r="O471" s="1"/>
      <c r="P471" s="1">
        <v>1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48"/>
    </row>
    <row r="472" spans="1:32" s="8" customFormat="1" x14ac:dyDescent="0.25">
      <c r="A472" s="42" t="s">
        <v>337</v>
      </c>
      <c r="B472" s="2" t="s">
        <v>149</v>
      </c>
      <c r="C472" s="2" t="s">
        <v>150</v>
      </c>
      <c r="D472" s="15" t="s">
        <v>346</v>
      </c>
      <c r="E472" s="15"/>
      <c r="F472" s="15"/>
      <c r="G472" s="15" t="s">
        <v>30</v>
      </c>
      <c r="H472" s="1" t="s">
        <v>269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>
        <v>1</v>
      </c>
      <c r="AE472" s="1"/>
      <c r="AF472" s="48"/>
    </row>
    <row r="473" spans="1:32" s="8" customFormat="1" ht="24" x14ac:dyDescent="0.25">
      <c r="A473" s="42" t="s">
        <v>337</v>
      </c>
      <c r="B473" s="2" t="s">
        <v>149</v>
      </c>
      <c r="C473" s="2" t="s">
        <v>150</v>
      </c>
      <c r="D473" s="15" t="s">
        <v>347</v>
      </c>
      <c r="E473" s="34">
        <v>7000</v>
      </c>
      <c r="F473" s="34">
        <v>0</v>
      </c>
      <c r="G473" s="15" t="s">
        <v>257</v>
      </c>
      <c r="H473" s="1" t="s">
        <v>255</v>
      </c>
      <c r="I473" s="1"/>
      <c r="J473" s="1"/>
      <c r="K473" s="1"/>
      <c r="L473" s="1"/>
      <c r="M473" s="1"/>
      <c r="N473" s="1">
        <v>1</v>
      </c>
      <c r="O473" s="1">
        <v>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48"/>
    </row>
    <row r="474" spans="1:32" s="8" customFormat="1" ht="24" x14ac:dyDescent="0.25">
      <c r="A474" s="42" t="s">
        <v>337</v>
      </c>
      <c r="B474" s="2" t="s">
        <v>149</v>
      </c>
      <c r="C474" s="2" t="s">
        <v>150</v>
      </c>
      <c r="D474" s="15" t="s">
        <v>347</v>
      </c>
      <c r="E474" s="15"/>
      <c r="F474" s="15"/>
      <c r="G474" s="15" t="s">
        <v>257</v>
      </c>
      <c r="H474" s="1" t="s">
        <v>261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1</v>
      </c>
      <c r="X474" s="1">
        <v>1</v>
      </c>
      <c r="Y474" s="1"/>
      <c r="Z474" s="1"/>
      <c r="AA474" s="1"/>
      <c r="AB474" s="1"/>
      <c r="AC474" s="1"/>
      <c r="AD474" s="1"/>
      <c r="AE474" s="1"/>
      <c r="AF474" s="48"/>
    </row>
    <row r="475" spans="1:32" s="8" customFormat="1" x14ac:dyDescent="0.25">
      <c r="A475" s="42" t="s">
        <v>337</v>
      </c>
      <c r="B475" s="2" t="s">
        <v>149</v>
      </c>
      <c r="C475" s="2" t="s">
        <v>150</v>
      </c>
      <c r="D475" s="15" t="s">
        <v>347</v>
      </c>
      <c r="E475" s="15"/>
      <c r="F475" s="15"/>
      <c r="G475" s="15" t="s">
        <v>256</v>
      </c>
      <c r="H475" s="1" t="s">
        <v>265</v>
      </c>
      <c r="I475" s="1"/>
      <c r="J475" s="1">
        <v>1</v>
      </c>
      <c r="K475" s="1">
        <v>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48"/>
    </row>
    <row r="476" spans="1:32" s="8" customFormat="1" ht="24" x14ac:dyDescent="0.25">
      <c r="A476" s="42" t="s">
        <v>337</v>
      </c>
      <c r="B476" s="2" t="s">
        <v>149</v>
      </c>
      <c r="C476" s="2" t="s">
        <v>150</v>
      </c>
      <c r="D476" s="15" t="s">
        <v>347</v>
      </c>
      <c r="E476" s="15"/>
      <c r="F476" s="15"/>
      <c r="G476" s="15" t="s">
        <v>257</v>
      </c>
      <c r="H476" s="1" t="s">
        <v>267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>
        <v>1</v>
      </c>
      <c r="Z476" s="1">
        <v>1</v>
      </c>
      <c r="AA476" s="1"/>
      <c r="AB476" s="1"/>
      <c r="AC476" s="1"/>
      <c r="AD476" s="1"/>
      <c r="AE476" s="1"/>
      <c r="AF476" s="48"/>
    </row>
    <row r="477" spans="1:32" s="8" customFormat="1" x14ac:dyDescent="0.25">
      <c r="A477" s="42" t="s">
        <v>337</v>
      </c>
      <c r="B477" s="2" t="s">
        <v>149</v>
      </c>
      <c r="C477" s="2" t="s">
        <v>150</v>
      </c>
      <c r="D477" s="15" t="s">
        <v>347</v>
      </c>
      <c r="E477" s="15"/>
      <c r="F477" s="15"/>
      <c r="G477" s="15" t="s">
        <v>256</v>
      </c>
      <c r="H477" s="1" t="s">
        <v>269</v>
      </c>
      <c r="I477" s="1"/>
      <c r="J477" s="1"/>
      <c r="K477" s="1"/>
      <c r="L477" s="1">
        <v>1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48"/>
    </row>
    <row r="478" spans="1:32" s="8" customFormat="1" ht="24" x14ac:dyDescent="0.25">
      <c r="A478" s="42" t="s">
        <v>337</v>
      </c>
      <c r="B478" s="2" t="s">
        <v>149</v>
      </c>
      <c r="C478" s="2" t="s">
        <v>150</v>
      </c>
      <c r="D478" s="15" t="s">
        <v>347</v>
      </c>
      <c r="E478" s="15"/>
      <c r="F478" s="15"/>
      <c r="G478" s="15" t="s">
        <v>257</v>
      </c>
      <c r="H478" s="1" t="s">
        <v>272</v>
      </c>
      <c r="I478" s="1"/>
      <c r="J478" s="1"/>
      <c r="K478" s="1"/>
      <c r="L478" s="1"/>
      <c r="M478" s="1"/>
      <c r="N478" s="1"/>
      <c r="O478" s="1"/>
      <c r="P478" s="1"/>
      <c r="Q478" s="1">
        <v>1</v>
      </c>
      <c r="R478" s="1">
        <v>1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48"/>
    </row>
    <row r="479" spans="1:32" s="8" customFormat="1" ht="24" x14ac:dyDescent="0.25">
      <c r="A479" s="42" t="s">
        <v>337</v>
      </c>
      <c r="B479" s="2" t="s">
        <v>149</v>
      </c>
      <c r="C479" s="2" t="s">
        <v>150</v>
      </c>
      <c r="D479" s="15" t="s">
        <v>347</v>
      </c>
      <c r="E479" s="15"/>
      <c r="F479" s="15"/>
      <c r="G479" s="15" t="s">
        <v>257</v>
      </c>
      <c r="H479" s="1" t="s">
        <v>273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>
        <v>1</v>
      </c>
      <c r="U479" s="1">
        <v>1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48"/>
    </row>
    <row r="480" spans="1:32" s="8" customFormat="1" ht="24" x14ac:dyDescent="0.25">
      <c r="A480" s="42" t="s">
        <v>337</v>
      </c>
      <c r="B480" s="2" t="s">
        <v>149</v>
      </c>
      <c r="C480" s="2" t="s">
        <v>150</v>
      </c>
      <c r="D480" s="15" t="s">
        <v>347</v>
      </c>
      <c r="E480" s="15"/>
      <c r="F480" s="15"/>
      <c r="G480" s="15" t="s">
        <v>257</v>
      </c>
      <c r="H480" s="1" t="s">
        <v>274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>
        <v>1</v>
      </c>
      <c r="AB480" s="1"/>
      <c r="AC480" s="1">
        <v>1</v>
      </c>
      <c r="AD480" s="1"/>
      <c r="AE480" s="1"/>
      <c r="AF480" s="48"/>
    </row>
    <row r="481" spans="1:32" s="8" customFormat="1" ht="24" x14ac:dyDescent="0.25">
      <c r="A481" s="42" t="s">
        <v>337</v>
      </c>
      <c r="B481" s="2" t="s">
        <v>149</v>
      </c>
      <c r="C481" s="2" t="s">
        <v>150</v>
      </c>
      <c r="D481" s="15" t="s">
        <v>347</v>
      </c>
      <c r="E481" s="15"/>
      <c r="F481" s="15"/>
      <c r="G481" s="15" t="s">
        <v>257</v>
      </c>
      <c r="H481" s="1" t="s">
        <v>275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>
        <v>1</v>
      </c>
      <c r="W481" s="1"/>
      <c r="X481" s="1"/>
      <c r="Y481" s="1"/>
      <c r="Z481" s="1"/>
      <c r="AA481" s="1"/>
      <c r="AB481" s="1"/>
      <c r="AC481" s="1"/>
      <c r="AD481" s="1">
        <v>1</v>
      </c>
      <c r="AE481" s="1"/>
      <c r="AF481" s="48"/>
    </row>
    <row r="482" spans="1:32" s="8" customFormat="1" x14ac:dyDescent="0.25">
      <c r="A482" s="42" t="s">
        <v>337</v>
      </c>
      <c r="B482" s="15" t="s">
        <v>151</v>
      </c>
      <c r="C482" s="2" t="s">
        <v>152</v>
      </c>
      <c r="D482" s="15" t="s">
        <v>346</v>
      </c>
      <c r="E482" s="34">
        <v>400</v>
      </c>
      <c r="F482" s="34">
        <v>527</v>
      </c>
      <c r="G482" s="15" t="s">
        <v>258</v>
      </c>
      <c r="H482" s="1" t="s">
        <v>255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>
        <v>1</v>
      </c>
      <c r="AB482" s="1"/>
      <c r="AC482" s="1"/>
      <c r="AD482" s="1"/>
      <c r="AE482" s="1"/>
      <c r="AF482" s="48"/>
    </row>
    <row r="483" spans="1:32" s="8" customFormat="1" x14ac:dyDescent="0.25">
      <c r="A483" s="42" t="s">
        <v>337</v>
      </c>
      <c r="B483" s="15" t="s">
        <v>151</v>
      </c>
      <c r="C483" s="2" t="s">
        <v>152</v>
      </c>
      <c r="D483" s="15" t="s">
        <v>346</v>
      </c>
      <c r="E483" s="34"/>
      <c r="F483" s="34"/>
      <c r="G483" s="15" t="s">
        <v>258</v>
      </c>
      <c r="H483" s="1" t="s">
        <v>267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>
        <v>1</v>
      </c>
      <c r="AE483" s="1"/>
      <c r="AF483" s="48"/>
    </row>
    <row r="484" spans="1:32" s="8" customFormat="1" x14ac:dyDescent="0.25">
      <c r="A484" s="42" t="s">
        <v>337</v>
      </c>
      <c r="B484" s="15" t="s">
        <v>151</v>
      </c>
      <c r="C484" s="2" t="s">
        <v>152</v>
      </c>
      <c r="D484" s="15" t="s">
        <v>346</v>
      </c>
      <c r="E484" s="34"/>
      <c r="F484" s="34"/>
      <c r="G484" s="15" t="s">
        <v>30</v>
      </c>
      <c r="H484" s="1" t="s">
        <v>255</v>
      </c>
      <c r="I484" s="1"/>
      <c r="J484" s="1">
        <v>1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48"/>
    </row>
    <row r="485" spans="1:32" s="8" customFormat="1" x14ac:dyDescent="0.25">
      <c r="A485" s="42" t="s">
        <v>337</v>
      </c>
      <c r="B485" s="15" t="s">
        <v>151</v>
      </c>
      <c r="C485" s="2" t="s">
        <v>152</v>
      </c>
      <c r="D485" s="15" t="s">
        <v>346</v>
      </c>
      <c r="E485" s="34"/>
      <c r="F485" s="34"/>
      <c r="G485" s="15" t="s">
        <v>30</v>
      </c>
      <c r="H485" s="1" t="s">
        <v>261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48">
        <v>1</v>
      </c>
    </row>
    <row r="486" spans="1:32" s="8" customFormat="1" x14ac:dyDescent="0.25">
      <c r="A486" s="42" t="s">
        <v>337</v>
      </c>
      <c r="B486" s="15" t="s">
        <v>151</v>
      </c>
      <c r="C486" s="2" t="s">
        <v>152</v>
      </c>
      <c r="D486" s="15" t="s">
        <v>346</v>
      </c>
      <c r="E486" s="15"/>
      <c r="F486" s="15"/>
      <c r="G486" s="15" t="s">
        <v>30</v>
      </c>
      <c r="H486" s="1" t="s">
        <v>265</v>
      </c>
      <c r="I486" s="1"/>
      <c r="J486" s="1"/>
      <c r="K486" s="1"/>
      <c r="L486" s="1"/>
      <c r="M486" s="1"/>
      <c r="N486" s="1"/>
      <c r="O486" s="1">
        <v>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48"/>
    </row>
    <row r="487" spans="1:32" s="8" customFormat="1" ht="24" x14ac:dyDescent="0.25">
      <c r="A487" s="42" t="s">
        <v>337</v>
      </c>
      <c r="B487" s="15" t="s">
        <v>151</v>
      </c>
      <c r="C487" s="2" t="s">
        <v>152</v>
      </c>
      <c r="D487" s="15" t="s">
        <v>347</v>
      </c>
      <c r="E487" s="34">
        <v>1200</v>
      </c>
      <c r="F487" s="34">
        <v>0</v>
      </c>
      <c r="G487" s="15" t="s">
        <v>257</v>
      </c>
      <c r="H487" s="1" t="s">
        <v>265</v>
      </c>
      <c r="I487" s="1"/>
      <c r="J487" s="1"/>
      <c r="K487" s="1"/>
      <c r="L487" s="1"/>
      <c r="M487" s="1">
        <v>1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48"/>
    </row>
    <row r="488" spans="1:32" s="8" customFormat="1" ht="24" x14ac:dyDescent="0.25">
      <c r="A488" s="42" t="s">
        <v>337</v>
      </c>
      <c r="B488" s="15" t="s">
        <v>151</v>
      </c>
      <c r="C488" s="2" t="s">
        <v>152</v>
      </c>
      <c r="D488" s="15" t="s">
        <v>347</v>
      </c>
      <c r="E488" s="34"/>
      <c r="F488" s="34"/>
      <c r="G488" s="15" t="s">
        <v>257</v>
      </c>
      <c r="H488" s="1" t="s">
        <v>269</v>
      </c>
      <c r="I488" s="1"/>
      <c r="J488" s="1"/>
      <c r="K488" s="1"/>
      <c r="L488" s="1"/>
      <c r="M488" s="1"/>
      <c r="N488" s="1"/>
      <c r="O488" s="1">
        <v>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48"/>
    </row>
    <row r="489" spans="1:32" s="8" customFormat="1" ht="24" x14ac:dyDescent="0.25">
      <c r="A489" s="42" t="s">
        <v>337</v>
      </c>
      <c r="B489" s="15" t="s">
        <v>151</v>
      </c>
      <c r="C489" s="2" t="s">
        <v>152</v>
      </c>
      <c r="D489" s="15" t="s">
        <v>347</v>
      </c>
      <c r="E489" s="34"/>
      <c r="F489" s="34"/>
      <c r="G489" s="15" t="s">
        <v>257</v>
      </c>
      <c r="H489" s="1" t="s">
        <v>273</v>
      </c>
      <c r="I489" s="1"/>
      <c r="J489" s="1">
        <v>1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48"/>
    </row>
    <row r="490" spans="1:32" s="8" customFormat="1" x14ac:dyDescent="0.25">
      <c r="A490" s="42" t="s">
        <v>337</v>
      </c>
      <c r="B490" s="2" t="s">
        <v>153</v>
      </c>
      <c r="C490" s="2" t="s">
        <v>154</v>
      </c>
      <c r="D490" s="15" t="s">
        <v>346</v>
      </c>
      <c r="E490" s="34">
        <v>600</v>
      </c>
      <c r="F490" s="34">
        <v>100</v>
      </c>
      <c r="G490" s="15" t="s">
        <v>258</v>
      </c>
      <c r="H490" s="1" t="s">
        <v>261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>
        <v>1</v>
      </c>
      <c r="AB490" s="1"/>
      <c r="AC490" s="1"/>
      <c r="AD490" s="1"/>
      <c r="AE490" s="1"/>
      <c r="AF490" s="48"/>
    </row>
    <row r="491" spans="1:32" s="8" customFormat="1" x14ac:dyDescent="0.25">
      <c r="A491" s="42" t="s">
        <v>337</v>
      </c>
      <c r="B491" s="2" t="s">
        <v>153</v>
      </c>
      <c r="C491" s="2" t="s">
        <v>154</v>
      </c>
      <c r="D491" s="15" t="s">
        <v>346</v>
      </c>
      <c r="E491" s="34"/>
      <c r="F491" s="34"/>
      <c r="G491" s="15" t="s">
        <v>258</v>
      </c>
      <c r="H491" s="1" t="s">
        <v>267</v>
      </c>
      <c r="I491" s="1"/>
      <c r="J491" s="1">
        <v>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48"/>
    </row>
    <row r="492" spans="1:32" s="8" customFormat="1" x14ac:dyDescent="0.25">
      <c r="A492" s="42" t="s">
        <v>337</v>
      </c>
      <c r="B492" s="2" t="s">
        <v>153</v>
      </c>
      <c r="C492" s="2" t="s">
        <v>154</v>
      </c>
      <c r="D492" s="15" t="s">
        <v>346</v>
      </c>
      <c r="E492" s="15"/>
      <c r="F492" s="15"/>
      <c r="G492" s="15" t="s">
        <v>258</v>
      </c>
      <c r="H492" s="1" t="s">
        <v>273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>
        <v>1</v>
      </c>
      <c r="W492" s="1"/>
      <c r="X492" s="1"/>
      <c r="Y492" s="1"/>
      <c r="Z492" s="1"/>
      <c r="AA492" s="1"/>
      <c r="AB492" s="1"/>
      <c r="AC492" s="1"/>
      <c r="AD492" s="1"/>
      <c r="AE492" s="1"/>
      <c r="AF492" s="48"/>
    </row>
    <row r="493" spans="1:32" s="8" customFormat="1" x14ac:dyDescent="0.25">
      <c r="A493" s="42" t="s">
        <v>337</v>
      </c>
      <c r="B493" s="2" t="s">
        <v>153</v>
      </c>
      <c r="C493" s="2" t="s">
        <v>154</v>
      </c>
      <c r="D493" s="15" t="s">
        <v>346</v>
      </c>
      <c r="E493" s="15"/>
      <c r="F493" s="15"/>
      <c r="G493" s="15" t="s">
        <v>258</v>
      </c>
      <c r="H493" s="1" t="s">
        <v>276</v>
      </c>
      <c r="I493" s="1"/>
      <c r="J493" s="1"/>
      <c r="K493" s="1"/>
      <c r="L493" s="1"/>
      <c r="M493" s="1"/>
      <c r="N493" s="1"/>
      <c r="O493" s="1">
        <v>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48"/>
    </row>
    <row r="494" spans="1:32" s="8" customFormat="1" x14ac:dyDescent="0.25">
      <c r="A494" s="42" t="s">
        <v>337</v>
      </c>
      <c r="B494" s="2" t="s">
        <v>153</v>
      </c>
      <c r="C494" s="2" t="s">
        <v>154</v>
      </c>
      <c r="D494" s="15" t="s">
        <v>346</v>
      </c>
      <c r="E494" s="15"/>
      <c r="F494" s="15"/>
      <c r="G494" s="15" t="s">
        <v>30</v>
      </c>
      <c r="H494" s="1" t="s">
        <v>261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>
        <v>1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48"/>
    </row>
    <row r="495" spans="1:32" s="8" customFormat="1" ht="24" x14ac:dyDescent="0.25">
      <c r="A495" s="42" t="s">
        <v>337</v>
      </c>
      <c r="B495" s="2" t="s">
        <v>153</v>
      </c>
      <c r="C495" s="2" t="s">
        <v>154</v>
      </c>
      <c r="D495" s="15" t="s">
        <v>347</v>
      </c>
      <c r="E495" s="34">
        <v>1650</v>
      </c>
      <c r="F495" s="34">
        <v>0</v>
      </c>
      <c r="G495" s="15" t="s">
        <v>257</v>
      </c>
      <c r="H495" s="1" t="s">
        <v>261</v>
      </c>
      <c r="I495" s="1"/>
      <c r="J495" s="1"/>
      <c r="K495" s="1"/>
      <c r="L495" s="1"/>
      <c r="M495" s="1">
        <v>1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48"/>
    </row>
    <row r="496" spans="1:32" s="8" customFormat="1" ht="24" x14ac:dyDescent="0.25">
      <c r="A496" s="42" t="s">
        <v>337</v>
      </c>
      <c r="B496" s="2" t="s">
        <v>153</v>
      </c>
      <c r="C496" s="2" t="s">
        <v>154</v>
      </c>
      <c r="D496" s="15" t="s">
        <v>347</v>
      </c>
      <c r="E496" s="15"/>
      <c r="F496" s="15"/>
      <c r="G496" s="15" t="s">
        <v>257</v>
      </c>
      <c r="H496" s="1" t="s">
        <v>267</v>
      </c>
      <c r="I496" s="1"/>
      <c r="J496" s="1"/>
      <c r="K496" s="1"/>
      <c r="L496" s="1"/>
      <c r="M496" s="1"/>
      <c r="N496" s="1">
        <v>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48"/>
    </row>
    <row r="497" spans="1:32" s="8" customFormat="1" ht="24" x14ac:dyDescent="0.25">
      <c r="A497" s="42" t="s">
        <v>337</v>
      </c>
      <c r="B497" s="2" t="s">
        <v>153</v>
      </c>
      <c r="C497" s="2" t="s">
        <v>154</v>
      </c>
      <c r="D497" s="15" t="s">
        <v>347</v>
      </c>
      <c r="E497" s="15"/>
      <c r="F497" s="15"/>
      <c r="G497" s="15" t="s">
        <v>257</v>
      </c>
      <c r="H497" s="1" t="s">
        <v>272</v>
      </c>
      <c r="I497" s="1"/>
      <c r="J497" s="1"/>
      <c r="K497" s="1"/>
      <c r="L497" s="1"/>
      <c r="M497" s="1"/>
      <c r="N497" s="1"/>
      <c r="O497" s="1">
        <v>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48"/>
    </row>
    <row r="498" spans="1:32" s="8" customFormat="1" ht="24" x14ac:dyDescent="0.25">
      <c r="A498" s="42" t="s">
        <v>337</v>
      </c>
      <c r="B498" s="2" t="s">
        <v>153</v>
      </c>
      <c r="C498" s="2" t="s">
        <v>154</v>
      </c>
      <c r="D498" s="15" t="s">
        <v>347</v>
      </c>
      <c r="E498" s="15"/>
      <c r="F498" s="15"/>
      <c r="G498" s="15" t="s">
        <v>257</v>
      </c>
      <c r="H498" s="1" t="s">
        <v>274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>
        <v>1</v>
      </c>
      <c r="AE498" s="1"/>
      <c r="AF498" s="48"/>
    </row>
    <row r="499" spans="1:32" s="8" customFormat="1" x14ac:dyDescent="0.25">
      <c r="A499" s="42" t="s">
        <v>337</v>
      </c>
      <c r="B499" s="2" t="s">
        <v>155</v>
      </c>
      <c r="C499" s="2" t="s">
        <v>156</v>
      </c>
      <c r="D499" s="15" t="s">
        <v>346</v>
      </c>
      <c r="E499" s="34">
        <v>600</v>
      </c>
      <c r="F499" s="34">
        <v>100</v>
      </c>
      <c r="G499" s="15" t="s">
        <v>258</v>
      </c>
      <c r="H499" s="1" t="s">
        <v>261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>
        <v>1</v>
      </c>
      <c r="AB499" s="1"/>
      <c r="AC499" s="1"/>
      <c r="AD499" s="1"/>
      <c r="AE499" s="1"/>
      <c r="AF499" s="48"/>
    </row>
    <row r="500" spans="1:32" s="8" customFormat="1" x14ac:dyDescent="0.25">
      <c r="A500" s="42" t="s">
        <v>337</v>
      </c>
      <c r="B500" s="2" t="s">
        <v>155</v>
      </c>
      <c r="C500" s="2" t="s">
        <v>156</v>
      </c>
      <c r="D500" s="15" t="s">
        <v>346</v>
      </c>
      <c r="E500" s="34"/>
      <c r="F500" s="34"/>
      <c r="G500" s="15" t="s">
        <v>258</v>
      </c>
      <c r="H500" s="1" t="s">
        <v>267</v>
      </c>
      <c r="I500" s="1"/>
      <c r="J500" s="1"/>
      <c r="K500" s="1">
        <v>1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48"/>
    </row>
    <row r="501" spans="1:32" s="8" customFormat="1" x14ac:dyDescent="0.25">
      <c r="A501" s="42" t="s">
        <v>337</v>
      </c>
      <c r="B501" s="2" t="s">
        <v>155</v>
      </c>
      <c r="C501" s="2" t="s">
        <v>156</v>
      </c>
      <c r="D501" s="15" t="s">
        <v>346</v>
      </c>
      <c r="E501" s="34"/>
      <c r="F501" s="34"/>
      <c r="G501" s="15" t="s">
        <v>258</v>
      </c>
      <c r="H501" s="1" t="s">
        <v>272</v>
      </c>
      <c r="I501" s="1"/>
      <c r="J501" s="1"/>
      <c r="K501" s="1"/>
      <c r="L501" s="1"/>
      <c r="M501" s="1"/>
      <c r="N501" s="1"/>
      <c r="O501" s="1">
        <v>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48"/>
    </row>
    <row r="502" spans="1:32" s="8" customFormat="1" x14ac:dyDescent="0.25">
      <c r="A502" s="42" t="s">
        <v>337</v>
      </c>
      <c r="B502" s="2" t="s">
        <v>155</v>
      </c>
      <c r="C502" s="2" t="s">
        <v>156</v>
      </c>
      <c r="D502" s="15" t="s">
        <v>346</v>
      </c>
      <c r="E502" s="34"/>
      <c r="F502" s="34"/>
      <c r="G502" s="15" t="s">
        <v>258</v>
      </c>
      <c r="H502" s="1" t="s">
        <v>274</v>
      </c>
      <c r="I502" s="1"/>
      <c r="J502" s="1"/>
      <c r="K502" s="1"/>
      <c r="L502" s="1"/>
      <c r="M502" s="1"/>
      <c r="N502" s="1"/>
      <c r="O502" s="1"/>
      <c r="P502" s="1"/>
      <c r="Q502" s="1"/>
      <c r="R502" s="1">
        <v>1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48"/>
    </row>
    <row r="503" spans="1:32" s="8" customFormat="1" x14ac:dyDescent="0.25">
      <c r="A503" s="42" t="s">
        <v>337</v>
      </c>
      <c r="B503" s="2" t="s">
        <v>155</v>
      </c>
      <c r="C503" s="2" t="s">
        <v>156</v>
      </c>
      <c r="D503" s="15" t="s">
        <v>346</v>
      </c>
      <c r="E503" s="15"/>
      <c r="F503" s="15"/>
      <c r="G503" s="15" t="s">
        <v>30</v>
      </c>
      <c r="H503" s="1" t="s">
        <v>261</v>
      </c>
      <c r="I503" s="1"/>
      <c r="J503" s="1">
        <v>1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48"/>
    </row>
    <row r="504" spans="1:32" s="8" customFormat="1" ht="24" x14ac:dyDescent="0.25">
      <c r="A504" s="42" t="s">
        <v>337</v>
      </c>
      <c r="B504" s="2" t="s">
        <v>155</v>
      </c>
      <c r="C504" s="2" t="s">
        <v>156</v>
      </c>
      <c r="D504" s="15" t="s">
        <v>347</v>
      </c>
      <c r="E504" s="34">
        <v>1650</v>
      </c>
      <c r="F504" s="34">
        <v>0</v>
      </c>
      <c r="G504" s="15" t="s">
        <v>257</v>
      </c>
      <c r="H504" s="1" t="s">
        <v>261</v>
      </c>
      <c r="I504" s="1"/>
      <c r="J504" s="1"/>
      <c r="K504" s="1"/>
      <c r="L504" s="1"/>
      <c r="M504" s="1"/>
      <c r="N504" s="1"/>
      <c r="O504" s="1">
        <v>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48"/>
    </row>
    <row r="505" spans="1:32" s="8" customFormat="1" ht="24" x14ac:dyDescent="0.25">
      <c r="A505" s="42" t="s">
        <v>337</v>
      </c>
      <c r="B505" s="2" t="s">
        <v>155</v>
      </c>
      <c r="C505" s="2" t="s">
        <v>156</v>
      </c>
      <c r="D505" s="15" t="s">
        <v>347</v>
      </c>
      <c r="E505" s="15"/>
      <c r="F505" s="15"/>
      <c r="G505" s="15" t="s">
        <v>257</v>
      </c>
      <c r="H505" s="1" t="s">
        <v>267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>
        <v>1</v>
      </c>
      <c r="AE505" s="1"/>
      <c r="AF505" s="48"/>
    </row>
    <row r="506" spans="1:32" s="8" customFormat="1" ht="24" x14ac:dyDescent="0.25">
      <c r="A506" s="42" t="s">
        <v>337</v>
      </c>
      <c r="B506" s="2" t="s">
        <v>155</v>
      </c>
      <c r="C506" s="2" t="s">
        <v>156</v>
      </c>
      <c r="D506" s="15" t="s">
        <v>347</v>
      </c>
      <c r="E506" s="15"/>
      <c r="F506" s="15"/>
      <c r="G506" s="15" t="s">
        <v>257</v>
      </c>
      <c r="H506" s="1" t="s">
        <v>272</v>
      </c>
      <c r="I506" s="1"/>
      <c r="J506" s="1"/>
      <c r="K506" s="1"/>
      <c r="L506" s="1"/>
      <c r="M506" s="1"/>
      <c r="N506" s="1"/>
      <c r="O506" s="1"/>
      <c r="P506" s="1">
        <v>1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48"/>
    </row>
    <row r="507" spans="1:32" s="8" customFormat="1" ht="24" x14ac:dyDescent="0.25">
      <c r="A507" s="42" t="s">
        <v>337</v>
      </c>
      <c r="B507" s="2" t="s">
        <v>155</v>
      </c>
      <c r="C507" s="2" t="s">
        <v>156</v>
      </c>
      <c r="D507" s="15" t="s">
        <v>347</v>
      </c>
      <c r="E507" s="15"/>
      <c r="F507" s="15"/>
      <c r="G507" s="15" t="s">
        <v>257</v>
      </c>
      <c r="H507" s="1" t="s">
        <v>274</v>
      </c>
      <c r="I507" s="1"/>
      <c r="J507" s="1">
        <v>1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48"/>
    </row>
    <row r="508" spans="1:32" s="8" customFormat="1" x14ac:dyDescent="0.25">
      <c r="A508" s="42" t="s">
        <v>337</v>
      </c>
      <c r="B508" s="15" t="s">
        <v>157</v>
      </c>
      <c r="C508" s="2" t="s">
        <v>158</v>
      </c>
      <c r="D508" s="15" t="s">
        <v>346</v>
      </c>
      <c r="E508" s="34">
        <v>400</v>
      </c>
      <c r="F508" s="34">
        <v>548</v>
      </c>
      <c r="G508" s="15" t="s">
        <v>258</v>
      </c>
      <c r="H508" s="1" t="s">
        <v>255</v>
      </c>
      <c r="I508" s="1"/>
      <c r="J508" s="1"/>
      <c r="K508" s="1">
        <v>1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48"/>
    </row>
    <row r="509" spans="1:32" s="8" customFormat="1" x14ac:dyDescent="0.25">
      <c r="A509" s="42" t="s">
        <v>337</v>
      </c>
      <c r="B509" s="15" t="s">
        <v>157</v>
      </c>
      <c r="C509" s="2" t="s">
        <v>158</v>
      </c>
      <c r="D509" s="15" t="s">
        <v>346</v>
      </c>
      <c r="E509" s="34"/>
      <c r="F509" s="34"/>
      <c r="G509" s="15" t="s">
        <v>258</v>
      </c>
      <c r="H509" s="1" t="s">
        <v>267</v>
      </c>
      <c r="I509" s="1"/>
      <c r="J509" s="1"/>
      <c r="K509" s="1"/>
      <c r="L509" s="1"/>
      <c r="M509" s="1"/>
      <c r="N509" s="1"/>
      <c r="O509" s="1">
        <v>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48"/>
    </row>
    <row r="510" spans="1:32" s="8" customFormat="1" x14ac:dyDescent="0.25">
      <c r="A510" s="42" t="s">
        <v>337</v>
      </c>
      <c r="B510" s="15" t="s">
        <v>157</v>
      </c>
      <c r="C510" s="2" t="s">
        <v>158</v>
      </c>
      <c r="D510" s="15" t="s">
        <v>346</v>
      </c>
      <c r="E510" s="34"/>
      <c r="F510" s="34"/>
      <c r="G510" s="15" t="s">
        <v>258</v>
      </c>
      <c r="H510" s="1" t="s">
        <v>273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1</v>
      </c>
      <c r="X510" s="1"/>
      <c r="Y510" s="1"/>
      <c r="Z510" s="1"/>
      <c r="AA510" s="1"/>
      <c r="AB510" s="1"/>
      <c r="AC510" s="1"/>
      <c r="AD510" s="1"/>
      <c r="AE510" s="1"/>
      <c r="AF510" s="48"/>
    </row>
    <row r="511" spans="1:32" s="8" customFormat="1" x14ac:dyDescent="0.25">
      <c r="A511" s="42" t="s">
        <v>337</v>
      </c>
      <c r="B511" s="15" t="s">
        <v>157</v>
      </c>
      <c r="C511" s="2" t="s">
        <v>158</v>
      </c>
      <c r="D511" s="15" t="s">
        <v>346</v>
      </c>
      <c r="E511" s="34"/>
      <c r="F511" s="34"/>
      <c r="G511" s="15" t="s">
        <v>30</v>
      </c>
      <c r="H511" s="1" t="s">
        <v>255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48">
        <v>1</v>
      </c>
    </row>
    <row r="512" spans="1:32" s="8" customFormat="1" x14ac:dyDescent="0.25">
      <c r="A512" s="42" t="s">
        <v>337</v>
      </c>
      <c r="B512" s="15" t="s">
        <v>157</v>
      </c>
      <c r="C512" s="2" t="s">
        <v>158</v>
      </c>
      <c r="D512" s="15" t="s">
        <v>346</v>
      </c>
      <c r="E512" s="34"/>
      <c r="F512" s="34"/>
      <c r="G512" s="15" t="s">
        <v>30</v>
      </c>
      <c r="H512" s="1" t="s">
        <v>261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>
        <v>1</v>
      </c>
      <c r="AE512" s="1"/>
      <c r="AF512" s="48"/>
    </row>
    <row r="513" spans="1:32" s="8" customFormat="1" x14ac:dyDescent="0.25">
      <c r="A513" s="42" t="s">
        <v>337</v>
      </c>
      <c r="B513" s="15" t="s">
        <v>157</v>
      </c>
      <c r="C513" s="2" t="s">
        <v>158</v>
      </c>
      <c r="D513" s="15" t="s">
        <v>346</v>
      </c>
      <c r="E513" s="34"/>
      <c r="F513" s="34"/>
      <c r="G513" s="15" t="s">
        <v>30</v>
      </c>
      <c r="H513" s="1" t="s">
        <v>265</v>
      </c>
      <c r="I513" s="1"/>
      <c r="J513" s="1"/>
      <c r="K513" s="1"/>
      <c r="L513" s="1"/>
      <c r="M513" s="1"/>
      <c r="N513" s="1"/>
      <c r="O513" s="1">
        <v>1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48"/>
    </row>
    <row r="514" spans="1:32" s="8" customFormat="1" x14ac:dyDescent="0.25">
      <c r="A514" s="42" t="s">
        <v>337</v>
      </c>
      <c r="B514" s="15" t="s">
        <v>157</v>
      </c>
      <c r="C514" s="2" t="s">
        <v>158</v>
      </c>
      <c r="D514" s="15" t="s">
        <v>346</v>
      </c>
      <c r="E514" s="15"/>
      <c r="F514" s="15"/>
      <c r="G514" s="15" t="s">
        <v>30</v>
      </c>
      <c r="H514" s="1" t="s">
        <v>267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>
        <v>1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48"/>
    </row>
    <row r="515" spans="1:32" s="8" customFormat="1" ht="24" x14ac:dyDescent="0.25">
      <c r="A515" s="42" t="s">
        <v>337</v>
      </c>
      <c r="B515" s="15" t="s">
        <v>157</v>
      </c>
      <c r="C515" s="2" t="s">
        <v>158</v>
      </c>
      <c r="D515" s="15" t="s">
        <v>347</v>
      </c>
      <c r="E515" s="34">
        <v>1200</v>
      </c>
      <c r="F515" s="34">
        <v>0</v>
      </c>
      <c r="G515" s="15" t="s">
        <v>257</v>
      </c>
      <c r="H515" s="1" t="s">
        <v>261</v>
      </c>
      <c r="I515" s="1"/>
      <c r="J515" s="1"/>
      <c r="K515" s="1"/>
      <c r="L515" s="1"/>
      <c r="M515" s="1"/>
      <c r="N515" s="1"/>
      <c r="O515" s="1"/>
      <c r="P515" s="1"/>
      <c r="Q515" s="1">
        <v>1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48"/>
    </row>
    <row r="516" spans="1:32" s="8" customFormat="1" ht="24" x14ac:dyDescent="0.25">
      <c r="A516" s="42" t="s">
        <v>337</v>
      </c>
      <c r="B516" s="15" t="s">
        <v>157</v>
      </c>
      <c r="C516" s="2" t="s">
        <v>158</v>
      </c>
      <c r="D516" s="15" t="s">
        <v>347</v>
      </c>
      <c r="E516" s="34"/>
      <c r="F516" s="34"/>
      <c r="G516" s="15" t="s">
        <v>257</v>
      </c>
      <c r="H516" s="1" t="s">
        <v>269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>
        <v>1</v>
      </c>
      <c r="AB516" s="1"/>
      <c r="AC516" s="1"/>
      <c r="AD516" s="1"/>
      <c r="AE516" s="1"/>
      <c r="AF516" s="48"/>
    </row>
    <row r="517" spans="1:32" s="8" customFormat="1" ht="24" x14ac:dyDescent="0.25">
      <c r="A517" s="42" t="s">
        <v>337</v>
      </c>
      <c r="B517" s="15" t="s">
        <v>157</v>
      </c>
      <c r="C517" s="2" t="s">
        <v>158</v>
      </c>
      <c r="D517" s="15" t="s">
        <v>347</v>
      </c>
      <c r="E517" s="15"/>
      <c r="F517" s="15"/>
      <c r="G517" s="15" t="s">
        <v>257</v>
      </c>
      <c r="H517" s="1" t="s">
        <v>274</v>
      </c>
      <c r="I517" s="1"/>
      <c r="J517" s="1"/>
      <c r="K517" s="1"/>
      <c r="L517" s="1"/>
      <c r="M517" s="1"/>
      <c r="N517" s="1"/>
      <c r="O517" s="1">
        <v>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48"/>
    </row>
    <row r="518" spans="1:32" s="8" customFormat="1" x14ac:dyDescent="0.25">
      <c r="A518" s="42" t="s">
        <v>338</v>
      </c>
      <c r="B518" s="2" t="s">
        <v>160</v>
      </c>
      <c r="C518" s="2" t="s">
        <v>161</v>
      </c>
      <c r="D518" s="15" t="s">
        <v>348</v>
      </c>
      <c r="E518" s="34">
        <v>14110</v>
      </c>
      <c r="F518" s="34">
        <v>0</v>
      </c>
      <c r="G518" s="15" t="s">
        <v>67</v>
      </c>
      <c r="H518" s="1" t="s">
        <v>251</v>
      </c>
      <c r="I518" s="1">
        <v>1</v>
      </c>
      <c r="J518" s="1">
        <v>1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48"/>
    </row>
    <row r="519" spans="1:32" s="8" customFormat="1" x14ac:dyDescent="0.25">
      <c r="A519" s="42" t="s">
        <v>338</v>
      </c>
      <c r="B519" s="2" t="s">
        <v>160</v>
      </c>
      <c r="C519" s="2" t="s">
        <v>161</v>
      </c>
      <c r="D519" s="15" t="s">
        <v>348</v>
      </c>
      <c r="E519" s="15"/>
      <c r="F519" s="15"/>
      <c r="G519" s="15" t="s">
        <v>252</v>
      </c>
      <c r="H519" s="1" t="s">
        <v>255</v>
      </c>
      <c r="I519" s="1"/>
      <c r="J519" s="1"/>
      <c r="K519" s="1"/>
      <c r="L519" s="1"/>
      <c r="M519" s="1">
        <v>1</v>
      </c>
      <c r="N519" s="1">
        <v>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48"/>
    </row>
    <row r="520" spans="1:32" s="8" customFormat="1" x14ac:dyDescent="0.25">
      <c r="A520" s="42" t="s">
        <v>338</v>
      </c>
      <c r="B520" s="2" t="s">
        <v>160</v>
      </c>
      <c r="C520" s="2" t="s">
        <v>161</v>
      </c>
      <c r="D520" s="15" t="s">
        <v>348</v>
      </c>
      <c r="E520" s="15"/>
      <c r="F520" s="15"/>
      <c r="G520" s="15" t="s">
        <v>252</v>
      </c>
      <c r="H520" s="1" t="s">
        <v>261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>
        <v>1</v>
      </c>
      <c r="AB520" s="1"/>
      <c r="AC520" s="1">
        <v>1</v>
      </c>
      <c r="AD520" s="1"/>
      <c r="AE520" s="1"/>
      <c r="AF520" s="48"/>
    </row>
    <row r="521" spans="1:32" s="8" customFormat="1" x14ac:dyDescent="0.25">
      <c r="A521" s="42" t="s">
        <v>338</v>
      </c>
      <c r="B521" s="2" t="s">
        <v>160</v>
      </c>
      <c r="C521" s="2" t="s">
        <v>161</v>
      </c>
      <c r="D521" s="15" t="s">
        <v>348</v>
      </c>
      <c r="E521" s="15"/>
      <c r="F521" s="15"/>
      <c r="G521" s="15" t="s">
        <v>252</v>
      </c>
      <c r="H521" s="1" t="s">
        <v>265</v>
      </c>
      <c r="I521" s="1"/>
      <c r="J521" s="1"/>
      <c r="K521" s="1"/>
      <c r="L521" s="1"/>
      <c r="M521" s="1"/>
      <c r="N521" s="1"/>
      <c r="O521" s="1">
        <v>1</v>
      </c>
      <c r="P521" s="1">
        <v>1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48"/>
    </row>
    <row r="522" spans="1:32" s="8" customFormat="1" x14ac:dyDescent="0.25">
      <c r="A522" s="42" t="s">
        <v>338</v>
      </c>
      <c r="B522" s="2" t="s">
        <v>160</v>
      </c>
      <c r="C522" s="2" t="s">
        <v>161</v>
      </c>
      <c r="D522" s="15" t="s">
        <v>348</v>
      </c>
      <c r="E522" s="15"/>
      <c r="F522" s="15"/>
      <c r="G522" s="15" t="s">
        <v>67</v>
      </c>
      <c r="H522" s="1" t="s">
        <v>267</v>
      </c>
      <c r="I522" s="1"/>
      <c r="J522" s="1"/>
      <c r="K522" s="1">
        <v>1</v>
      </c>
      <c r="L522" s="1">
        <v>1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48"/>
    </row>
    <row r="523" spans="1:32" s="8" customFormat="1" x14ac:dyDescent="0.25">
      <c r="A523" s="42" t="s">
        <v>338</v>
      </c>
      <c r="B523" s="2" t="s">
        <v>160</v>
      </c>
      <c r="C523" s="2" t="s">
        <v>161</v>
      </c>
      <c r="D523" s="15" t="s">
        <v>348</v>
      </c>
      <c r="E523" s="15"/>
      <c r="F523" s="15"/>
      <c r="G523" s="15" t="s">
        <v>252</v>
      </c>
      <c r="H523" s="1" t="s">
        <v>269</v>
      </c>
      <c r="I523" s="1"/>
      <c r="J523" s="1"/>
      <c r="K523" s="1"/>
      <c r="L523" s="1"/>
      <c r="M523" s="1"/>
      <c r="N523" s="1"/>
      <c r="O523" s="1"/>
      <c r="P523" s="1"/>
      <c r="Q523" s="1">
        <v>1</v>
      </c>
      <c r="R523" s="1">
        <v>1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48"/>
    </row>
    <row r="524" spans="1:32" s="8" customFormat="1" x14ac:dyDescent="0.25">
      <c r="A524" s="42" t="s">
        <v>338</v>
      </c>
      <c r="B524" s="2" t="s">
        <v>160</v>
      </c>
      <c r="C524" s="2" t="s">
        <v>161</v>
      </c>
      <c r="D524" s="15" t="s">
        <v>348</v>
      </c>
      <c r="E524" s="15"/>
      <c r="F524" s="15"/>
      <c r="G524" s="15" t="s">
        <v>252</v>
      </c>
      <c r="H524" s="1" t="s">
        <v>272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>
        <v>1</v>
      </c>
      <c r="T524" s="1">
        <v>1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48"/>
    </row>
    <row r="525" spans="1:32" s="8" customFormat="1" x14ac:dyDescent="0.25">
      <c r="A525" s="42" t="s">
        <v>338</v>
      </c>
      <c r="B525" s="2" t="s">
        <v>160</v>
      </c>
      <c r="C525" s="2" t="s">
        <v>161</v>
      </c>
      <c r="D525" s="15" t="s">
        <v>348</v>
      </c>
      <c r="E525" s="15"/>
      <c r="F525" s="15"/>
      <c r="G525" s="15" t="s">
        <v>252</v>
      </c>
      <c r="H525" s="1" t="s">
        <v>273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>
        <v>1</v>
      </c>
      <c r="V525" s="1">
        <v>1</v>
      </c>
      <c r="W525" s="1"/>
      <c r="X525" s="1"/>
      <c r="Y525" s="1"/>
      <c r="Z525" s="1"/>
      <c r="AA525" s="1"/>
      <c r="AB525" s="1"/>
      <c r="AC525" s="1"/>
      <c r="AD525" s="1"/>
      <c r="AE525" s="1"/>
      <c r="AF525" s="48"/>
    </row>
    <row r="526" spans="1:32" s="8" customFormat="1" x14ac:dyDescent="0.25">
      <c r="A526" s="42" t="s">
        <v>338</v>
      </c>
      <c r="B526" s="2" t="s">
        <v>160</v>
      </c>
      <c r="C526" s="2" t="s">
        <v>161</v>
      </c>
      <c r="D526" s="15" t="s">
        <v>348</v>
      </c>
      <c r="E526" s="15"/>
      <c r="F526" s="15"/>
      <c r="G526" s="15" t="s">
        <v>252</v>
      </c>
      <c r="H526" s="1" t="s">
        <v>274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1</v>
      </c>
      <c r="X526" s="1">
        <v>1</v>
      </c>
      <c r="Y526" s="1"/>
      <c r="Z526" s="1"/>
      <c r="AA526" s="1"/>
      <c r="AB526" s="1"/>
      <c r="AC526" s="1"/>
      <c r="AD526" s="1"/>
      <c r="AE526" s="1"/>
      <c r="AF526" s="48"/>
    </row>
    <row r="527" spans="1:32" s="8" customFormat="1" x14ac:dyDescent="0.25">
      <c r="A527" s="42" t="s">
        <v>338</v>
      </c>
      <c r="B527" s="2" t="s">
        <v>160</v>
      </c>
      <c r="C527" s="2" t="s">
        <v>161</v>
      </c>
      <c r="D527" s="15" t="s">
        <v>348</v>
      </c>
      <c r="E527" s="15"/>
      <c r="F527" s="15"/>
      <c r="G527" s="15" t="s">
        <v>252</v>
      </c>
      <c r="H527" s="1" t="s">
        <v>275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>
        <v>1</v>
      </c>
      <c r="Z527" s="1">
        <v>1</v>
      </c>
      <c r="AA527" s="1"/>
      <c r="AB527" s="1"/>
      <c r="AC527" s="1"/>
      <c r="AD527" s="1"/>
      <c r="AE527" s="1"/>
      <c r="AF527" s="48"/>
    </row>
    <row r="528" spans="1:32" s="8" customFormat="1" x14ac:dyDescent="0.25">
      <c r="A528" s="42" t="s">
        <v>338</v>
      </c>
      <c r="B528" s="2" t="s">
        <v>160</v>
      </c>
      <c r="C528" s="2" t="s">
        <v>161</v>
      </c>
      <c r="D528" s="15" t="s">
        <v>348</v>
      </c>
      <c r="E528" s="15"/>
      <c r="F528" s="15"/>
      <c r="G528" s="15" t="s">
        <v>252</v>
      </c>
      <c r="H528" s="1" t="s">
        <v>276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>
        <v>1</v>
      </c>
      <c r="AC528" s="1"/>
      <c r="AD528" s="1"/>
      <c r="AE528" s="1">
        <v>1</v>
      </c>
      <c r="AF528" s="48"/>
    </row>
    <row r="529" spans="1:32" s="8" customFormat="1" x14ac:dyDescent="0.25">
      <c r="A529" s="42" t="s">
        <v>338</v>
      </c>
      <c r="B529" s="2" t="s">
        <v>160</v>
      </c>
      <c r="C529" s="2" t="s">
        <v>161</v>
      </c>
      <c r="D529" s="15" t="s">
        <v>348</v>
      </c>
      <c r="E529" s="15"/>
      <c r="F529" s="15"/>
      <c r="G529" s="15" t="s">
        <v>252</v>
      </c>
      <c r="H529" s="1" t="s">
        <v>277</v>
      </c>
      <c r="I529" s="1"/>
      <c r="J529" s="1">
        <v>1</v>
      </c>
      <c r="K529" s="1"/>
      <c r="L529" s="1"/>
      <c r="M529" s="1"/>
      <c r="N529" s="1"/>
      <c r="O529" s="1">
        <v>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48"/>
    </row>
    <row r="530" spans="1:32" s="8" customFormat="1" x14ac:dyDescent="0.25">
      <c r="A530" s="42" t="s">
        <v>338</v>
      </c>
      <c r="B530" s="2" t="s">
        <v>160</v>
      </c>
      <c r="C530" s="2" t="s">
        <v>161</v>
      </c>
      <c r="D530" s="15" t="s">
        <v>352</v>
      </c>
      <c r="E530" s="34">
        <v>990</v>
      </c>
      <c r="F530" s="34"/>
      <c r="G530" s="15" t="s">
        <v>162</v>
      </c>
      <c r="H530" s="1" t="s">
        <v>255</v>
      </c>
      <c r="I530" s="1">
        <v>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48"/>
    </row>
    <row r="531" spans="1:32" s="8" customFormat="1" x14ac:dyDescent="0.25">
      <c r="A531" s="42" t="s">
        <v>338</v>
      </c>
      <c r="B531" s="2" t="s">
        <v>160</v>
      </c>
      <c r="C531" s="2" t="s">
        <v>161</v>
      </c>
      <c r="D531" s="15" t="s">
        <v>352</v>
      </c>
      <c r="E531" s="34"/>
      <c r="F531" s="34"/>
      <c r="G531" s="15" t="s">
        <v>260</v>
      </c>
      <c r="H531" s="1" t="s">
        <v>265</v>
      </c>
      <c r="I531" s="1"/>
      <c r="J531" s="1">
        <v>1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48"/>
    </row>
    <row r="532" spans="1:32" s="8" customFormat="1" x14ac:dyDescent="0.25">
      <c r="A532" s="42" t="s">
        <v>338</v>
      </c>
      <c r="B532" s="2" t="s">
        <v>160</v>
      </c>
      <c r="C532" s="2" t="s">
        <v>161</v>
      </c>
      <c r="D532" s="15" t="s">
        <v>352</v>
      </c>
      <c r="E532" s="34"/>
      <c r="F532" s="34"/>
      <c r="G532" s="15" t="s">
        <v>260</v>
      </c>
      <c r="H532" s="1" t="s">
        <v>267</v>
      </c>
      <c r="I532" s="1"/>
      <c r="J532" s="1"/>
      <c r="K532" s="1">
        <v>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48"/>
    </row>
    <row r="533" spans="1:32" s="8" customFormat="1" x14ac:dyDescent="0.25">
      <c r="A533" s="42" t="s">
        <v>338</v>
      </c>
      <c r="B533" s="2" t="s">
        <v>160</v>
      </c>
      <c r="C533" s="2" t="s">
        <v>161</v>
      </c>
      <c r="D533" s="15" t="s">
        <v>352</v>
      </c>
      <c r="E533" s="34"/>
      <c r="F533" s="34"/>
      <c r="G533" s="15" t="s">
        <v>260</v>
      </c>
      <c r="H533" s="1" t="s">
        <v>269</v>
      </c>
      <c r="I533" s="1"/>
      <c r="J533" s="1"/>
      <c r="K533" s="1"/>
      <c r="L533" s="1"/>
      <c r="M533" s="1"/>
      <c r="N533" s="1"/>
      <c r="O533" s="1">
        <v>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48"/>
    </row>
    <row r="534" spans="1:32" s="8" customFormat="1" x14ac:dyDescent="0.25">
      <c r="A534" s="42" t="s">
        <v>338</v>
      </c>
      <c r="B534" s="2" t="s">
        <v>160</v>
      </c>
      <c r="C534" s="2" t="s">
        <v>161</v>
      </c>
      <c r="D534" s="15" t="s">
        <v>352</v>
      </c>
      <c r="E534" s="34"/>
      <c r="F534" s="34"/>
      <c r="G534" s="15" t="s">
        <v>260</v>
      </c>
      <c r="H534" s="1" t="s">
        <v>272</v>
      </c>
      <c r="I534" s="1"/>
      <c r="J534" s="1"/>
      <c r="K534" s="1"/>
      <c r="L534" s="1"/>
      <c r="M534" s="1"/>
      <c r="N534" s="1"/>
      <c r="O534" s="1"/>
      <c r="P534" s="1">
        <v>1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48"/>
    </row>
    <row r="535" spans="1:32" s="8" customFormat="1" x14ac:dyDescent="0.25">
      <c r="A535" s="42" t="s">
        <v>338</v>
      </c>
      <c r="B535" s="2" t="s">
        <v>160</v>
      </c>
      <c r="C535" s="2" t="s">
        <v>161</v>
      </c>
      <c r="D535" s="15" t="s">
        <v>352</v>
      </c>
      <c r="E535" s="34"/>
      <c r="F535" s="34"/>
      <c r="G535" s="15" t="s">
        <v>260</v>
      </c>
      <c r="H535" s="1" t="s">
        <v>273</v>
      </c>
      <c r="I535" s="1"/>
      <c r="J535" s="1"/>
      <c r="K535" s="1"/>
      <c r="L535" s="1"/>
      <c r="M535" s="1"/>
      <c r="N535" s="1"/>
      <c r="O535" s="1"/>
      <c r="P535" s="1"/>
      <c r="Q535" s="1">
        <v>1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48"/>
    </row>
    <row r="536" spans="1:32" s="8" customFormat="1" x14ac:dyDescent="0.25">
      <c r="A536" s="42" t="s">
        <v>338</v>
      </c>
      <c r="B536" s="2" t="s">
        <v>160</v>
      </c>
      <c r="C536" s="2" t="s">
        <v>161</v>
      </c>
      <c r="D536" s="15" t="s">
        <v>352</v>
      </c>
      <c r="E536" s="15"/>
      <c r="F536" s="15"/>
      <c r="G536" s="15" t="s">
        <v>260</v>
      </c>
      <c r="H536" s="1" t="s">
        <v>274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>
        <v>1</v>
      </c>
      <c r="AE536" s="1"/>
      <c r="AF536" s="48"/>
    </row>
    <row r="537" spans="1:32" s="8" customFormat="1" x14ac:dyDescent="0.25">
      <c r="A537" s="42" t="s">
        <v>338</v>
      </c>
      <c r="B537" s="2" t="s">
        <v>163</v>
      </c>
      <c r="C537" s="2" t="s">
        <v>164</v>
      </c>
      <c r="D537" s="15" t="s">
        <v>348</v>
      </c>
      <c r="E537" s="34">
        <v>7150</v>
      </c>
      <c r="F537" s="34">
        <v>0</v>
      </c>
      <c r="G537" s="15" t="s">
        <v>252</v>
      </c>
      <c r="H537" s="1" t="s">
        <v>261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>
        <v>1</v>
      </c>
      <c r="AB537" s="1"/>
      <c r="AC537" s="1"/>
      <c r="AD537" s="1"/>
      <c r="AE537" s="1"/>
      <c r="AF537" s="48"/>
    </row>
    <row r="538" spans="1:32" s="8" customFormat="1" x14ac:dyDescent="0.25">
      <c r="A538" s="42" t="s">
        <v>338</v>
      </c>
      <c r="B538" s="2" t="s">
        <v>163</v>
      </c>
      <c r="C538" s="2" t="s">
        <v>164</v>
      </c>
      <c r="D538" s="15" t="s">
        <v>348</v>
      </c>
      <c r="E538" s="15"/>
      <c r="F538" s="15"/>
      <c r="G538" s="15" t="s">
        <v>67</v>
      </c>
      <c r="H538" s="1" t="s">
        <v>265</v>
      </c>
      <c r="I538" s="1">
        <v>1</v>
      </c>
      <c r="J538" s="1">
        <v>1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48"/>
    </row>
    <row r="539" spans="1:32" s="8" customFormat="1" x14ac:dyDescent="0.25">
      <c r="A539" s="42" t="s">
        <v>338</v>
      </c>
      <c r="B539" s="2" t="s">
        <v>163</v>
      </c>
      <c r="C539" s="2" t="s">
        <v>164</v>
      </c>
      <c r="D539" s="15" t="s">
        <v>348</v>
      </c>
      <c r="E539" s="15"/>
      <c r="F539" s="15"/>
      <c r="G539" s="15" t="s">
        <v>252</v>
      </c>
      <c r="H539" s="1" t="s">
        <v>267</v>
      </c>
      <c r="I539" s="1"/>
      <c r="J539" s="1"/>
      <c r="K539" s="1">
        <v>1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48"/>
    </row>
    <row r="540" spans="1:32" s="8" customFormat="1" x14ac:dyDescent="0.25">
      <c r="A540" s="42" t="s">
        <v>338</v>
      </c>
      <c r="B540" s="2" t="s">
        <v>163</v>
      </c>
      <c r="C540" s="2" t="s">
        <v>164</v>
      </c>
      <c r="D540" s="15" t="s">
        <v>348</v>
      </c>
      <c r="E540" s="15"/>
      <c r="F540" s="15"/>
      <c r="G540" s="15" t="s">
        <v>252</v>
      </c>
      <c r="H540" s="1" t="s">
        <v>269</v>
      </c>
      <c r="I540" s="1"/>
      <c r="J540" s="1"/>
      <c r="K540" s="1"/>
      <c r="L540" s="1"/>
      <c r="M540" s="1"/>
      <c r="N540" s="1">
        <v>1</v>
      </c>
      <c r="O540" s="1">
        <v>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48"/>
    </row>
    <row r="541" spans="1:32" s="8" customFormat="1" x14ac:dyDescent="0.25">
      <c r="A541" s="42" t="s">
        <v>338</v>
      </c>
      <c r="B541" s="2" t="s">
        <v>163</v>
      </c>
      <c r="C541" s="2" t="s">
        <v>164</v>
      </c>
      <c r="D541" s="15" t="s">
        <v>348</v>
      </c>
      <c r="E541" s="15"/>
      <c r="F541" s="15"/>
      <c r="G541" s="15" t="s">
        <v>252</v>
      </c>
      <c r="H541" s="1" t="s">
        <v>272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1</v>
      </c>
      <c r="AC541" s="1"/>
      <c r="AD541" s="1"/>
      <c r="AE541" s="1"/>
      <c r="AF541" s="48"/>
    </row>
    <row r="542" spans="1:32" s="8" customFormat="1" x14ac:dyDescent="0.25">
      <c r="A542" s="42" t="s">
        <v>338</v>
      </c>
      <c r="B542" s="2" t="s">
        <v>163</v>
      </c>
      <c r="C542" s="2" t="s">
        <v>164</v>
      </c>
      <c r="D542" s="15" t="s">
        <v>348</v>
      </c>
      <c r="E542" s="15"/>
      <c r="F542" s="15"/>
      <c r="G542" s="15" t="s">
        <v>252</v>
      </c>
      <c r="H542" s="1" t="s">
        <v>273</v>
      </c>
      <c r="I542" s="1"/>
      <c r="J542" s="1"/>
      <c r="K542" s="1"/>
      <c r="L542" s="1"/>
      <c r="M542" s="1"/>
      <c r="N542" s="1"/>
      <c r="O542" s="1"/>
      <c r="P542" s="1"/>
      <c r="Q542" s="1">
        <v>1</v>
      </c>
      <c r="R542" s="1">
        <v>1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48"/>
    </row>
    <row r="543" spans="1:32" s="8" customFormat="1" x14ac:dyDescent="0.25">
      <c r="A543" s="42" t="s">
        <v>338</v>
      </c>
      <c r="B543" s="2" t="s">
        <v>163</v>
      </c>
      <c r="C543" s="2" t="s">
        <v>164</v>
      </c>
      <c r="D543" s="15" t="s">
        <v>348</v>
      </c>
      <c r="E543" s="15"/>
      <c r="F543" s="15"/>
      <c r="G543" s="15" t="s">
        <v>252</v>
      </c>
      <c r="H543" s="1" t="s">
        <v>274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>
        <v>1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48"/>
    </row>
    <row r="544" spans="1:32" s="8" customFormat="1" x14ac:dyDescent="0.25">
      <c r="A544" s="42" t="s">
        <v>338</v>
      </c>
      <c r="B544" s="2" t="s">
        <v>163</v>
      </c>
      <c r="C544" s="2" t="s">
        <v>164</v>
      </c>
      <c r="D544" s="15" t="s">
        <v>348</v>
      </c>
      <c r="E544" s="15"/>
      <c r="F544" s="15"/>
      <c r="G544" s="15" t="s">
        <v>252</v>
      </c>
      <c r="H544" s="1" t="s">
        <v>275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1</v>
      </c>
      <c r="X544" s="1"/>
      <c r="Y544" s="1"/>
      <c r="Z544" s="1"/>
      <c r="AA544" s="1"/>
      <c r="AB544" s="1"/>
      <c r="AC544" s="1"/>
      <c r="AD544" s="1"/>
      <c r="AE544" s="1"/>
      <c r="AF544" s="48"/>
    </row>
    <row r="545" spans="1:32" s="8" customFormat="1" x14ac:dyDescent="0.25">
      <c r="A545" s="42" t="s">
        <v>338</v>
      </c>
      <c r="B545" s="2" t="s">
        <v>163</v>
      </c>
      <c r="C545" s="2" t="s">
        <v>164</v>
      </c>
      <c r="D545" s="15" t="s">
        <v>348</v>
      </c>
      <c r="E545" s="15"/>
      <c r="F545" s="15"/>
      <c r="G545" s="15" t="s">
        <v>252</v>
      </c>
      <c r="H545" s="1" t="s">
        <v>276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>
        <v>1</v>
      </c>
      <c r="Y545" s="1"/>
      <c r="Z545" s="1"/>
      <c r="AA545" s="1"/>
      <c r="AB545" s="1"/>
      <c r="AC545" s="1"/>
      <c r="AD545" s="1"/>
      <c r="AE545" s="1"/>
      <c r="AF545" s="48"/>
    </row>
    <row r="546" spans="1:32" s="8" customFormat="1" x14ac:dyDescent="0.25">
      <c r="A546" s="42" t="s">
        <v>338</v>
      </c>
      <c r="B546" s="2" t="s">
        <v>163</v>
      </c>
      <c r="C546" s="2" t="s">
        <v>164</v>
      </c>
      <c r="D546" s="15" t="s">
        <v>348</v>
      </c>
      <c r="E546" s="15"/>
      <c r="F546" s="15"/>
      <c r="G546" s="15" t="s">
        <v>252</v>
      </c>
      <c r="H546" s="1" t="s">
        <v>277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>
        <v>1</v>
      </c>
      <c r="AF546" s="48"/>
    </row>
    <row r="547" spans="1:32" s="8" customFormat="1" x14ac:dyDescent="0.25">
      <c r="A547" s="42" t="s">
        <v>338</v>
      </c>
      <c r="B547" s="2" t="s">
        <v>163</v>
      </c>
      <c r="C547" s="2" t="s">
        <v>164</v>
      </c>
      <c r="D547" s="15" t="s">
        <v>352</v>
      </c>
      <c r="E547" s="34">
        <v>660</v>
      </c>
      <c r="F547" s="34">
        <v>0</v>
      </c>
      <c r="G547" s="15" t="s">
        <v>260</v>
      </c>
      <c r="H547" s="1" t="s">
        <v>265</v>
      </c>
      <c r="I547" s="1"/>
      <c r="J547" s="1"/>
      <c r="K547" s="1"/>
      <c r="L547" s="1"/>
      <c r="M547" s="1"/>
      <c r="N547" s="1"/>
      <c r="O547" s="1">
        <v>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48"/>
    </row>
    <row r="548" spans="1:32" s="8" customFormat="1" x14ac:dyDescent="0.25">
      <c r="A548" s="42" t="s">
        <v>338</v>
      </c>
      <c r="B548" s="2" t="s">
        <v>163</v>
      </c>
      <c r="C548" s="2" t="s">
        <v>164</v>
      </c>
      <c r="D548" s="15" t="s">
        <v>352</v>
      </c>
      <c r="E548" s="15"/>
      <c r="F548" s="15"/>
      <c r="G548" s="15" t="s">
        <v>260</v>
      </c>
      <c r="H548" s="1" t="s">
        <v>269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>
        <v>1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48"/>
    </row>
    <row r="549" spans="1:32" s="8" customFormat="1" x14ac:dyDescent="0.25">
      <c r="A549" s="42" t="s">
        <v>338</v>
      </c>
      <c r="B549" s="2" t="s">
        <v>163</v>
      </c>
      <c r="C549" s="2" t="s">
        <v>164</v>
      </c>
      <c r="D549" s="15" t="s">
        <v>352</v>
      </c>
      <c r="E549" s="15"/>
      <c r="F549" s="15"/>
      <c r="G549" s="15" t="s">
        <v>260</v>
      </c>
      <c r="H549" s="1" t="s">
        <v>273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1</v>
      </c>
      <c r="X549" s="1"/>
      <c r="Y549" s="1"/>
      <c r="Z549" s="1"/>
      <c r="AA549" s="1"/>
      <c r="AB549" s="1"/>
      <c r="AC549" s="1"/>
      <c r="AD549" s="1"/>
      <c r="AE549" s="1"/>
      <c r="AF549" s="48"/>
    </row>
    <row r="550" spans="1:32" s="8" customFormat="1" x14ac:dyDescent="0.25">
      <c r="A550" s="42" t="s">
        <v>338</v>
      </c>
      <c r="B550" s="2" t="s">
        <v>163</v>
      </c>
      <c r="C550" s="2" t="s">
        <v>164</v>
      </c>
      <c r="D550" s="15" t="s">
        <v>352</v>
      </c>
      <c r="E550" s="15"/>
      <c r="F550" s="15"/>
      <c r="G550" s="15" t="s">
        <v>260</v>
      </c>
      <c r="H550" s="1" t="s">
        <v>275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>
        <v>1</v>
      </c>
      <c r="Y550" s="1"/>
      <c r="Z550" s="1"/>
      <c r="AA550" s="1"/>
      <c r="AB550" s="1"/>
      <c r="AC550" s="1"/>
      <c r="AD550" s="1"/>
      <c r="AE550" s="1"/>
      <c r="AF550" s="48"/>
    </row>
    <row r="551" spans="1:32" s="8" customFormat="1" x14ac:dyDescent="0.25">
      <c r="A551" s="42" t="s">
        <v>338</v>
      </c>
      <c r="B551" s="2" t="s">
        <v>165</v>
      </c>
      <c r="C551" s="2" t="s">
        <v>166</v>
      </c>
      <c r="D551" s="15" t="s">
        <v>348</v>
      </c>
      <c r="E551" s="34">
        <v>18500</v>
      </c>
      <c r="F551" s="34">
        <v>0</v>
      </c>
      <c r="G551" s="15" t="s">
        <v>252</v>
      </c>
      <c r="H551" s="1" t="s">
        <v>251</v>
      </c>
      <c r="I551" s="1"/>
      <c r="J551" s="1"/>
      <c r="K551" s="1"/>
      <c r="L551" s="1"/>
      <c r="M551" s="1">
        <v>1</v>
      </c>
      <c r="N551" s="1">
        <v>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48"/>
    </row>
    <row r="552" spans="1:32" s="8" customFormat="1" x14ac:dyDescent="0.25">
      <c r="A552" s="42" t="s">
        <v>338</v>
      </c>
      <c r="B552" s="2" t="s">
        <v>165</v>
      </c>
      <c r="C552" s="2" t="s">
        <v>166</v>
      </c>
      <c r="D552" s="15" t="s">
        <v>348</v>
      </c>
      <c r="E552" s="15"/>
      <c r="F552" s="15"/>
      <c r="G552" s="15" t="s">
        <v>67</v>
      </c>
      <c r="H552" s="1" t="s">
        <v>255</v>
      </c>
      <c r="I552" s="1">
        <v>1</v>
      </c>
      <c r="J552" s="1">
        <v>1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48"/>
    </row>
    <row r="553" spans="1:32" s="8" customFormat="1" x14ac:dyDescent="0.25">
      <c r="A553" s="42" t="s">
        <v>338</v>
      </c>
      <c r="B553" s="2" t="s">
        <v>165</v>
      </c>
      <c r="C553" s="2" t="s">
        <v>166</v>
      </c>
      <c r="D553" s="15" t="s">
        <v>348</v>
      </c>
      <c r="E553" s="15"/>
      <c r="F553" s="15"/>
      <c r="G553" s="15" t="s">
        <v>67</v>
      </c>
      <c r="H553" s="1" t="s">
        <v>261</v>
      </c>
      <c r="I553" s="1"/>
      <c r="J553" s="1"/>
      <c r="K553" s="1">
        <v>1</v>
      </c>
      <c r="L553" s="1">
        <v>1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48"/>
    </row>
    <row r="554" spans="1:32" s="8" customFormat="1" x14ac:dyDescent="0.25">
      <c r="A554" s="42" t="s">
        <v>338</v>
      </c>
      <c r="B554" s="2" t="s">
        <v>165</v>
      </c>
      <c r="C554" s="2" t="s">
        <v>166</v>
      </c>
      <c r="D554" s="15" t="s">
        <v>348</v>
      </c>
      <c r="E554" s="15"/>
      <c r="F554" s="15"/>
      <c r="G554" s="15" t="s">
        <v>252</v>
      </c>
      <c r="H554" s="1" t="s">
        <v>265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>
        <v>1</v>
      </c>
      <c r="AB554" s="1">
        <v>1</v>
      </c>
      <c r="AC554" s="1">
        <v>1</v>
      </c>
      <c r="AD554" s="1"/>
      <c r="AE554" s="1">
        <v>1</v>
      </c>
      <c r="AF554" s="48"/>
    </row>
    <row r="555" spans="1:32" s="8" customFormat="1" x14ac:dyDescent="0.25">
      <c r="A555" s="42" t="s">
        <v>338</v>
      </c>
      <c r="B555" s="2" t="s">
        <v>165</v>
      </c>
      <c r="C555" s="2" t="s">
        <v>166</v>
      </c>
      <c r="D555" s="15" t="s">
        <v>348</v>
      </c>
      <c r="E555" s="15"/>
      <c r="F555" s="15"/>
      <c r="G555" s="15" t="s">
        <v>252</v>
      </c>
      <c r="H555" s="1" t="s">
        <v>267</v>
      </c>
      <c r="I555" s="1"/>
      <c r="J555" s="1"/>
      <c r="K555" s="1"/>
      <c r="L555" s="1"/>
      <c r="M555" s="1"/>
      <c r="N555" s="1"/>
      <c r="O555" s="1">
        <v>1</v>
      </c>
      <c r="P555" s="1">
        <v>1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48"/>
    </row>
    <row r="556" spans="1:32" s="8" customFormat="1" x14ac:dyDescent="0.25">
      <c r="A556" s="42" t="s">
        <v>338</v>
      </c>
      <c r="B556" s="2" t="s">
        <v>165</v>
      </c>
      <c r="C556" s="2" t="s">
        <v>166</v>
      </c>
      <c r="D556" s="15" t="s">
        <v>348</v>
      </c>
      <c r="E556" s="15"/>
      <c r="F556" s="15"/>
      <c r="G556" s="15" t="s">
        <v>252</v>
      </c>
      <c r="H556" s="1" t="s">
        <v>269</v>
      </c>
      <c r="I556" s="1"/>
      <c r="J556" s="1"/>
      <c r="K556" s="1"/>
      <c r="L556" s="1"/>
      <c r="M556" s="1"/>
      <c r="N556" s="1"/>
      <c r="O556" s="1"/>
      <c r="P556" s="1"/>
      <c r="Q556" s="1">
        <v>1</v>
      </c>
      <c r="R556" s="1">
        <v>1</v>
      </c>
      <c r="S556" s="1">
        <v>1</v>
      </c>
      <c r="T556" s="1">
        <v>1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48"/>
    </row>
    <row r="557" spans="1:32" s="8" customFormat="1" x14ac:dyDescent="0.25">
      <c r="A557" s="42" t="s">
        <v>338</v>
      </c>
      <c r="B557" s="2" t="s">
        <v>165</v>
      </c>
      <c r="C557" s="2" t="s">
        <v>166</v>
      </c>
      <c r="D557" s="15" t="s">
        <v>348</v>
      </c>
      <c r="E557" s="15"/>
      <c r="F557" s="15"/>
      <c r="G557" s="15" t="s">
        <v>252</v>
      </c>
      <c r="H557" s="1" t="s">
        <v>272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>
        <v>1</v>
      </c>
      <c r="V557" s="1">
        <v>1</v>
      </c>
      <c r="W557" s="1"/>
      <c r="X557" s="1"/>
      <c r="Y557" s="1"/>
      <c r="Z557" s="1"/>
      <c r="AA557" s="1"/>
      <c r="AB557" s="1"/>
      <c r="AC557" s="1"/>
      <c r="AD557" s="1"/>
      <c r="AE557" s="1"/>
      <c r="AF557" s="48"/>
    </row>
    <row r="558" spans="1:32" s="8" customFormat="1" x14ac:dyDescent="0.25">
      <c r="A558" s="42" t="s">
        <v>338</v>
      </c>
      <c r="B558" s="2" t="s">
        <v>165</v>
      </c>
      <c r="C558" s="2" t="s">
        <v>166</v>
      </c>
      <c r="D558" s="15" t="s">
        <v>348</v>
      </c>
      <c r="E558" s="15"/>
      <c r="F558" s="15"/>
      <c r="G558" s="15" t="s">
        <v>252</v>
      </c>
      <c r="H558" s="1" t="s">
        <v>273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1</v>
      </c>
      <c r="X558" s="1">
        <v>1</v>
      </c>
      <c r="Y558" s="1">
        <v>1</v>
      </c>
      <c r="Z558" s="1">
        <v>1</v>
      </c>
      <c r="AA558" s="1"/>
      <c r="AB558" s="1"/>
      <c r="AC558" s="1"/>
      <c r="AD558" s="1"/>
      <c r="AE558" s="1"/>
      <c r="AF558" s="48"/>
    </row>
    <row r="559" spans="1:32" s="8" customFormat="1" x14ac:dyDescent="0.25">
      <c r="A559" s="42" t="s">
        <v>338</v>
      </c>
      <c r="B559" s="2" t="s">
        <v>165</v>
      </c>
      <c r="C559" s="2" t="s">
        <v>166</v>
      </c>
      <c r="D559" s="15" t="s">
        <v>348</v>
      </c>
      <c r="E559" s="15"/>
      <c r="F559" s="15"/>
      <c r="G559" s="15" t="s">
        <v>252</v>
      </c>
      <c r="H559" s="1" t="s">
        <v>274</v>
      </c>
      <c r="I559" s="1"/>
      <c r="J559" s="1"/>
      <c r="K559" s="1"/>
      <c r="L559" s="1"/>
      <c r="M559" s="1"/>
      <c r="N559" s="1">
        <v>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1</v>
      </c>
      <c r="AC559" s="1"/>
      <c r="AD559" s="1"/>
      <c r="AE559" s="1"/>
      <c r="AF559" s="48"/>
    </row>
    <row r="560" spans="1:32" s="8" customFormat="1" x14ac:dyDescent="0.25">
      <c r="A560" s="42" t="s">
        <v>338</v>
      </c>
      <c r="B560" s="2" t="s">
        <v>165</v>
      </c>
      <c r="C560" s="2" t="s">
        <v>166</v>
      </c>
      <c r="D560" s="15" t="s">
        <v>348</v>
      </c>
      <c r="E560" s="15"/>
      <c r="F560" s="15"/>
      <c r="G560" s="15" t="s">
        <v>252</v>
      </c>
      <c r="H560" s="1" t="s">
        <v>275</v>
      </c>
      <c r="I560" s="1"/>
      <c r="J560" s="1">
        <v>1</v>
      </c>
      <c r="K560" s="1">
        <v>1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>
        <v>1</v>
      </c>
      <c r="AB560" s="1"/>
      <c r="AC560" s="1">
        <v>1</v>
      </c>
      <c r="AD560" s="1"/>
      <c r="AE560" s="1"/>
      <c r="AF560" s="48"/>
    </row>
    <row r="561" spans="1:32" s="8" customFormat="1" x14ac:dyDescent="0.25">
      <c r="A561" s="42" t="s">
        <v>338</v>
      </c>
      <c r="B561" s="2" t="s">
        <v>165</v>
      </c>
      <c r="C561" s="2" t="s">
        <v>166</v>
      </c>
      <c r="D561" s="15" t="s">
        <v>348</v>
      </c>
      <c r="E561" s="15"/>
      <c r="F561" s="15"/>
      <c r="G561" s="15" t="s">
        <v>252</v>
      </c>
      <c r="H561" s="1" t="s">
        <v>276</v>
      </c>
      <c r="I561" s="1"/>
      <c r="J561" s="1"/>
      <c r="K561" s="1"/>
      <c r="L561" s="1"/>
      <c r="M561" s="1"/>
      <c r="N561" s="1">
        <v>1</v>
      </c>
      <c r="O561" s="1">
        <v>1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48"/>
    </row>
    <row r="562" spans="1:32" s="8" customFormat="1" x14ac:dyDescent="0.25">
      <c r="A562" s="42" t="s">
        <v>338</v>
      </c>
      <c r="B562" s="2" t="s">
        <v>165</v>
      </c>
      <c r="C562" s="2" t="s">
        <v>166</v>
      </c>
      <c r="D562" s="15" t="s">
        <v>348</v>
      </c>
      <c r="E562" s="15"/>
      <c r="F562" s="15"/>
      <c r="G562" s="15" t="s">
        <v>252</v>
      </c>
      <c r="H562" s="1" t="s">
        <v>277</v>
      </c>
      <c r="I562" s="1"/>
      <c r="J562" s="1"/>
      <c r="K562" s="1"/>
      <c r="L562" s="1"/>
      <c r="M562" s="1"/>
      <c r="N562" s="1"/>
      <c r="O562" s="1"/>
      <c r="P562" s="1">
        <v>1</v>
      </c>
      <c r="Q562" s="1">
        <v>1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48"/>
    </row>
    <row r="563" spans="1:32" s="8" customFormat="1" x14ac:dyDescent="0.25">
      <c r="A563" s="42" t="s">
        <v>338</v>
      </c>
      <c r="B563" s="2" t="s">
        <v>165</v>
      </c>
      <c r="C563" s="2" t="s">
        <v>166</v>
      </c>
      <c r="D563" s="15" t="s">
        <v>349</v>
      </c>
      <c r="E563" s="34">
        <v>1296</v>
      </c>
      <c r="F563" s="34">
        <v>0</v>
      </c>
      <c r="G563" s="15" t="s">
        <v>259</v>
      </c>
      <c r="H563" s="1" t="s">
        <v>261</v>
      </c>
      <c r="I563" s="1">
        <v>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48"/>
    </row>
    <row r="564" spans="1:32" s="8" customFormat="1" ht="24" x14ac:dyDescent="0.25">
      <c r="A564" s="42" t="s">
        <v>338</v>
      </c>
      <c r="B564" s="2" t="s">
        <v>165</v>
      </c>
      <c r="C564" s="2" t="s">
        <v>166</v>
      </c>
      <c r="D564" s="15" t="s">
        <v>349</v>
      </c>
      <c r="E564" s="34"/>
      <c r="F564" s="34"/>
      <c r="G564" s="15" t="s">
        <v>253</v>
      </c>
      <c r="H564" s="1" t="s">
        <v>265</v>
      </c>
      <c r="I564" s="1"/>
      <c r="J564" s="1">
        <v>1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48"/>
    </row>
    <row r="565" spans="1:32" s="8" customFormat="1" ht="24" x14ac:dyDescent="0.25">
      <c r="A565" s="42" t="s">
        <v>338</v>
      </c>
      <c r="B565" s="2" t="s">
        <v>165</v>
      </c>
      <c r="C565" s="2" t="s">
        <v>166</v>
      </c>
      <c r="D565" s="15" t="s">
        <v>349</v>
      </c>
      <c r="E565" s="15"/>
      <c r="F565" s="15"/>
      <c r="G565" s="15" t="s">
        <v>253</v>
      </c>
      <c r="H565" s="1" t="s">
        <v>267</v>
      </c>
      <c r="I565" s="1"/>
      <c r="J565" s="1"/>
      <c r="K565" s="1">
        <v>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48"/>
    </row>
    <row r="566" spans="1:32" s="8" customFormat="1" ht="24" x14ac:dyDescent="0.25">
      <c r="A566" s="42" t="s">
        <v>338</v>
      </c>
      <c r="B566" s="2" t="s">
        <v>165</v>
      </c>
      <c r="C566" s="2" t="s">
        <v>166</v>
      </c>
      <c r="D566" s="15" t="s">
        <v>349</v>
      </c>
      <c r="E566" s="15"/>
      <c r="F566" s="15"/>
      <c r="G566" s="15" t="s">
        <v>253</v>
      </c>
      <c r="H566" s="1" t="s">
        <v>269</v>
      </c>
      <c r="I566" s="1"/>
      <c r="J566" s="1"/>
      <c r="K566" s="1"/>
      <c r="L566" s="1"/>
      <c r="M566" s="1"/>
      <c r="N566" s="1"/>
      <c r="O566" s="1">
        <v>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48"/>
    </row>
    <row r="567" spans="1:32" s="8" customFormat="1" ht="24" x14ac:dyDescent="0.25">
      <c r="A567" s="42" t="s">
        <v>338</v>
      </c>
      <c r="B567" s="2" t="s">
        <v>165</v>
      </c>
      <c r="C567" s="2" t="s">
        <v>166</v>
      </c>
      <c r="D567" s="15" t="s">
        <v>349</v>
      </c>
      <c r="E567" s="15"/>
      <c r="F567" s="15"/>
      <c r="G567" s="15" t="s">
        <v>253</v>
      </c>
      <c r="H567" s="1" t="s">
        <v>272</v>
      </c>
      <c r="I567" s="1"/>
      <c r="J567" s="1"/>
      <c r="K567" s="1"/>
      <c r="L567" s="1"/>
      <c r="M567" s="1"/>
      <c r="N567" s="1"/>
      <c r="O567" s="1"/>
      <c r="P567" s="1"/>
      <c r="Q567" s="1">
        <v>1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48"/>
    </row>
    <row r="568" spans="1:32" s="8" customFormat="1" ht="24" x14ac:dyDescent="0.25">
      <c r="A568" s="42" t="s">
        <v>338</v>
      </c>
      <c r="B568" s="2" t="s">
        <v>165</v>
      </c>
      <c r="C568" s="2" t="s">
        <v>166</v>
      </c>
      <c r="D568" s="15" t="s">
        <v>349</v>
      </c>
      <c r="E568" s="15"/>
      <c r="F568" s="15"/>
      <c r="G568" s="15" t="s">
        <v>253</v>
      </c>
      <c r="H568" s="1" t="s">
        <v>273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</v>
      </c>
      <c r="X568" s="1"/>
      <c r="Y568" s="1"/>
      <c r="Z568" s="1"/>
      <c r="AA568" s="1"/>
      <c r="AB568" s="1"/>
      <c r="AC568" s="1"/>
      <c r="AD568" s="1"/>
      <c r="AE568" s="1"/>
      <c r="AF568" s="48"/>
    </row>
    <row r="569" spans="1:32" s="8" customFormat="1" ht="24" x14ac:dyDescent="0.25">
      <c r="A569" s="42" t="s">
        <v>338</v>
      </c>
      <c r="B569" s="2" t="s">
        <v>165</v>
      </c>
      <c r="C569" s="2" t="s">
        <v>166</v>
      </c>
      <c r="D569" s="15" t="s">
        <v>349</v>
      </c>
      <c r="E569" s="15"/>
      <c r="F569" s="15"/>
      <c r="G569" s="15" t="s">
        <v>253</v>
      </c>
      <c r="H569" s="1" t="s">
        <v>274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>
        <v>1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48"/>
    </row>
    <row r="570" spans="1:32" s="8" customFormat="1" ht="24" x14ac:dyDescent="0.25">
      <c r="A570" s="42" t="s">
        <v>338</v>
      </c>
      <c r="B570" s="2" t="s">
        <v>165</v>
      </c>
      <c r="C570" s="2" t="s">
        <v>166</v>
      </c>
      <c r="D570" s="15" t="s">
        <v>349</v>
      </c>
      <c r="E570" s="15"/>
      <c r="F570" s="15"/>
      <c r="G570" s="15" t="s">
        <v>253</v>
      </c>
      <c r="H570" s="1" t="s">
        <v>275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>
        <v>1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48"/>
    </row>
    <row r="571" spans="1:32" s="8" customFormat="1" ht="24" x14ac:dyDescent="0.25">
      <c r="A571" s="42" t="s">
        <v>338</v>
      </c>
      <c r="B571" s="2" t="s">
        <v>165</v>
      </c>
      <c r="C571" s="2" t="s">
        <v>166</v>
      </c>
      <c r="D571" s="15" t="s">
        <v>349</v>
      </c>
      <c r="E571" s="15"/>
      <c r="F571" s="15"/>
      <c r="G571" s="15" t="s">
        <v>253</v>
      </c>
      <c r="H571" s="1" t="s">
        <v>276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>
        <v>1</v>
      </c>
      <c r="AE571" s="1"/>
      <c r="AF571" s="48"/>
    </row>
    <row r="572" spans="1:32" s="8" customFormat="1" x14ac:dyDescent="0.25">
      <c r="A572" s="42" t="s">
        <v>338</v>
      </c>
      <c r="B572" s="2" t="s">
        <v>167</v>
      </c>
      <c r="C572" s="2" t="s">
        <v>168</v>
      </c>
      <c r="D572" s="15" t="s">
        <v>348</v>
      </c>
      <c r="E572" s="34">
        <v>16500</v>
      </c>
      <c r="F572" s="34"/>
      <c r="G572" s="15" t="s">
        <v>252</v>
      </c>
      <c r="H572" s="1" t="s">
        <v>251</v>
      </c>
      <c r="I572" s="1"/>
      <c r="J572" s="1">
        <v>1</v>
      </c>
      <c r="K572" s="1">
        <v>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48"/>
    </row>
    <row r="573" spans="1:32" s="8" customFormat="1" x14ac:dyDescent="0.25">
      <c r="A573" s="42" t="s">
        <v>338</v>
      </c>
      <c r="B573" s="2" t="s">
        <v>167</v>
      </c>
      <c r="C573" s="2" t="s">
        <v>168</v>
      </c>
      <c r="D573" s="15" t="s">
        <v>348</v>
      </c>
      <c r="E573" s="15"/>
      <c r="F573" s="15"/>
      <c r="G573" s="15" t="s">
        <v>252</v>
      </c>
      <c r="H573" s="1" t="s">
        <v>255</v>
      </c>
      <c r="I573" s="1"/>
      <c r="J573" s="1"/>
      <c r="K573" s="1"/>
      <c r="L573" s="1"/>
      <c r="M573" s="1">
        <v>1</v>
      </c>
      <c r="N573" s="1"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48"/>
    </row>
    <row r="574" spans="1:32" s="8" customFormat="1" x14ac:dyDescent="0.25">
      <c r="A574" s="42" t="s">
        <v>338</v>
      </c>
      <c r="B574" s="2" t="s">
        <v>167</v>
      </c>
      <c r="C574" s="2" t="s">
        <v>168</v>
      </c>
      <c r="D574" s="15" t="s">
        <v>348</v>
      </c>
      <c r="E574" s="15"/>
      <c r="F574" s="15"/>
      <c r="G574" s="15" t="s">
        <v>67</v>
      </c>
      <c r="H574" s="1" t="s">
        <v>261</v>
      </c>
      <c r="I574" s="1">
        <v>1</v>
      </c>
      <c r="J574" s="1">
        <v>1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48"/>
    </row>
    <row r="575" spans="1:32" s="8" customFormat="1" x14ac:dyDescent="0.25">
      <c r="A575" s="42" t="s">
        <v>338</v>
      </c>
      <c r="B575" s="2" t="s">
        <v>167</v>
      </c>
      <c r="C575" s="2" t="s">
        <v>168</v>
      </c>
      <c r="D575" s="15" t="s">
        <v>348</v>
      </c>
      <c r="E575" s="15"/>
      <c r="F575" s="15"/>
      <c r="G575" s="15" t="s">
        <v>252</v>
      </c>
      <c r="H575" s="1" t="s">
        <v>265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>
        <v>1</v>
      </c>
      <c r="AB575" s="1"/>
      <c r="AC575" s="1">
        <v>1</v>
      </c>
      <c r="AD575" s="1"/>
      <c r="AE575" s="1"/>
      <c r="AF575" s="48"/>
    </row>
    <row r="576" spans="1:32" s="8" customFormat="1" x14ac:dyDescent="0.25">
      <c r="A576" s="42" t="s">
        <v>338</v>
      </c>
      <c r="B576" s="2" t="s">
        <v>167</v>
      </c>
      <c r="C576" s="2" t="s">
        <v>168</v>
      </c>
      <c r="D576" s="15" t="s">
        <v>348</v>
      </c>
      <c r="E576" s="15"/>
      <c r="F576" s="15"/>
      <c r="G576" s="15" t="s">
        <v>252</v>
      </c>
      <c r="H576" s="1" t="s">
        <v>267</v>
      </c>
      <c r="I576" s="1"/>
      <c r="J576" s="1"/>
      <c r="K576" s="1"/>
      <c r="L576" s="1"/>
      <c r="M576" s="1"/>
      <c r="N576" s="1"/>
      <c r="O576" s="1"/>
      <c r="P576" s="1"/>
      <c r="Q576" s="1">
        <v>1</v>
      </c>
      <c r="R576" s="1">
        <v>1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48"/>
    </row>
    <row r="577" spans="1:32" s="8" customFormat="1" x14ac:dyDescent="0.25">
      <c r="A577" s="42" t="s">
        <v>338</v>
      </c>
      <c r="B577" s="2" t="s">
        <v>167</v>
      </c>
      <c r="C577" s="2" t="s">
        <v>168</v>
      </c>
      <c r="D577" s="15" t="s">
        <v>348</v>
      </c>
      <c r="E577" s="15"/>
      <c r="F577" s="15"/>
      <c r="G577" s="15" t="s">
        <v>252</v>
      </c>
      <c r="H577" s="1" t="s">
        <v>269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>
        <v>1</v>
      </c>
      <c r="T577" s="1">
        <v>1</v>
      </c>
      <c r="U577" s="1">
        <v>1</v>
      </c>
      <c r="V577" s="1">
        <v>1</v>
      </c>
      <c r="W577" s="1"/>
      <c r="X577" s="1"/>
      <c r="Y577" s="1"/>
      <c r="Z577" s="1"/>
      <c r="AA577" s="1"/>
      <c r="AB577" s="1"/>
      <c r="AC577" s="1"/>
      <c r="AD577" s="1"/>
      <c r="AE577" s="1"/>
      <c r="AF577" s="48"/>
    </row>
    <row r="578" spans="1:32" s="8" customFormat="1" x14ac:dyDescent="0.25">
      <c r="A578" s="42" t="s">
        <v>338</v>
      </c>
      <c r="B578" s="2" t="s">
        <v>167</v>
      </c>
      <c r="C578" s="2" t="s">
        <v>168</v>
      </c>
      <c r="D578" s="15" t="s">
        <v>348</v>
      </c>
      <c r="E578" s="15"/>
      <c r="F578" s="15"/>
      <c r="G578" s="15" t="s">
        <v>67</v>
      </c>
      <c r="H578" s="1" t="s">
        <v>272</v>
      </c>
      <c r="I578" s="1"/>
      <c r="J578" s="1"/>
      <c r="K578" s="1">
        <v>1</v>
      </c>
      <c r="L578" s="1">
        <v>1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48"/>
    </row>
    <row r="579" spans="1:32" s="8" customFormat="1" x14ac:dyDescent="0.25">
      <c r="A579" s="42" t="s">
        <v>338</v>
      </c>
      <c r="B579" s="2" t="s">
        <v>167</v>
      </c>
      <c r="C579" s="2" t="s">
        <v>168</v>
      </c>
      <c r="D579" s="15" t="s">
        <v>348</v>
      </c>
      <c r="E579" s="15"/>
      <c r="F579" s="15"/>
      <c r="G579" s="15" t="s">
        <v>252</v>
      </c>
      <c r="H579" s="1" t="s">
        <v>273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1</v>
      </c>
      <c r="X579" s="1">
        <v>1</v>
      </c>
      <c r="Y579" s="1"/>
      <c r="Z579" s="1"/>
      <c r="AA579" s="1"/>
      <c r="AB579" s="1"/>
      <c r="AC579" s="1"/>
      <c r="AD579" s="1"/>
      <c r="AE579" s="1"/>
      <c r="AF579" s="48"/>
    </row>
    <row r="580" spans="1:32" s="8" customFormat="1" x14ac:dyDescent="0.25">
      <c r="A580" s="42" t="s">
        <v>338</v>
      </c>
      <c r="B580" s="2" t="s">
        <v>167</v>
      </c>
      <c r="C580" s="2" t="s">
        <v>168</v>
      </c>
      <c r="D580" s="15" t="s">
        <v>348</v>
      </c>
      <c r="E580" s="15"/>
      <c r="F580" s="15"/>
      <c r="G580" s="15" t="s">
        <v>252</v>
      </c>
      <c r="H580" s="1" t="s">
        <v>274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>
        <v>1</v>
      </c>
      <c r="Z580" s="1">
        <v>1</v>
      </c>
      <c r="AA580" s="1"/>
      <c r="AB580" s="1"/>
      <c r="AC580" s="1"/>
      <c r="AD580" s="1"/>
      <c r="AE580" s="1"/>
      <c r="AF580" s="48"/>
    </row>
    <row r="581" spans="1:32" s="8" customFormat="1" x14ac:dyDescent="0.25">
      <c r="A581" s="42" t="s">
        <v>338</v>
      </c>
      <c r="B581" s="2" t="s">
        <v>167</v>
      </c>
      <c r="C581" s="2" t="s">
        <v>168</v>
      </c>
      <c r="D581" s="15" t="s">
        <v>348</v>
      </c>
      <c r="E581" s="15"/>
      <c r="F581" s="15"/>
      <c r="G581" s="15" t="s">
        <v>252</v>
      </c>
      <c r="H581" s="1" t="s">
        <v>275</v>
      </c>
      <c r="I581" s="1"/>
      <c r="J581" s="1"/>
      <c r="K581" s="1"/>
      <c r="L581" s="1"/>
      <c r="M581" s="1"/>
      <c r="N581" s="1"/>
      <c r="O581" s="1">
        <v>1</v>
      </c>
      <c r="P581" s="1">
        <v>1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>
        <v>1</v>
      </c>
      <c r="AB581" s="1"/>
      <c r="AC581" s="1">
        <v>1</v>
      </c>
      <c r="AD581" s="1"/>
      <c r="AE581" s="1"/>
      <c r="AF581" s="48"/>
    </row>
    <row r="582" spans="1:32" s="8" customFormat="1" x14ac:dyDescent="0.25">
      <c r="A582" s="42" t="s">
        <v>338</v>
      </c>
      <c r="B582" s="2" t="s">
        <v>167</v>
      </c>
      <c r="C582" s="2" t="s">
        <v>168</v>
      </c>
      <c r="D582" s="15" t="s">
        <v>348</v>
      </c>
      <c r="E582" s="15"/>
      <c r="F582" s="15"/>
      <c r="G582" s="15" t="s">
        <v>252</v>
      </c>
      <c r="H582" s="1" t="s">
        <v>276</v>
      </c>
      <c r="I582" s="1"/>
      <c r="J582" s="1"/>
      <c r="K582" s="1"/>
      <c r="L582" s="1"/>
      <c r="M582" s="1"/>
      <c r="N582" s="1"/>
      <c r="O582" s="1">
        <v>1</v>
      </c>
      <c r="P582" s="1"/>
      <c r="Q582" s="1">
        <v>1</v>
      </c>
      <c r="R582" s="1"/>
      <c r="S582" s="1">
        <v>1</v>
      </c>
      <c r="T582" s="1">
        <v>1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48"/>
    </row>
    <row r="583" spans="1:32" s="8" customFormat="1" x14ac:dyDescent="0.25">
      <c r="A583" s="42" t="s">
        <v>338</v>
      </c>
      <c r="B583" s="2" t="s">
        <v>167</v>
      </c>
      <c r="C583" s="2" t="s">
        <v>168</v>
      </c>
      <c r="D583" s="15" t="s">
        <v>348</v>
      </c>
      <c r="E583" s="15"/>
      <c r="F583" s="15"/>
      <c r="G583" s="15" t="s">
        <v>252</v>
      </c>
      <c r="H583" s="1" t="s">
        <v>277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1</v>
      </c>
      <c r="AC583" s="1"/>
      <c r="AD583" s="1"/>
      <c r="AE583" s="1">
        <v>1</v>
      </c>
      <c r="AF583" s="48"/>
    </row>
    <row r="584" spans="1:32" s="8" customFormat="1" ht="24" x14ac:dyDescent="0.25">
      <c r="A584" s="42" t="s">
        <v>338</v>
      </c>
      <c r="B584" s="2" t="s">
        <v>167</v>
      </c>
      <c r="C584" s="2" t="s">
        <v>168</v>
      </c>
      <c r="D584" s="15" t="s">
        <v>349</v>
      </c>
      <c r="E584" s="34">
        <v>400</v>
      </c>
      <c r="F584" s="34"/>
      <c r="G584" s="15" t="s">
        <v>253</v>
      </c>
      <c r="H584" s="1" t="s">
        <v>261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>
        <v>1</v>
      </c>
      <c r="AE584" s="1"/>
      <c r="AF584" s="48"/>
    </row>
    <row r="585" spans="1:32" s="8" customFormat="1" ht="24" x14ac:dyDescent="0.25">
      <c r="A585" s="42" t="s">
        <v>338</v>
      </c>
      <c r="B585" s="2" t="s">
        <v>167</v>
      </c>
      <c r="C585" s="2" t="s">
        <v>168</v>
      </c>
      <c r="D585" s="15" t="s">
        <v>349</v>
      </c>
      <c r="E585" s="34"/>
      <c r="F585" s="34"/>
      <c r="G585" s="15" t="s">
        <v>253</v>
      </c>
      <c r="H585" s="1" t="s">
        <v>267</v>
      </c>
      <c r="I585" s="1"/>
      <c r="J585" s="1"/>
      <c r="K585" s="1"/>
      <c r="L585" s="1"/>
      <c r="M585" s="1"/>
      <c r="N585" s="1"/>
      <c r="O585" s="1">
        <v>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48"/>
    </row>
    <row r="586" spans="1:32" s="8" customFormat="1" ht="24" x14ac:dyDescent="0.25">
      <c r="A586" s="42" t="s">
        <v>338</v>
      </c>
      <c r="B586" s="2" t="s">
        <v>167</v>
      </c>
      <c r="C586" s="2" t="s">
        <v>168</v>
      </c>
      <c r="D586" s="15" t="s">
        <v>349</v>
      </c>
      <c r="E586" s="15"/>
      <c r="F586" s="15"/>
      <c r="G586" s="15" t="s">
        <v>253</v>
      </c>
      <c r="H586" s="1" t="s">
        <v>272</v>
      </c>
      <c r="I586" s="1"/>
      <c r="J586" s="1">
        <v>1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48"/>
    </row>
    <row r="587" spans="1:32" s="8" customFormat="1" x14ac:dyDescent="0.25">
      <c r="A587" s="42" t="s">
        <v>338</v>
      </c>
      <c r="B587" s="2" t="s">
        <v>169</v>
      </c>
      <c r="C587" s="2" t="s">
        <v>170</v>
      </c>
      <c r="D587" s="15" t="s">
        <v>348</v>
      </c>
      <c r="E587" s="34">
        <v>17550</v>
      </c>
      <c r="F587" s="34"/>
      <c r="G587" s="15" t="s">
        <v>252</v>
      </c>
      <c r="H587" s="1" t="s">
        <v>251</v>
      </c>
      <c r="I587" s="1"/>
      <c r="J587" s="1"/>
      <c r="K587" s="1"/>
      <c r="L587" s="1"/>
      <c r="M587" s="1">
        <v>1</v>
      </c>
      <c r="N587" s="1">
        <v>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48"/>
    </row>
    <row r="588" spans="1:32" s="8" customFormat="1" x14ac:dyDescent="0.25">
      <c r="A588" s="42" t="s">
        <v>338</v>
      </c>
      <c r="B588" s="2" t="s">
        <v>169</v>
      </c>
      <c r="C588" s="2" t="s">
        <v>170</v>
      </c>
      <c r="D588" s="15" t="s">
        <v>348</v>
      </c>
      <c r="E588" s="15"/>
      <c r="F588" s="15"/>
      <c r="G588" s="15" t="s">
        <v>67</v>
      </c>
      <c r="H588" s="1" t="s">
        <v>255</v>
      </c>
      <c r="I588" s="1">
        <v>1</v>
      </c>
      <c r="J588" s="1">
        <v>1</v>
      </c>
      <c r="K588" s="1">
        <v>1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48"/>
    </row>
    <row r="589" spans="1:32" s="8" customFormat="1" x14ac:dyDescent="0.25">
      <c r="A589" s="42" t="s">
        <v>338</v>
      </c>
      <c r="B589" s="2" t="s">
        <v>169</v>
      </c>
      <c r="C589" s="2" t="s">
        <v>170</v>
      </c>
      <c r="D589" s="15" t="s">
        <v>348</v>
      </c>
      <c r="E589" s="15"/>
      <c r="F589" s="15"/>
      <c r="G589" s="15" t="s">
        <v>252</v>
      </c>
      <c r="H589" s="1" t="s">
        <v>261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>
        <v>1</v>
      </c>
      <c r="AB589" s="1"/>
      <c r="AC589" s="1">
        <v>1</v>
      </c>
      <c r="AD589" s="1"/>
      <c r="AE589" s="1"/>
      <c r="AF589" s="48"/>
    </row>
    <row r="590" spans="1:32" s="8" customFormat="1" x14ac:dyDescent="0.25">
      <c r="A590" s="42" t="s">
        <v>338</v>
      </c>
      <c r="B590" s="2" t="s">
        <v>169</v>
      </c>
      <c r="C590" s="2" t="s">
        <v>170</v>
      </c>
      <c r="D590" s="15" t="s">
        <v>348</v>
      </c>
      <c r="E590" s="15"/>
      <c r="F590" s="15"/>
      <c r="G590" s="15" t="s">
        <v>252</v>
      </c>
      <c r="H590" s="1" t="s">
        <v>265</v>
      </c>
      <c r="I590" s="1"/>
      <c r="J590" s="1"/>
      <c r="K590" s="1"/>
      <c r="L590" s="1"/>
      <c r="M590" s="1"/>
      <c r="N590" s="1"/>
      <c r="O590" s="1">
        <v>1</v>
      </c>
      <c r="P590" s="1">
        <v>1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48"/>
    </row>
    <row r="591" spans="1:32" s="8" customFormat="1" x14ac:dyDescent="0.25">
      <c r="A591" s="42" t="s">
        <v>338</v>
      </c>
      <c r="B591" s="2" t="s">
        <v>169</v>
      </c>
      <c r="C591" s="2" t="s">
        <v>170</v>
      </c>
      <c r="D591" s="15" t="s">
        <v>348</v>
      </c>
      <c r="E591" s="15"/>
      <c r="F591" s="15"/>
      <c r="G591" s="15" t="s">
        <v>67</v>
      </c>
      <c r="H591" s="1" t="s">
        <v>267</v>
      </c>
      <c r="I591" s="1">
        <v>1</v>
      </c>
      <c r="J591" s="1">
        <v>1</v>
      </c>
      <c r="K591" s="1"/>
      <c r="L591" s="1">
        <v>1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48"/>
    </row>
    <row r="592" spans="1:32" s="8" customFormat="1" x14ac:dyDescent="0.25">
      <c r="A592" s="42" t="s">
        <v>338</v>
      </c>
      <c r="B592" s="2" t="s">
        <v>169</v>
      </c>
      <c r="C592" s="2" t="s">
        <v>170</v>
      </c>
      <c r="D592" s="15" t="s">
        <v>348</v>
      </c>
      <c r="E592" s="15"/>
      <c r="F592" s="15"/>
      <c r="G592" s="15" t="s">
        <v>252</v>
      </c>
      <c r="H592" s="1" t="s">
        <v>269</v>
      </c>
      <c r="I592" s="1"/>
      <c r="J592" s="1"/>
      <c r="K592" s="1"/>
      <c r="L592" s="1"/>
      <c r="M592" s="1"/>
      <c r="N592" s="1"/>
      <c r="O592" s="1"/>
      <c r="P592" s="1"/>
      <c r="Q592" s="1">
        <v>1</v>
      </c>
      <c r="R592" s="1">
        <v>1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48"/>
    </row>
    <row r="593" spans="1:32" s="8" customFormat="1" x14ac:dyDescent="0.25">
      <c r="A593" s="42" t="s">
        <v>338</v>
      </c>
      <c r="B593" s="2" t="s">
        <v>169</v>
      </c>
      <c r="C593" s="2" t="s">
        <v>170</v>
      </c>
      <c r="D593" s="15" t="s">
        <v>348</v>
      </c>
      <c r="E593" s="15"/>
      <c r="F593" s="15"/>
      <c r="G593" s="15" t="s">
        <v>252</v>
      </c>
      <c r="H593" s="1" t="s">
        <v>272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>
        <v>1</v>
      </c>
      <c r="T593" s="1">
        <v>1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48"/>
    </row>
    <row r="594" spans="1:32" s="8" customFormat="1" x14ac:dyDescent="0.25">
      <c r="A594" s="42" t="s">
        <v>338</v>
      </c>
      <c r="B594" s="2" t="s">
        <v>169</v>
      </c>
      <c r="C594" s="2" t="s">
        <v>170</v>
      </c>
      <c r="D594" s="15" t="s">
        <v>348</v>
      </c>
      <c r="E594" s="15"/>
      <c r="F594" s="15"/>
      <c r="G594" s="15" t="s">
        <v>252</v>
      </c>
      <c r="H594" s="1" t="s">
        <v>273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>
        <v>1</v>
      </c>
      <c r="V594" s="1">
        <v>1</v>
      </c>
      <c r="W594" s="1">
        <v>1</v>
      </c>
      <c r="X594" s="1">
        <v>1</v>
      </c>
      <c r="Y594" s="1"/>
      <c r="Z594" s="1"/>
      <c r="AA594" s="1"/>
      <c r="AB594" s="1"/>
      <c r="AC594" s="1"/>
      <c r="AD594" s="1"/>
      <c r="AE594" s="1"/>
      <c r="AF594" s="48"/>
    </row>
    <row r="595" spans="1:32" s="8" customFormat="1" x14ac:dyDescent="0.25">
      <c r="A595" s="42" t="s">
        <v>338</v>
      </c>
      <c r="B595" s="2" t="s">
        <v>169</v>
      </c>
      <c r="C595" s="2" t="s">
        <v>170</v>
      </c>
      <c r="D595" s="15" t="s">
        <v>348</v>
      </c>
      <c r="E595" s="15"/>
      <c r="F595" s="15"/>
      <c r="G595" s="15" t="s">
        <v>252</v>
      </c>
      <c r="H595" s="1" t="s">
        <v>274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>
        <v>1</v>
      </c>
      <c r="Z595" s="1">
        <v>1</v>
      </c>
      <c r="AA595" s="1">
        <v>1</v>
      </c>
      <c r="AB595" s="1"/>
      <c r="AC595" s="1">
        <v>1</v>
      </c>
      <c r="AD595" s="1"/>
      <c r="AE595" s="1"/>
      <c r="AF595" s="48"/>
    </row>
    <row r="596" spans="1:32" s="8" customFormat="1" x14ac:dyDescent="0.25">
      <c r="A596" s="42" t="s">
        <v>338</v>
      </c>
      <c r="B596" s="2" t="s">
        <v>169</v>
      </c>
      <c r="C596" s="2" t="s">
        <v>170</v>
      </c>
      <c r="D596" s="15" t="s">
        <v>348</v>
      </c>
      <c r="E596" s="15"/>
      <c r="F596" s="15"/>
      <c r="G596" s="15" t="s">
        <v>252</v>
      </c>
      <c r="H596" s="1" t="s">
        <v>275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1</v>
      </c>
      <c r="AC596" s="1"/>
      <c r="AD596" s="1"/>
      <c r="AE596" s="1">
        <v>1</v>
      </c>
      <c r="AF596" s="48"/>
    </row>
    <row r="597" spans="1:32" s="8" customFormat="1" x14ac:dyDescent="0.25">
      <c r="A597" s="42" t="s">
        <v>338</v>
      </c>
      <c r="B597" s="2" t="s">
        <v>169</v>
      </c>
      <c r="C597" s="2" t="s">
        <v>170</v>
      </c>
      <c r="D597" s="15" t="s">
        <v>348</v>
      </c>
      <c r="E597" s="15"/>
      <c r="F597" s="15"/>
      <c r="G597" s="15" t="s">
        <v>252</v>
      </c>
      <c r="H597" s="1" t="s">
        <v>276</v>
      </c>
      <c r="I597" s="1"/>
      <c r="J597" s="1"/>
      <c r="K597" s="1"/>
      <c r="L597" s="1"/>
      <c r="M597" s="1">
        <v>1</v>
      </c>
      <c r="N597" s="1">
        <v>1</v>
      </c>
      <c r="O597" s="1">
        <v>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>
        <v>1</v>
      </c>
      <c r="AF597" s="48"/>
    </row>
    <row r="598" spans="1:32" s="8" customFormat="1" x14ac:dyDescent="0.25">
      <c r="A598" s="42" t="s">
        <v>338</v>
      </c>
      <c r="B598" s="2" t="s">
        <v>169</v>
      </c>
      <c r="C598" s="2" t="s">
        <v>170</v>
      </c>
      <c r="D598" s="15" t="s">
        <v>348</v>
      </c>
      <c r="E598" s="15"/>
      <c r="F598" s="15"/>
      <c r="G598" s="15" t="s">
        <v>252</v>
      </c>
      <c r="H598" s="1" t="s">
        <v>277</v>
      </c>
      <c r="I598" s="1"/>
      <c r="J598" s="1"/>
      <c r="K598" s="1">
        <v>1</v>
      </c>
      <c r="L598" s="1"/>
      <c r="M598" s="1"/>
      <c r="N598" s="1"/>
      <c r="O598" s="1">
        <v>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48"/>
    </row>
    <row r="599" spans="1:32" s="8" customFormat="1" ht="24" x14ac:dyDescent="0.25">
      <c r="A599" s="42" t="s">
        <v>338</v>
      </c>
      <c r="B599" s="2" t="s">
        <v>169</v>
      </c>
      <c r="C599" s="2" t="s">
        <v>170</v>
      </c>
      <c r="D599" s="15" t="s">
        <v>349</v>
      </c>
      <c r="E599" s="34">
        <v>595</v>
      </c>
      <c r="F599" s="34"/>
      <c r="G599" s="15" t="s">
        <v>253</v>
      </c>
      <c r="H599" s="1" t="s">
        <v>267</v>
      </c>
      <c r="I599" s="1"/>
      <c r="J599" s="1">
        <v>1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48"/>
    </row>
    <row r="600" spans="1:32" s="8" customFormat="1" ht="24" x14ac:dyDescent="0.25">
      <c r="A600" s="42" t="s">
        <v>338</v>
      </c>
      <c r="B600" s="2" t="s">
        <v>169</v>
      </c>
      <c r="C600" s="2" t="s">
        <v>170</v>
      </c>
      <c r="D600" s="15" t="s">
        <v>349</v>
      </c>
      <c r="E600" s="34"/>
      <c r="F600" s="34"/>
      <c r="G600" s="15" t="s">
        <v>253</v>
      </c>
      <c r="H600" s="1" t="s">
        <v>269</v>
      </c>
      <c r="I600" s="1"/>
      <c r="J600" s="1"/>
      <c r="K600" s="1">
        <v>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48"/>
    </row>
    <row r="601" spans="1:32" s="8" customFormat="1" ht="24" x14ac:dyDescent="0.25">
      <c r="A601" s="42" t="s">
        <v>338</v>
      </c>
      <c r="B601" s="2" t="s">
        <v>169</v>
      </c>
      <c r="C601" s="2" t="s">
        <v>170</v>
      </c>
      <c r="D601" s="15" t="s">
        <v>349</v>
      </c>
      <c r="E601" s="34"/>
      <c r="F601" s="34"/>
      <c r="G601" s="15" t="s">
        <v>253</v>
      </c>
      <c r="H601" s="1" t="s">
        <v>272</v>
      </c>
      <c r="I601" s="1"/>
      <c r="J601" s="1"/>
      <c r="K601" s="1"/>
      <c r="L601" s="1"/>
      <c r="M601" s="1"/>
      <c r="N601" s="1"/>
      <c r="O601" s="1">
        <v>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48"/>
    </row>
    <row r="602" spans="1:32" s="8" customFormat="1" ht="24" x14ac:dyDescent="0.25">
      <c r="A602" s="42" t="s">
        <v>338</v>
      </c>
      <c r="B602" s="2" t="s">
        <v>169</v>
      </c>
      <c r="C602" s="2" t="s">
        <v>170</v>
      </c>
      <c r="D602" s="15" t="s">
        <v>349</v>
      </c>
      <c r="E602" s="15"/>
      <c r="F602" s="15"/>
      <c r="G602" s="15" t="s">
        <v>253</v>
      </c>
      <c r="H602" s="1" t="s">
        <v>273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>
        <v>1</v>
      </c>
      <c r="W602" s="1"/>
      <c r="X602" s="1"/>
      <c r="Y602" s="1"/>
      <c r="Z602" s="1"/>
      <c r="AA602" s="1"/>
      <c r="AB602" s="1"/>
      <c r="AC602" s="1"/>
      <c r="AD602" s="1"/>
      <c r="AE602" s="1"/>
      <c r="AF602" s="48"/>
    </row>
    <row r="603" spans="1:32" s="8" customFormat="1" x14ac:dyDescent="0.25">
      <c r="A603" s="42" t="s">
        <v>338</v>
      </c>
      <c r="B603" s="2" t="s">
        <v>171</v>
      </c>
      <c r="C603" s="2" t="s">
        <v>172</v>
      </c>
      <c r="D603" s="15" t="s">
        <v>348</v>
      </c>
      <c r="E603" s="34">
        <v>14500</v>
      </c>
      <c r="F603" s="34">
        <v>0</v>
      </c>
      <c r="G603" s="15" t="s">
        <v>67</v>
      </c>
      <c r="H603" s="1" t="s">
        <v>251</v>
      </c>
      <c r="I603" s="1">
        <v>1</v>
      </c>
      <c r="J603" s="1"/>
      <c r="K603" s="1"/>
      <c r="L603" s="1">
        <v>1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48"/>
    </row>
    <row r="604" spans="1:32" s="8" customFormat="1" x14ac:dyDescent="0.25">
      <c r="A604" s="42" t="s">
        <v>338</v>
      </c>
      <c r="B604" s="2" t="s">
        <v>171</v>
      </c>
      <c r="C604" s="2" t="s">
        <v>172</v>
      </c>
      <c r="D604" s="15" t="s">
        <v>348</v>
      </c>
      <c r="E604" s="34"/>
      <c r="F604" s="34"/>
      <c r="G604" s="15" t="s">
        <v>252</v>
      </c>
      <c r="H604" s="1" t="s">
        <v>255</v>
      </c>
      <c r="I604" s="1"/>
      <c r="J604" s="1"/>
      <c r="K604" s="1"/>
      <c r="L604" s="1"/>
      <c r="M604" s="1">
        <v>1</v>
      </c>
      <c r="N604" s="1">
        <v>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48"/>
    </row>
    <row r="605" spans="1:32" s="8" customFormat="1" x14ac:dyDescent="0.25">
      <c r="A605" s="42" t="s">
        <v>338</v>
      </c>
      <c r="B605" s="2" t="s">
        <v>171</v>
      </c>
      <c r="C605" s="2" t="s">
        <v>172</v>
      </c>
      <c r="D605" s="15" t="s">
        <v>348</v>
      </c>
      <c r="E605" s="15"/>
      <c r="F605" s="15"/>
      <c r="G605" s="15" t="s">
        <v>252</v>
      </c>
      <c r="H605" s="1" t="s">
        <v>261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>
        <v>1</v>
      </c>
      <c r="AB605" s="1"/>
      <c r="AC605" s="1">
        <v>1</v>
      </c>
      <c r="AD605" s="1"/>
      <c r="AE605" s="1"/>
      <c r="AF605" s="48"/>
    </row>
    <row r="606" spans="1:32" s="8" customFormat="1" x14ac:dyDescent="0.25">
      <c r="A606" s="42" t="s">
        <v>338</v>
      </c>
      <c r="B606" s="2" t="s">
        <v>171</v>
      </c>
      <c r="C606" s="2" t="s">
        <v>172</v>
      </c>
      <c r="D606" s="15" t="s">
        <v>348</v>
      </c>
      <c r="E606" s="15"/>
      <c r="F606" s="15"/>
      <c r="G606" s="15" t="s">
        <v>252</v>
      </c>
      <c r="H606" s="1" t="s">
        <v>265</v>
      </c>
      <c r="I606" s="1"/>
      <c r="J606" s="1"/>
      <c r="K606" s="1"/>
      <c r="L606" s="1"/>
      <c r="M606" s="1"/>
      <c r="N606" s="1"/>
      <c r="O606" s="1">
        <v>1</v>
      </c>
      <c r="P606" s="1">
        <v>1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48"/>
    </row>
    <row r="607" spans="1:32" s="8" customFormat="1" x14ac:dyDescent="0.25">
      <c r="A607" s="42" t="s">
        <v>338</v>
      </c>
      <c r="B607" s="2" t="s">
        <v>171</v>
      </c>
      <c r="C607" s="2" t="s">
        <v>172</v>
      </c>
      <c r="D607" s="15" t="s">
        <v>348</v>
      </c>
      <c r="E607" s="15"/>
      <c r="F607" s="15"/>
      <c r="G607" s="15" t="s">
        <v>67</v>
      </c>
      <c r="H607" s="1" t="s">
        <v>267</v>
      </c>
      <c r="I607" s="1">
        <v>1</v>
      </c>
      <c r="J607" s="1">
        <v>1</v>
      </c>
      <c r="K607" s="1">
        <v>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48"/>
    </row>
    <row r="608" spans="1:32" s="8" customFormat="1" x14ac:dyDescent="0.25">
      <c r="A608" s="42" t="s">
        <v>338</v>
      </c>
      <c r="B608" s="2" t="s">
        <v>171</v>
      </c>
      <c r="C608" s="2" t="s">
        <v>172</v>
      </c>
      <c r="D608" s="15" t="s">
        <v>348</v>
      </c>
      <c r="E608" s="15"/>
      <c r="F608" s="15"/>
      <c r="G608" s="15" t="s">
        <v>252</v>
      </c>
      <c r="H608" s="1" t="s">
        <v>269</v>
      </c>
      <c r="I608" s="1"/>
      <c r="J608" s="1"/>
      <c r="K608" s="1"/>
      <c r="L608" s="1"/>
      <c r="M608" s="1"/>
      <c r="N608" s="1"/>
      <c r="O608" s="1"/>
      <c r="P608" s="1"/>
      <c r="Q608" s="1">
        <v>1</v>
      </c>
      <c r="R608" s="1">
        <v>1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48"/>
    </row>
    <row r="609" spans="1:32" s="8" customFormat="1" x14ac:dyDescent="0.25">
      <c r="A609" s="42" t="s">
        <v>338</v>
      </c>
      <c r="B609" s="2" t="s">
        <v>171</v>
      </c>
      <c r="C609" s="2" t="s">
        <v>172</v>
      </c>
      <c r="D609" s="15" t="s">
        <v>348</v>
      </c>
      <c r="E609" s="15"/>
      <c r="F609" s="15"/>
      <c r="G609" s="15" t="s">
        <v>252</v>
      </c>
      <c r="H609" s="1" t="s">
        <v>272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>
        <v>1</v>
      </c>
      <c r="T609" s="1">
        <v>1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48"/>
    </row>
    <row r="610" spans="1:32" s="8" customFormat="1" x14ac:dyDescent="0.25">
      <c r="A610" s="42" t="s">
        <v>338</v>
      </c>
      <c r="B610" s="2" t="s">
        <v>171</v>
      </c>
      <c r="C610" s="2" t="s">
        <v>172</v>
      </c>
      <c r="D610" s="15" t="s">
        <v>348</v>
      </c>
      <c r="E610" s="15"/>
      <c r="F610" s="15"/>
      <c r="G610" s="15" t="s">
        <v>252</v>
      </c>
      <c r="H610" s="1" t="s">
        <v>273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>
        <v>1</v>
      </c>
      <c r="V610" s="1">
        <v>1</v>
      </c>
      <c r="W610" s="1"/>
      <c r="X610" s="1"/>
      <c r="Y610" s="1"/>
      <c r="Z610" s="1"/>
      <c r="AA610" s="1"/>
      <c r="AB610" s="1"/>
      <c r="AC610" s="1"/>
      <c r="AD610" s="1"/>
      <c r="AE610" s="1"/>
      <c r="AF610" s="48"/>
    </row>
    <row r="611" spans="1:32" s="8" customFormat="1" x14ac:dyDescent="0.25">
      <c r="A611" s="42" t="s">
        <v>338</v>
      </c>
      <c r="B611" s="2" t="s">
        <v>171</v>
      </c>
      <c r="C611" s="2" t="s">
        <v>172</v>
      </c>
      <c r="D611" s="15" t="s">
        <v>348</v>
      </c>
      <c r="E611" s="15"/>
      <c r="F611" s="15"/>
      <c r="G611" s="15" t="s">
        <v>252</v>
      </c>
      <c r="H611" s="1" t="s">
        <v>274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>
        <v>1</v>
      </c>
      <c r="AB611" s="1"/>
      <c r="AC611" s="1">
        <v>1</v>
      </c>
      <c r="AD611" s="1"/>
      <c r="AE611" s="1"/>
      <c r="AF611" s="48"/>
    </row>
    <row r="612" spans="1:32" s="8" customFormat="1" x14ac:dyDescent="0.25">
      <c r="A612" s="42" t="s">
        <v>338</v>
      </c>
      <c r="B612" s="2" t="s">
        <v>171</v>
      </c>
      <c r="C612" s="2" t="s">
        <v>172</v>
      </c>
      <c r="D612" s="15" t="s">
        <v>348</v>
      </c>
      <c r="E612" s="15"/>
      <c r="F612" s="15"/>
      <c r="G612" s="15" t="s">
        <v>252</v>
      </c>
      <c r="H612" s="1" t="s">
        <v>275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1</v>
      </c>
      <c r="X612" s="1">
        <v>1</v>
      </c>
      <c r="Y612" s="1"/>
      <c r="Z612" s="1"/>
      <c r="AA612" s="1"/>
      <c r="AB612" s="1"/>
      <c r="AC612" s="1"/>
      <c r="AD612" s="1"/>
      <c r="AE612" s="1"/>
      <c r="AF612" s="48"/>
    </row>
    <row r="613" spans="1:32" s="8" customFormat="1" x14ac:dyDescent="0.25">
      <c r="A613" s="42" t="s">
        <v>338</v>
      </c>
      <c r="B613" s="2" t="s">
        <v>171</v>
      </c>
      <c r="C613" s="2" t="s">
        <v>172</v>
      </c>
      <c r="D613" s="15" t="s">
        <v>348</v>
      </c>
      <c r="E613" s="15"/>
      <c r="F613" s="15"/>
      <c r="G613" s="15" t="s">
        <v>252</v>
      </c>
      <c r="H613" s="1" t="s">
        <v>276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>
        <v>1</v>
      </c>
      <c r="Z613" s="1">
        <v>1</v>
      </c>
      <c r="AA613" s="1"/>
      <c r="AB613" s="1"/>
      <c r="AC613" s="1"/>
      <c r="AD613" s="1"/>
      <c r="AE613" s="1"/>
      <c r="AF613" s="48"/>
    </row>
    <row r="614" spans="1:32" s="8" customFormat="1" x14ac:dyDescent="0.25">
      <c r="A614" s="42" t="s">
        <v>338</v>
      </c>
      <c r="B614" s="2" t="s">
        <v>171</v>
      </c>
      <c r="C614" s="2" t="s">
        <v>172</v>
      </c>
      <c r="D614" s="15" t="s">
        <v>348</v>
      </c>
      <c r="E614" s="15"/>
      <c r="F614" s="15"/>
      <c r="G614" s="15" t="s">
        <v>252</v>
      </c>
      <c r="H614" s="1" t="s">
        <v>277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1</v>
      </c>
      <c r="AC614" s="1"/>
      <c r="AD614" s="1"/>
      <c r="AE614" s="1">
        <v>1</v>
      </c>
      <c r="AF614" s="48"/>
    </row>
    <row r="615" spans="1:32" s="8" customFormat="1" x14ac:dyDescent="0.25">
      <c r="A615" s="42" t="s">
        <v>339</v>
      </c>
      <c r="B615" s="2" t="s">
        <v>174</v>
      </c>
      <c r="C615" s="2" t="s">
        <v>175</v>
      </c>
      <c r="D615" s="15" t="s">
        <v>348</v>
      </c>
      <c r="E615" s="34">
        <v>43000</v>
      </c>
      <c r="F615" s="34">
        <v>0</v>
      </c>
      <c r="G615" s="15" t="s">
        <v>252</v>
      </c>
      <c r="H615" s="1" t="s">
        <v>251</v>
      </c>
      <c r="I615" s="1"/>
      <c r="J615" s="1"/>
      <c r="K615" s="1"/>
      <c r="L615" s="1"/>
      <c r="M615" s="1">
        <v>1</v>
      </c>
      <c r="N615" s="1">
        <v>1</v>
      </c>
      <c r="O615" s="1">
        <v>1</v>
      </c>
      <c r="P615" s="1">
        <v>1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48"/>
    </row>
    <row r="616" spans="1:32" s="8" customFormat="1" x14ac:dyDescent="0.25">
      <c r="A616" s="42" t="s">
        <v>339</v>
      </c>
      <c r="B616" s="2" t="s">
        <v>174</v>
      </c>
      <c r="C616" s="2" t="s">
        <v>175</v>
      </c>
      <c r="D616" s="15" t="s">
        <v>348</v>
      </c>
      <c r="E616" s="15"/>
      <c r="F616" s="15"/>
      <c r="G616" s="15" t="s">
        <v>67</v>
      </c>
      <c r="H616" s="1" t="s">
        <v>255</v>
      </c>
      <c r="I616" s="1">
        <v>1</v>
      </c>
      <c r="J616" s="1">
        <v>1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48"/>
    </row>
    <row r="617" spans="1:32" s="8" customFormat="1" x14ac:dyDescent="0.25">
      <c r="A617" s="42" t="s">
        <v>339</v>
      </c>
      <c r="B617" s="2" t="s">
        <v>174</v>
      </c>
      <c r="C617" s="2" t="s">
        <v>175</v>
      </c>
      <c r="D617" s="15" t="s">
        <v>348</v>
      </c>
      <c r="E617" s="15"/>
      <c r="F617" s="15"/>
      <c r="G617" s="15" t="s">
        <v>252</v>
      </c>
      <c r="H617" s="1" t="s">
        <v>255</v>
      </c>
      <c r="I617" s="1"/>
      <c r="J617" s="1"/>
      <c r="K617" s="1"/>
      <c r="L617" s="1"/>
      <c r="M617" s="1"/>
      <c r="N617" s="1"/>
      <c r="O617" s="1"/>
      <c r="P617" s="1"/>
      <c r="Q617" s="1">
        <v>1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/>
      <c r="X617" s="1"/>
      <c r="Y617" s="1"/>
      <c r="Z617" s="1"/>
      <c r="AA617" s="1"/>
      <c r="AB617" s="1"/>
      <c r="AC617" s="1"/>
      <c r="AD617" s="1"/>
      <c r="AE617" s="1"/>
      <c r="AF617" s="48"/>
    </row>
    <row r="618" spans="1:32" s="8" customFormat="1" x14ac:dyDescent="0.25">
      <c r="A618" s="42" t="s">
        <v>339</v>
      </c>
      <c r="B618" s="2" t="s">
        <v>174</v>
      </c>
      <c r="C618" s="2" t="s">
        <v>175</v>
      </c>
      <c r="D618" s="15" t="s">
        <v>348</v>
      </c>
      <c r="E618" s="15"/>
      <c r="F618" s="15"/>
      <c r="G618" s="15" t="s">
        <v>67</v>
      </c>
      <c r="H618" s="1" t="s">
        <v>261</v>
      </c>
      <c r="I618" s="1"/>
      <c r="J618" s="1"/>
      <c r="K618" s="1">
        <v>1</v>
      </c>
      <c r="L618" s="1">
        <v>1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48"/>
    </row>
    <row r="619" spans="1:32" s="8" customFormat="1" x14ac:dyDescent="0.25">
      <c r="A619" s="42" t="s">
        <v>339</v>
      </c>
      <c r="B619" s="2" t="s">
        <v>174</v>
      </c>
      <c r="C619" s="2" t="s">
        <v>175</v>
      </c>
      <c r="D619" s="15" t="s">
        <v>348</v>
      </c>
      <c r="E619" s="15"/>
      <c r="F619" s="15"/>
      <c r="G619" s="15" t="s">
        <v>252</v>
      </c>
      <c r="H619" s="1" t="s">
        <v>261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>
        <v>1</v>
      </c>
      <c r="Z619" s="1">
        <v>1</v>
      </c>
      <c r="AA619" s="1">
        <v>1</v>
      </c>
      <c r="AB619" s="1">
        <v>1</v>
      </c>
      <c r="AC619" s="1">
        <v>1</v>
      </c>
      <c r="AD619" s="1"/>
      <c r="AE619" s="1">
        <v>1</v>
      </c>
      <c r="AF619" s="48"/>
    </row>
    <row r="620" spans="1:32" s="8" customFormat="1" x14ac:dyDescent="0.25">
      <c r="A620" s="42" t="s">
        <v>339</v>
      </c>
      <c r="B620" s="2" t="s">
        <v>174</v>
      </c>
      <c r="C620" s="2" t="s">
        <v>175</v>
      </c>
      <c r="D620" s="15" t="s">
        <v>348</v>
      </c>
      <c r="E620" s="15"/>
      <c r="F620" s="15"/>
      <c r="G620" s="15" t="s">
        <v>67</v>
      </c>
      <c r="H620" s="1" t="s">
        <v>265</v>
      </c>
      <c r="I620" s="1">
        <v>1</v>
      </c>
      <c r="J620" s="1">
        <v>1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48"/>
    </row>
    <row r="621" spans="1:32" s="8" customFormat="1" x14ac:dyDescent="0.25">
      <c r="A621" s="42" t="s">
        <v>339</v>
      </c>
      <c r="B621" s="2" t="s">
        <v>174</v>
      </c>
      <c r="C621" s="2" t="s">
        <v>175</v>
      </c>
      <c r="D621" s="15" t="s">
        <v>348</v>
      </c>
      <c r="E621" s="15"/>
      <c r="F621" s="15"/>
      <c r="G621" s="15" t="s">
        <v>252</v>
      </c>
      <c r="H621" s="1" t="s">
        <v>265</v>
      </c>
      <c r="I621" s="1"/>
      <c r="J621" s="1"/>
      <c r="K621" s="1"/>
      <c r="L621" s="1">
        <v>1</v>
      </c>
      <c r="M621" s="1">
        <v>1</v>
      </c>
      <c r="N621" s="1">
        <v>1</v>
      </c>
      <c r="O621" s="1">
        <v>1</v>
      </c>
      <c r="P621" s="1"/>
      <c r="Q621" s="1"/>
      <c r="R621" s="1"/>
      <c r="S621" s="1"/>
      <c r="T621" s="1"/>
      <c r="U621" s="1"/>
      <c r="V621" s="1"/>
      <c r="W621" s="1">
        <v>1</v>
      </c>
      <c r="X621" s="1">
        <v>1</v>
      </c>
      <c r="Y621" s="1"/>
      <c r="Z621" s="1"/>
      <c r="AA621" s="1"/>
      <c r="AB621" s="1"/>
      <c r="AC621" s="1"/>
      <c r="AD621" s="1"/>
      <c r="AE621" s="1"/>
      <c r="AF621" s="48"/>
    </row>
    <row r="622" spans="1:32" s="8" customFormat="1" x14ac:dyDescent="0.25">
      <c r="A622" s="42" t="s">
        <v>339</v>
      </c>
      <c r="B622" s="2" t="s">
        <v>174</v>
      </c>
      <c r="C622" s="2" t="s">
        <v>175</v>
      </c>
      <c r="D622" s="15" t="s">
        <v>348</v>
      </c>
      <c r="E622" s="15"/>
      <c r="F622" s="15"/>
      <c r="G622" s="15" t="s">
        <v>67</v>
      </c>
      <c r="H622" s="1" t="s">
        <v>267</v>
      </c>
      <c r="I622" s="1">
        <v>1</v>
      </c>
      <c r="J622" s="1"/>
      <c r="K622" s="1">
        <v>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48"/>
    </row>
    <row r="623" spans="1:32" s="8" customFormat="1" x14ac:dyDescent="0.25">
      <c r="A623" s="42" t="s">
        <v>339</v>
      </c>
      <c r="B623" s="2" t="s">
        <v>174</v>
      </c>
      <c r="C623" s="2" t="s">
        <v>175</v>
      </c>
      <c r="D623" s="15" t="s">
        <v>348</v>
      </c>
      <c r="E623" s="15"/>
      <c r="F623" s="15"/>
      <c r="G623" s="15" t="s">
        <v>252</v>
      </c>
      <c r="H623" s="1" t="s">
        <v>267</v>
      </c>
      <c r="I623" s="1"/>
      <c r="J623" s="1">
        <v>1</v>
      </c>
      <c r="K623" s="1">
        <v>1</v>
      </c>
      <c r="L623" s="1"/>
      <c r="M623" s="1"/>
      <c r="N623" s="1"/>
      <c r="O623" s="1">
        <v>1</v>
      </c>
      <c r="P623" s="1">
        <v>1</v>
      </c>
      <c r="Q623" s="1">
        <v>1</v>
      </c>
      <c r="R623" s="1">
        <v>1</v>
      </c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48"/>
    </row>
    <row r="624" spans="1:32" s="8" customFormat="1" x14ac:dyDescent="0.25">
      <c r="A624" s="42" t="s">
        <v>339</v>
      </c>
      <c r="B624" s="2" t="s">
        <v>174</v>
      </c>
      <c r="C624" s="2" t="s">
        <v>175</v>
      </c>
      <c r="D624" s="15" t="s">
        <v>348</v>
      </c>
      <c r="E624" s="15"/>
      <c r="F624" s="15"/>
      <c r="G624" s="15" t="s">
        <v>67</v>
      </c>
      <c r="H624" s="1" t="s">
        <v>269</v>
      </c>
      <c r="I624" s="1">
        <v>1</v>
      </c>
      <c r="J624" s="1"/>
      <c r="K624" s="1"/>
      <c r="L624" s="1">
        <v>1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48"/>
    </row>
    <row r="625" spans="1:32" s="8" customFormat="1" x14ac:dyDescent="0.25">
      <c r="A625" s="42" t="s">
        <v>339</v>
      </c>
      <c r="B625" s="2" t="s">
        <v>174</v>
      </c>
      <c r="C625" s="2" t="s">
        <v>175</v>
      </c>
      <c r="D625" s="15" t="s">
        <v>348</v>
      </c>
      <c r="E625" s="15"/>
      <c r="F625" s="15"/>
      <c r="G625" s="15" t="s">
        <v>252</v>
      </c>
      <c r="H625" s="1" t="s">
        <v>269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>
        <v>1</v>
      </c>
      <c r="T625" s="1">
        <v>1</v>
      </c>
      <c r="U625" s="1">
        <v>1</v>
      </c>
      <c r="V625" s="1">
        <v>1</v>
      </c>
      <c r="W625" s="1">
        <v>1</v>
      </c>
      <c r="X625" s="1">
        <v>1</v>
      </c>
      <c r="Y625" s="1"/>
      <c r="Z625" s="1"/>
      <c r="AA625" s="1"/>
      <c r="AB625" s="1"/>
      <c r="AC625" s="1"/>
      <c r="AD625" s="1"/>
      <c r="AE625" s="1"/>
      <c r="AF625" s="48"/>
    </row>
    <row r="626" spans="1:32" s="8" customFormat="1" x14ac:dyDescent="0.25">
      <c r="A626" s="42" t="s">
        <v>339</v>
      </c>
      <c r="B626" s="2" t="s">
        <v>174</v>
      </c>
      <c r="C626" s="2" t="s">
        <v>175</v>
      </c>
      <c r="D626" s="15" t="s">
        <v>348</v>
      </c>
      <c r="E626" s="15"/>
      <c r="F626" s="15"/>
      <c r="G626" s="15" t="s">
        <v>67</v>
      </c>
      <c r="H626" s="1" t="s">
        <v>272</v>
      </c>
      <c r="I626" s="1"/>
      <c r="J626" s="1"/>
      <c r="K626" s="1">
        <v>1</v>
      </c>
      <c r="L626" s="1"/>
      <c r="M626" s="1"/>
      <c r="N626" s="1"/>
      <c r="O626" s="1">
        <v>1</v>
      </c>
      <c r="P626" s="1"/>
      <c r="Q626" s="1"/>
      <c r="R626" s="1"/>
      <c r="S626" s="1"/>
      <c r="T626" s="1"/>
      <c r="U626" s="1"/>
      <c r="V626" s="1"/>
      <c r="W626" s="1"/>
      <c r="X626" s="1"/>
      <c r="Y626" s="1">
        <v>1</v>
      </c>
      <c r="Z626" s="1">
        <v>1</v>
      </c>
      <c r="AA626" s="1"/>
      <c r="AB626" s="1">
        <v>1</v>
      </c>
      <c r="AC626" s="1"/>
      <c r="AD626" s="1"/>
      <c r="AE626" s="1">
        <v>1</v>
      </c>
      <c r="AF626" s="48"/>
    </row>
    <row r="627" spans="1:32" s="8" customFormat="1" x14ac:dyDescent="0.25">
      <c r="A627" s="42" t="s">
        <v>339</v>
      </c>
      <c r="B627" s="2" t="s">
        <v>174</v>
      </c>
      <c r="C627" s="2" t="s">
        <v>175</v>
      </c>
      <c r="D627" s="15" t="s">
        <v>348</v>
      </c>
      <c r="E627" s="15"/>
      <c r="F627" s="15"/>
      <c r="G627" s="15" t="s">
        <v>252</v>
      </c>
      <c r="H627" s="1" t="s">
        <v>273</v>
      </c>
      <c r="I627" s="1">
        <v>1</v>
      </c>
      <c r="J627" s="1">
        <v>1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48"/>
    </row>
    <row r="628" spans="1:32" s="8" customFormat="1" x14ac:dyDescent="0.25">
      <c r="A628" s="42" t="s">
        <v>339</v>
      </c>
      <c r="B628" s="2" t="s">
        <v>174</v>
      </c>
      <c r="C628" s="2" t="s">
        <v>175</v>
      </c>
      <c r="D628" s="15" t="s">
        <v>348</v>
      </c>
      <c r="E628" s="15"/>
      <c r="F628" s="15"/>
      <c r="G628" s="15" t="s">
        <v>67</v>
      </c>
      <c r="H628" s="1" t="s">
        <v>273</v>
      </c>
      <c r="I628" s="1"/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48"/>
    </row>
    <row r="629" spans="1:32" s="8" customFormat="1" x14ac:dyDescent="0.25">
      <c r="A629" s="42" t="s">
        <v>339</v>
      </c>
      <c r="B629" s="2" t="s">
        <v>174</v>
      </c>
      <c r="C629" s="2" t="s">
        <v>175</v>
      </c>
      <c r="D629" s="15" t="s">
        <v>348</v>
      </c>
      <c r="E629" s="15"/>
      <c r="F629" s="15"/>
      <c r="G629" s="15" t="s">
        <v>252</v>
      </c>
      <c r="H629" s="1" t="s">
        <v>274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>
        <v>1</v>
      </c>
      <c r="Z629" s="1">
        <v>1</v>
      </c>
      <c r="AA629" s="1">
        <v>1</v>
      </c>
      <c r="AB629" s="1">
        <v>1</v>
      </c>
      <c r="AC629" s="1">
        <v>1</v>
      </c>
      <c r="AD629" s="1"/>
      <c r="AE629" s="1">
        <v>1</v>
      </c>
      <c r="AF629" s="48"/>
    </row>
    <row r="630" spans="1:32" s="8" customFormat="1" x14ac:dyDescent="0.25">
      <c r="A630" s="42" t="s">
        <v>339</v>
      </c>
      <c r="B630" s="2" t="s">
        <v>174</v>
      </c>
      <c r="C630" s="2" t="s">
        <v>175</v>
      </c>
      <c r="D630" s="15" t="s">
        <v>348</v>
      </c>
      <c r="E630" s="15"/>
      <c r="F630" s="15"/>
      <c r="G630" s="15" t="s">
        <v>67</v>
      </c>
      <c r="H630" s="1" t="s">
        <v>275</v>
      </c>
      <c r="I630" s="1"/>
      <c r="J630" s="1"/>
      <c r="K630" s="1"/>
      <c r="L630" s="1"/>
      <c r="M630" s="1"/>
      <c r="N630" s="1"/>
      <c r="O630" s="1"/>
      <c r="P630" s="1">
        <v>1</v>
      </c>
      <c r="Q630" s="1">
        <v>1</v>
      </c>
      <c r="R630" s="1">
        <v>1</v>
      </c>
      <c r="S630" s="1">
        <v>1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48"/>
    </row>
    <row r="631" spans="1:32" s="8" customFormat="1" x14ac:dyDescent="0.25">
      <c r="A631" s="42" t="s">
        <v>339</v>
      </c>
      <c r="B631" s="2" t="s">
        <v>174</v>
      </c>
      <c r="C631" s="2" t="s">
        <v>175</v>
      </c>
      <c r="D631" s="15" t="s">
        <v>348</v>
      </c>
      <c r="E631" s="15"/>
      <c r="F631" s="15"/>
      <c r="G631" s="15" t="s">
        <v>252</v>
      </c>
      <c r="H631" s="1" t="s">
        <v>276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>
        <v>1</v>
      </c>
      <c r="U631" s="1">
        <v>1</v>
      </c>
      <c r="V631" s="1">
        <v>1</v>
      </c>
      <c r="W631" s="1">
        <v>1</v>
      </c>
      <c r="X631" s="1"/>
      <c r="Y631" s="1"/>
      <c r="Z631" s="1"/>
      <c r="AA631" s="1"/>
      <c r="AB631" s="1"/>
      <c r="AC631" s="1"/>
      <c r="AD631" s="1"/>
      <c r="AE631" s="1"/>
      <c r="AF631" s="48"/>
    </row>
    <row r="632" spans="1:32" s="8" customFormat="1" x14ac:dyDescent="0.25">
      <c r="A632" s="42" t="s">
        <v>339</v>
      </c>
      <c r="B632" s="2" t="s">
        <v>174</v>
      </c>
      <c r="C632" s="2" t="s">
        <v>175</v>
      </c>
      <c r="D632" s="15" t="s">
        <v>348</v>
      </c>
      <c r="E632" s="15"/>
      <c r="F632" s="15"/>
      <c r="G632" s="15" t="s">
        <v>252</v>
      </c>
      <c r="H632" s="1" t="s">
        <v>277</v>
      </c>
      <c r="I632" s="1"/>
      <c r="J632" s="1"/>
      <c r="K632" s="1"/>
      <c r="L632" s="1"/>
      <c r="M632" s="1"/>
      <c r="N632" s="1"/>
      <c r="O632" s="1">
        <v>1</v>
      </c>
      <c r="P632" s="1"/>
      <c r="Q632" s="1"/>
      <c r="R632" s="1"/>
      <c r="S632" s="1"/>
      <c r="T632" s="1"/>
      <c r="U632" s="1"/>
      <c r="V632" s="1"/>
      <c r="W632" s="1"/>
      <c r="X632" s="1">
        <v>1</v>
      </c>
      <c r="Y632" s="1"/>
      <c r="Z632" s="1"/>
      <c r="AA632" s="1"/>
      <c r="AB632" s="1"/>
      <c r="AC632" s="1"/>
      <c r="AD632" s="1"/>
      <c r="AE632" s="1"/>
      <c r="AF632" s="48"/>
    </row>
    <row r="633" spans="1:32" s="8" customFormat="1" x14ac:dyDescent="0.25">
      <c r="A633" s="42" t="s">
        <v>339</v>
      </c>
      <c r="B633" s="2" t="s">
        <v>176</v>
      </c>
      <c r="C633" s="2" t="s">
        <v>177</v>
      </c>
      <c r="D633" s="15" t="s">
        <v>348</v>
      </c>
      <c r="E633" s="34">
        <v>13500</v>
      </c>
      <c r="F633" s="34">
        <v>0</v>
      </c>
      <c r="G633" s="15" t="s">
        <v>67</v>
      </c>
      <c r="H633" s="1" t="s">
        <v>251</v>
      </c>
      <c r="I633" s="1">
        <v>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48"/>
    </row>
    <row r="634" spans="1:32" s="8" customFormat="1" x14ac:dyDescent="0.25">
      <c r="A634" s="42" t="s">
        <v>339</v>
      </c>
      <c r="B634" s="2" t="s">
        <v>176</v>
      </c>
      <c r="C634" s="2" t="s">
        <v>177</v>
      </c>
      <c r="D634" s="15" t="s">
        <v>348</v>
      </c>
      <c r="E634" s="15"/>
      <c r="F634" s="15"/>
      <c r="G634" s="15" t="s">
        <v>252</v>
      </c>
      <c r="H634" s="1" t="s">
        <v>255</v>
      </c>
      <c r="I634" s="1"/>
      <c r="J634" s="1"/>
      <c r="K634" s="1"/>
      <c r="L634" s="1">
        <v>1</v>
      </c>
      <c r="M634" s="1">
        <v>1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48"/>
    </row>
    <row r="635" spans="1:32" s="8" customFormat="1" x14ac:dyDescent="0.25">
      <c r="A635" s="42" t="s">
        <v>339</v>
      </c>
      <c r="B635" s="2" t="s">
        <v>176</v>
      </c>
      <c r="C635" s="2" t="s">
        <v>177</v>
      </c>
      <c r="D635" s="15" t="s">
        <v>348</v>
      </c>
      <c r="E635" s="15"/>
      <c r="F635" s="15"/>
      <c r="G635" s="15" t="s">
        <v>67</v>
      </c>
      <c r="H635" s="1" t="s">
        <v>261</v>
      </c>
      <c r="I635" s="1"/>
      <c r="J635" s="1">
        <v>1</v>
      </c>
      <c r="K635" s="1">
        <v>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48"/>
    </row>
    <row r="636" spans="1:32" s="8" customFormat="1" x14ac:dyDescent="0.25">
      <c r="A636" s="42" t="s">
        <v>339</v>
      </c>
      <c r="B636" s="2" t="s">
        <v>176</v>
      </c>
      <c r="C636" s="2" t="s">
        <v>177</v>
      </c>
      <c r="D636" s="15" t="s">
        <v>348</v>
      </c>
      <c r="E636" s="15"/>
      <c r="F636" s="15"/>
      <c r="G636" s="15" t="s">
        <v>252</v>
      </c>
      <c r="H636" s="1" t="s">
        <v>265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>
        <v>1</v>
      </c>
      <c r="AB636" s="1"/>
      <c r="AC636" s="1">
        <v>1</v>
      </c>
      <c r="AD636" s="1"/>
      <c r="AE636" s="1"/>
      <c r="AF636" s="48"/>
    </row>
    <row r="637" spans="1:32" s="8" customFormat="1" x14ac:dyDescent="0.25">
      <c r="A637" s="42" t="s">
        <v>339</v>
      </c>
      <c r="B637" s="2" t="s">
        <v>176</v>
      </c>
      <c r="C637" s="2" t="s">
        <v>177</v>
      </c>
      <c r="D637" s="15" t="s">
        <v>348</v>
      </c>
      <c r="E637" s="15"/>
      <c r="F637" s="15"/>
      <c r="G637" s="15" t="s">
        <v>252</v>
      </c>
      <c r="H637" s="1" t="s">
        <v>267</v>
      </c>
      <c r="I637" s="1"/>
      <c r="J637" s="1"/>
      <c r="K637" s="1"/>
      <c r="L637" s="1"/>
      <c r="M637" s="1"/>
      <c r="N637" s="1">
        <v>1</v>
      </c>
      <c r="O637" s="1">
        <v>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48"/>
    </row>
    <row r="638" spans="1:32" s="8" customFormat="1" x14ac:dyDescent="0.25">
      <c r="A638" s="42" t="s">
        <v>339</v>
      </c>
      <c r="B638" s="2" t="s">
        <v>176</v>
      </c>
      <c r="C638" s="2" t="s">
        <v>177</v>
      </c>
      <c r="D638" s="15" t="s">
        <v>348</v>
      </c>
      <c r="E638" s="15"/>
      <c r="F638" s="15"/>
      <c r="G638" s="15" t="s">
        <v>252</v>
      </c>
      <c r="H638" s="1" t="s">
        <v>269</v>
      </c>
      <c r="I638" s="1"/>
      <c r="J638" s="1"/>
      <c r="K638" s="1"/>
      <c r="L638" s="1"/>
      <c r="M638" s="1"/>
      <c r="N638" s="1"/>
      <c r="O638" s="1"/>
      <c r="P638" s="1">
        <v>1</v>
      </c>
      <c r="Q638" s="1">
        <v>1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48"/>
    </row>
    <row r="639" spans="1:32" s="8" customFormat="1" x14ac:dyDescent="0.25">
      <c r="A639" s="42" t="s">
        <v>339</v>
      </c>
      <c r="B639" s="2" t="s">
        <v>176</v>
      </c>
      <c r="C639" s="2" t="s">
        <v>177</v>
      </c>
      <c r="D639" s="15" t="s">
        <v>348</v>
      </c>
      <c r="E639" s="15"/>
      <c r="F639" s="15"/>
      <c r="G639" s="15" t="s">
        <v>252</v>
      </c>
      <c r="H639" s="1" t="s">
        <v>272</v>
      </c>
      <c r="I639" s="1"/>
      <c r="J639" s="1"/>
      <c r="K639" s="1"/>
      <c r="L639" s="1"/>
      <c r="M639" s="1"/>
      <c r="N639" s="1"/>
      <c r="O639" s="1"/>
      <c r="P639" s="1"/>
      <c r="Q639" s="1"/>
      <c r="R639" s="1">
        <v>1</v>
      </c>
      <c r="S639" s="1">
        <v>1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48"/>
    </row>
    <row r="640" spans="1:32" s="8" customFormat="1" x14ac:dyDescent="0.25">
      <c r="A640" s="42" t="s">
        <v>339</v>
      </c>
      <c r="B640" s="2" t="s">
        <v>176</v>
      </c>
      <c r="C640" s="2" t="s">
        <v>177</v>
      </c>
      <c r="D640" s="15" t="s">
        <v>348</v>
      </c>
      <c r="E640" s="15"/>
      <c r="F640" s="15"/>
      <c r="G640" s="15" t="s">
        <v>252</v>
      </c>
      <c r="H640" s="1" t="s">
        <v>273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>
        <v>1</v>
      </c>
      <c r="U640" s="1">
        <v>1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48"/>
    </row>
    <row r="641" spans="1:32" s="8" customFormat="1" x14ac:dyDescent="0.25">
      <c r="A641" s="42" t="s">
        <v>339</v>
      </c>
      <c r="B641" s="2" t="s">
        <v>176</v>
      </c>
      <c r="C641" s="2" t="s">
        <v>177</v>
      </c>
      <c r="D641" s="15" t="s">
        <v>348</v>
      </c>
      <c r="E641" s="15"/>
      <c r="F641" s="15"/>
      <c r="G641" s="15" t="s">
        <v>252</v>
      </c>
      <c r="H641" s="1" t="s">
        <v>274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>
        <v>1</v>
      </c>
      <c r="W641" s="1">
        <v>1</v>
      </c>
      <c r="X641" s="1"/>
      <c r="Y641" s="1"/>
      <c r="Z641" s="1"/>
      <c r="AA641" s="1"/>
      <c r="AB641" s="1"/>
      <c r="AC641" s="1"/>
      <c r="AD641" s="1"/>
      <c r="AE641" s="1"/>
      <c r="AF641" s="48"/>
    </row>
    <row r="642" spans="1:32" s="8" customFormat="1" x14ac:dyDescent="0.25">
      <c r="A642" s="42" t="s">
        <v>339</v>
      </c>
      <c r="B642" s="2" t="s">
        <v>176</v>
      </c>
      <c r="C642" s="2" t="s">
        <v>177</v>
      </c>
      <c r="D642" s="15" t="s">
        <v>348</v>
      </c>
      <c r="E642" s="15"/>
      <c r="F642" s="15"/>
      <c r="G642" s="15" t="s">
        <v>252</v>
      </c>
      <c r="H642" s="1" t="s">
        <v>275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>
        <v>1</v>
      </c>
      <c r="Y642" s="1">
        <v>1</v>
      </c>
      <c r="Z642" s="1"/>
      <c r="AA642" s="1"/>
      <c r="AB642" s="1"/>
      <c r="AC642" s="1"/>
      <c r="AD642" s="1"/>
      <c r="AE642" s="1"/>
      <c r="AF642" s="48"/>
    </row>
    <row r="643" spans="1:32" s="8" customFormat="1" x14ac:dyDescent="0.25">
      <c r="A643" s="42" t="s">
        <v>339</v>
      </c>
      <c r="B643" s="2" t="s">
        <v>176</v>
      </c>
      <c r="C643" s="2" t="s">
        <v>177</v>
      </c>
      <c r="D643" s="15" t="s">
        <v>348</v>
      </c>
      <c r="E643" s="15"/>
      <c r="F643" s="15"/>
      <c r="G643" s="15" t="s">
        <v>252</v>
      </c>
      <c r="H643" s="1" t="s">
        <v>276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>
        <v>1</v>
      </c>
      <c r="AA643" s="1"/>
      <c r="AB643" s="1">
        <v>1</v>
      </c>
      <c r="AC643" s="1"/>
      <c r="AD643" s="1"/>
      <c r="AE643" s="1"/>
      <c r="AF643" s="48"/>
    </row>
    <row r="644" spans="1:32" s="8" customFormat="1" x14ac:dyDescent="0.25">
      <c r="A644" s="42" t="s">
        <v>339</v>
      </c>
      <c r="B644" s="2" t="s">
        <v>176</v>
      </c>
      <c r="C644" s="2" t="s">
        <v>177</v>
      </c>
      <c r="D644" s="15" t="s">
        <v>348</v>
      </c>
      <c r="E644" s="15"/>
      <c r="F644" s="15"/>
      <c r="G644" s="15" t="s">
        <v>252</v>
      </c>
      <c r="H644" s="1" t="s">
        <v>277</v>
      </c>
      <c r="I644" s="1"/>
      <c r="J644" s="1"/>
      <c r="K644" s="1"/>
      <c r="L644" s="1"/>
      <c r="M644" s="1"/>
      <c r="N644" s="1"/>
      <c r="O644" s="1">
        <v>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>
        <v>1</v>
      </c>
      <c r="AF644" s="48"/>
    </row>
    <row r="645" spans="1:32" s="8" customFormat="1" x14ac:dyDescent="0.25">
      <c r="A645" s="42" t="s">
        <v>339</v>
      </c>
      <c r="B645" s="2" t="s">
        <v>176</v>
      </c>
      <c r="C645" s="2" t="s">
        <v>177</v>
      </c>
      <c r="D645" s="15" t="s">
        <v>350</v>
      </c>
      <c r="E645" s="34">
        <v>1000</v>
      </c>
      <c r="F645" s="34"/>
      <c r="G645" s="15" t="s">
        <v>122</v>
      </c>
      <c r="H645" s="1" t="s">
        <v>265</v>
      </c>
      <c r="I645" s="1">
        <v>1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48"/>
    </row>
    <row r="646" spans="1:32" s="8" customFormat="1" x14ac:dyDescent="0.25">
      <c r="A646" s="42" t="s">
        <v>339</v>
      </c>
      <c r="B646" s="2" t="s">
        <v>176</v>
      </c>
      <c r="C646" s="2" t="s">
        <v>177</v>
      </c>
      <c r="D646" s="15" t="s">
        <v>350</v>
      </c>
      <c r="E646" s="34"/>
      <c r="F646" s="34"/>
      <c r="G646" s="15" t="s">
        <v>254</v>
      </c>
      <c r="H646" s="1" t="s">
        <v>267</v>
      </c>
      <c r="I646" s="1"/>
      <c r="J646" s="1">
        <v>1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48"/>
    </row>
    <row r="647" spans="1:32" s="8" customFormat="1" x14ac:dyDescent="0.25">
      <c r="A647" s="42" t="s">
        <v>339</v>
      </c>
      <c r="B647" s="2" t="s">
        <v>176</v>
      </c>
      <c r="C647" s="2" t="s">
        <v>177</v>
      </c>
      <c r="D647" s="15" t="s">
        <v>350</v>
      </c>
      <c r="E647" s="34"/>
      <c r="F647" s="34"/>
      <c r="G647" s="15" t="s">
        <v>254</v>
      </c>
      <c r="H647" s="1" t="s">
        <v>269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>
        <v>1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48"/>
    </row>
    <row r="648" spans="1:32" s="8" customFormat="1" x14ac:dyDescent="0.25">
      <c r="A648" s="42" t="s">
        <v>339</v>
      </c>
      <c r="B648" s="2" t="s">
        <v>176</v>
      </c>
      <c r="C648" s="2" t="s">
        <v>177</v>
      </c>
      <c r="D648" s="15" t="s">
        <v>350</v>
      </c>
      <c r="E648" s="34"/>
      <c r="F648" s="34"/>
      <c r="G648" s="15" t="s">
        <v>254</v>
      </c>
      <c r="H648" s="1" t="s">
        <v>272</v>
      </c>
      <c r="I648" s="1"/>
      <c r="J648" s="1"/>
      <c r="K648" s="1"/>
      <c r="L648" s="1"/>
      <c r="M648" s="1"/>
      <c r="N648" s="1"/>
      <c r="O648" s="1">
        <v>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48"/>
    </row>
    <row r="649" spans="1:32" s="8" customFormat="1" x14ac:dyDescent="0.25">
      <c r="A649" s="42" t="s">
        <v>339</v>
      </c>
      <c r="B649" s="2" t="s">
        <v>176</v>
      </c>
      <c r="C649" s="2" t="s">
        <v>177</v>
      </c>
      <c r="D649" s="15" t="s">
        <v>350</v>
      </c>
      <c r="E649" s="34"/>
      <c r="F649" s="34"/>
      <c r="G649" s="15" t="s">
        <v>254</v>
      </c>
      <c r="H649" s="1" t="s">
        <v>273</v>
      </c>
      <c r="I649" s="1"/>
      <c r="J649" s="1"/>
      <c r="K649" s="1"/>
      <c r="L649" s="1"/>
      <c r="M649" s="1"/>
      <c r="N649" s="1"/>
      <c r="O649" s="1"/>
      <c r="P649" s="1"/>
      <c r="Q649" s="1">
        <v>1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48"/>
    </row>
    <row r="650" spans="1:32" s="8" customFormat="1" x14ac:dyDescent="0.25">
      <c r="A650" s="42" t="s">
        <v>339</v>
      </c>
      <c r="B650" s="2" t="s">
        <v>176</v>
      </c>
      <c r="C650" s="2" t="s">
        <v>177</v>
      </c>
      <c r="D650" s="15" t="s">
        <v>350</v>
      </c>
      <c r="E650" s="34"/>
      <c r="F650" s="34"/>
      <c r="G650" s="15" t="s">
        <v>254</v>
      </c>
      <c r="H650" s="1" t="s">
        <v>274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>
        <v>1</v>
      </c>
      <c r="AB650" s="1"/>
      <c r="AC650" s="1"/>
      <c r="AD650" s="1"/>
      <c r="AE650" s="1"/>
      <c r="AF650" s="48"/>
    </row>
    <row r="651" spans="1:32" s="8" customFormat="1" x14ac:dyDescent="0.25">
      <c r="A651" s="42" t="s">
        <v>339</v>
      </c>
      <c r="B651" s="2" t="s">
        <v>176</v>
      </c>
      <c r="C651" s="2" t="s">
        <v>177</v>
      </c>
      <c r="D651" s="15" t="s">
        <v>350</v>
      </c>
      <c r="E651" s="34"/>
      <c r="F651" s="34"/>
      <c r="G651" s="15" t="s">
        <v>254</v>
      </c>
      <c r="H651" s="1" t="s">
        <v>275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1</v>
      </c>
      <c r="AC651" s="1"/>
      <c r="AD651" s="1"/>
      <c r="AE651" s="1"/>
      <c r="AF651" s="48"/>
    </row>
    <row r="652" spans="1:32" s="8" customFormat="1" x14ac:dyDescent="0.25">
      <c r="A652" s="42" t="s">
        <v>339</v>
      </c>
      <c r="B652" s="2" t="s">
        <v>176</v>
      </c>
      <c r="C652" s="2" t="s">
        <v>177</v>
      </c>
      <c r="D652" s="15" t="s">
        <v>354</v>
      </c>
      <c r="E652" s="34">
        <v>800</v>
      </c>
      <c r="F652" s="34">
        <v>0</v>
      </c>
      <c r="G652" s="15" t="s">
        <v>179</v>
      </c>
      <c r="H652" s="1" t="s">
        <v>261</v>
      </c>
      <c r="I652" s="1">
        <v>1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48"/>
    </row>
    <row r="653" spans="1:32" s="8" customFormat="1" x14ac:dyDescent="0.25">
      <c r="A653" s="42" t="s">
        <v>339</v>
      </c>
      <c r="B653" s="2" t="s">
        <v>176</v>
      </c>
      <c r="C653" s="2" t="s">
        <v>177</v>
      </c>
      <c r="D653" s="15" t="s">
        <v>354</v>
      </c>
      <c r="E653" s="34"/>
      <c r="F653" s="34"/>
      <c r="G653" s="15" t="s">
        <v>268</v>
      </c>
      <c r="H653" s="1" t="s">
        <v>267</v>
      </c>
      <c r="I653" s="1"/>
      <c r="J653" s="1"/>
      <c r="K653" s="1">
        <v>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48"/>
    </row>
    <row r="654" spans="1:32" s="8" customFormat="1" x14ac:dyDescent="0.25">
      <c r="A654" s="42" t="s">
        <v>339</v>
      </c>
      <c r="B654" s="2" t="s">
        <v>176</v>
      </c>
      <c r="C654" s="2" t="s">
        <v>177</v>
      </c>
      <c r="D654" s="15" t="s">
        <v>354</v>
      </c>
      <c r="E654" s="34"/>
      <c r="F654" s="34"/>
      <c r="G654" s="15" t="s">
        <v>268</v>
      </c>
      <c r="H654" s="1" t="s">
        <v>272</v>
      </c>
      <c r="I654" s="1"/>
      <c r="J654" s="1"/>
      <c r="K654" s="1"/>
      <c r="L654" s="1"/>
      <c r="M654" s="1"/>
      <c r="N654" s="1"/>
      <c r="O654" s="1">
        <v>1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48"/>
    </row>
    <row r="655" spans="1:32" s="8" customFormat="1" x14ac:dyDescent="0.25">
      <c r="A655" s="42" t="s">
        <v>339</v>
      </c>
      <c r="B655" s="2" t="s">
        <v>176</v>
      </c>
      <c r="C655" s="2" t="s">
        <v>177</v>
      </c>
      <c r="D655" s="15" t="s">
        <v>354</v>
      </c>
      <c r="E655" s="34"/>
      <c r="F655" s="34"/>
      <c r="G655" s="15" t="s">
        <v>268</v>
      </c>
      <c r="H655" s="1" t="s">
        <v>274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>
        <v>1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48"/>
    </row>
    <row r="656" spans="1:32" s="8" customFormat="1" x14ac:dyDescent="0.25">
      <c r="A656" s="42" t="s">
        <v>339</v>
      </c>
      <c r="B656" s="2" t="s">
        <v>176</v>
      </c>
      <c r="C656" s="2" t="s">
        <v>177</v>
      </c>
      <c r="D656" s="15" t="s">
        <v>354</v>
      </c>
      <c r="E656" s="15"/>
      <c r="F656" s="15"/>
      <c r="G656" s="15" t="s">
        <v>268</v>
      </c>
      <c r="H656" s="1" t="s">
        <v>276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1</v>
      </c>
      <c r="AC656" s="1"/>
      <c r="AD656" s="1"/>
      <c r="AE656" s="1"/>
      <c r="AF656" s="48"/>
    </row>
    <row r="657" spans="1:32" s="8" customFormat="1" x14ac:dyDescent="0.25">
      <c r="A657" s="42" t="s">
        <v>340</v>
      </c>
      <c r="B657" s="2" t="s">
        <v>182</v>
      </c>
      <c r="C657" s="2" t="s">
        <v>183</v>
      </c>
      <c r="D657" s="15" t="s">
        <v>348</v>
      </c>
      <c r="E657" s="34">
        <v>54450</v>
      </c>
      <c r="F657" s="34">
        <v>0</v>
      </c>
      <c r="G657" s="15" t="s">
        <v>252</v>
      </c>
      <c r="H657" s="1" t="s">
        <v>251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>
        <v>1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/>
      <c r="AB657" s="1">
        <v>1</v>
      </c>
      <c r="AC657" s="1"/>
      <c r="AD657" s="1"/>
      <c r="AE657" s="1">
        <v>1</v>
      </c>
      <c r="AF657" s="48"/>
    </row>
    <row r="658" spans="1:32" s="11" customFormat="1" x14ac:dyDescent="0.25">
      <c r="A658" s="42" t="s">
        <v>340</v>
      </c>
      <c r="B658" s="2" t="s">
        <v>182</v>
      </c>
      <c r="C658" s="2" t="s">
        <v>183</v>
      </c>
      <c r="D658" s="15" t="s">
        <v>348</v>
      </c>
      <c r="E658" s="15"/>
      <c r="F658" s="15"/>
      <c r="G658" s="15" t="s">
        <v>252</v>
      </c>
      <c r="H658" s="1" t="s">
        <v>255</v>
      </c>
      <c r="I658" s="1"/>
      <c r="J658" s="1"/>
      <c r="K658" s="1"/>
      <c r="L658" s="1"/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48"/>
    </row>
    <row r="659" spans="1:32" s="8" customFormat="1" x14ac:dyDescent="0.25">
      <c r="A659" s="42" t="s">
        <v>340</v>
      </c>
      <c r="B659" s="2" t="s">
        <v>182</v>
      </c>
      <c r="C659" s="2" t="s">
        <v>183</v>
      </c>
      <c r="D659" s="15" t="s">
        <v>348</v>
      </c>
      <c r="E659" s="15"/>
      <c r="F659" s="15"/>
      <c r="G659" s="15" t="s">
        <v>67</v>
      </c>
      <c r="H659" s="1" t="s">
        <v>261</v>
      </c>
      <c r="I659" s="1">
        <v>1</v>
      </c>
      <c r="J659" s="1">
        <v>1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48"/>
    </row>
    <row r="660" spans="1:32" s="8" customFormat="1" x14ac:dyDescent="0.25">
      <c r="A660" s="42" t="s">
        <v>340</v>
      </c>
      <c r="B660" s="2" t="s">
        <v>182</v>
      </c>
      <c r="C660" s="2" t="s">
        <v>183</v>
      </c>
      <c r="D660" s="15" t="s">
        <v>348</v>
      </c>
      <c r="E660" s="15"/>
      <c r="F660" s="15"/>
      <c r="G660" s="15" t="s">
        <v>252</v>
      </c>
      <c r="H660" s="1" t="s">
        <v>261</v>
      </c>
      <c r="I660" s="1"/>
      <c r="J660" s="1">
        <v>1</v>
      </c>
      <c r="K660" s="1">
        <v>1</v>
      </c>
      <c r="L660" s="1">
        <v>1</v>
      </c>
      <c r="M660" s="1">
        <v>1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>
        <v>1</v>
      </c>
      <c r="AB660" s="1">
        <v>1</v>
      </c>
      <c r="AC660" s="1">
        <v>1</v>
      </c>
      <c r="AD660" s="1"/>
      <c r="AE660" s="1">
        <v>1</v>
      </c>
      <c r="AF660" s="48"/>
    </row>
    <row r="661" spans="1:32" s="8" customFormat="1" x14ac:dyDescent="0.25">
      <c r="A661" s="42" t="s">
        <v>340</v>
      </c>
      <c r="B661" s="2" t="s">
        <v>182</v>
      </c>
      <c r="C661" s="2" t="s">
        <v>183</v>
      </c>
      <c r="D661" s="15" t="s">
        <v>348</v>
      </c>
      <c r="E661" s="15"/>
      <c r="F661" s="15"/>
      <c r="G661" s="15" t="s">
        <v>67</v>
      </c>
      <c r="H661" s="1" t="s">
        <v>265</v>
      </c>
      <c r="I661" s="1"/>
      <c r="J661" s="1"/>
      <c r="K661" s="1">
        <v>1</v>
      </c>
      <c r="L661" s="1">
        <v>1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48"/>
    </row>
    <row r="662" spans="1:32" s="8" customFormat="1" x14ac:dyDescent="0.25">
      <c r="A662" s="42" t="s">
        <v>340</v>
      </c>
      <c r="B662" s="2" t="s">
        <v>182</v>
      </c>
      <c r="C662" s="2" t="s">
        <v>183</v>
      </c>
      <c r="D662" s="15" t="s">
        <v>348</v>
      </c>
      <c r="E662" s="15"/>
      <c r="F662" s="15"/>
      <c r="G662" s="15" t="s">
        <v>252</v>
      </c>
      <c r="H662" s="1" t="s">
        <v>265</v>
      </c>
      <c r="I662" s="1"/>
      <c r="J662" s="1"/>
      <c r="K662" s="1"/>
      <c r="L662" s="1"/>
      <c r="M662" s="1"/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48"/>
    </row>
    <row r="663" spans="1:32" s="8" customFormat="1" x14ac:dyDescent="0.25">
      <c r="A663" s="42" t="s">
        <v>340</v>
      </c>
      <c r="B663" s="2" t="s">
        <v>182</v>
      </c>
      <c r="C663" s="2" t="s">
        <v>183</v>
      </c>
      <c r="D663" s="15" t="s">
        <v>348</v>
      </c>
      <c r="E663" s="15"/>
      <c r="F663" s="15"/>
      <c r="G663" s="15" t="s">
        <v>67</v>
      </c>
      <c r="H663" s="1" t="s">
        <v>267</v>
      </c>
      <c r="I663" s="1">
        <v>1</v>
      </c>
      <c r="J663" s="1">
        <v>1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48"/>
    </row>
    <row r="664" spans="1:32" s="8" customFormat="1" x14ac:dyDescent="0.25">
      <c r="A664" s="42" t="s">
        <v>340</v>
      </c>
      <c r="B664" s="2" t="s">
        <v>182</v>
      </c>
      <c r="C664" s="2" t="s">
        <v>183</v>
      </c>
      <c r="D664" s="15" t="s">
        <v>348</v>
      </c>
      <c r="E664" s="15"/>
      <c r="F664" s="15"/>
      <c r="G664" s="15" t="s">
        <v>252</v>
      </c>
      <c r="H664" s="1" t="s">
        <v>267</v>
      </c>
      <c r="I664" s="1"/>
      <c r="J664" s="1"/>
      <c r="K664" s="1"/>
      <c r="L664" s="1"/>
      <c r="M664" s="1"/>
      <c r="N664" s="1"/>
      <c r="O664" s="1">
        <v>1</v>
      </c>
      <c r="P664" s="1"/>
      <c r="Q664" s="1"/>
      <c r="R664" s="1"/>
      <c r="S664" s="1"/>
      <c r="T664" s="1"/>
      <c r="U664" s="1"/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/>
      <c r="AB664" s="1">
        <v>1</v>
      </c>
      <c r="AC664" s="1"/>
      <c r="AD664" s="1"/>
      <c r="AE664" s="1">
        <v>1</v>
      </c>
      <c r="AF664" s="48"/>
    </row>
    <row r="665" spans="1:32" s="8" customFormat="1" x14ac:dyDescent="0.25">
      <c r="A665" s="42" t="s">
        <v>340</v>
      </c>
      <c r="B665" s="2" t="s">
        <v>182</v>
      </c>
      <c r="C665" s="2" t="s">
        <v>183</v>
      </c>
      <c r="D665" s="15" t="s">
        <v>348</v>
      </c>
      <c r="E665" s="15"/>
      <c r="F665" s="15"/>
      <c r="G665" s="15" t="s">
        <v>67</v>
      </c>
      <c r="H665" s="1" t="s">
        <v>269</v>
      </c>
      <c r="I665" s="1">
        <v>1</v>
      </c>
      <c r="J665" s="1"/>
      <c r="K665" s="1">
        <v>1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48"/>
    </row>
    <row r="666" spans="1:32" s="8" customFormat="1" x14ac:dyDescent="0.25">
      <c r="A666" s="42" t="s">
        <v>340</v>
      </c>
      <c r="B666" s="2" t="s">
        <v>182</v>
      </c>
      <c r="C666" s="2" t="s">
        <v>183</v>
      </c>
      <c r="D666" s="15" t="s">
        <v>348</v>
      </c>
      <c r="E666" s="15"/>
      <c r="F666" s="15"/>
      <c r="G666" s="15" t="s">
        <v>252</v>
      </c>
      <c r="H666" s="1" t="s">
        <v>269</v>
      </c>
      <c r="I666" s="1"/>
      <c r="J666" s="1"/>
      <c r="K666" s="1"/>
      <c r="L666" s="1"/>
      <c r="M666" s="1"/>
      <c r="N666" s="1"/>
      <c r="O666" s="1"/>
      <c r="P666" s="1"/>
      <c r="Q666" s="1"/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/>
      <c r="Z666" s="1"/>
      <c r="AA666" s="1"/>
      <c r="AB666" s="1"/>
      <c r="AC666" s="1"/>
      <c r="AD666" s="1"/>
      <c r="AE666" s="1">
        <v>1</v>
      </c>
      <c r="AF666" s="48"/>
    </row>
    <row r="667" spans="1:32" s="8" customFormat="1" x14ac:dyDescent="0.25">
      <c r="A667" s="42" t="s">
        <v>340</v>
      </c>
      <c r="B667" s="2" t="s">
        <v>182</v>
      </c>
      <c r="C667" s="2" t="s">
        <v>183</v>
      </c>
      <c r="D667" s="15" t="s">
        <v>348</v>
      </c>
      <c r="E667" s="15"/>
      <c r="F667" s="15"/>
      <c r="G667" s="15" t="s">
        <v>67</v>
      </c>
      <c r="H667" s="1" t="s">
        <v>272</v>
      </c>
      <c r="I667" s="1">
        <v>1</v>
      </c>
      <c r="J667" s="1"/>
      <c r="K667" s="1"/>
      <c r="L667" s="1">
        <v>1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48"/>
    </row>
    <row r="668" spans="1:32" s="8" customFormat="1" x14ac:dyDescent="0.25">
      <c r="A668" s="42" t="s">
        <v>340</v>
      </c>
      <c r="B668" s="2" t="s">
        <v>182</v>
      </c>
      <c r="C668" s="2" t="s">
        <v>183</v>
      </c>
      <c r="D668" s="15" t="s">
        <v>348</v>
      </c>
      <c r="E668" s="15"/>
      <c r="F668" s="15"/>
      <c r="G668" s="15" t="s">
        <v>252</v>
      </c>
      <c r="H668" s="1" t="s">
        <v>272</v>
      </c>
      <c r="I668" s="1"/>
      <c r="J668" s="1"/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48"/>
    </row>
    <row r="669" spans="1:32" s="8" customFormat="1" x14ac:dyDescent="0.25">
      <c r="A669" s="42" t="s">
        <v>340</v>
      </c>
      <c r="B669" s="2" t="s">
        <v>182</v>
      </c>
      <c r="C669" s="2" t="s">
        <v>183</v>
      </c>
      <c r="D669" s="15" t="s">
        <v>348</v>
      </c>
      <c r="E669" s="15"/>
      <c r="F669" s="15"/>
      <c r="G669" s="15" t="s">
        <v>67</v>
      </c>
      <c r="H669" s="1" t="s">
        <v>273</v>
      </c>
      <c r="I669" s="1">
        <v>1</v>
      </c>
      <c r="J669" s="1">
        <v>1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48"/>
    </row>
    <row r="670" spans="1:32" s="8" customFormat="1" x14ac:dyDescent="0.25">
      <c r="A670" s="42" t="s">
        <v>340</v>
      </c>
      <c r="B670" s="2" t="s">
        <v>182</v>
      </c>
      <c r="C670" s="2" t="s">
        <v>183</v>
      </c>
      <c r="D670" s="15" t="s">
        <v>348</v>
      </c>
      <c r="E670" s="15"/>
      <c r="F670" s="15"/>
      <c r="G670" s="15" t="s">
        <v>252</v>
      </c>
      <c r="H670" s="1" t="s">
        <v>273</v>
      </c>
      <c r="I670" s="1"/>
      <c r="J670" s="1"/>
      <c r="K670" s="1"/>
      <c r="L670" s="1"/>
      <c r="M670" s="1"/>
      <c r="N670" s="1"/>
      <c r="O670" s="1"/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/>
      <c r="Y670" s="1"/>
      <c r="Z670" s="1"/>
      <c r="AA670" s="1"/>
      <c r="AB670" s="1"/>
      <c r="AC670" s="1"/>
      <c r="AD670" s="1"/>
      <c r="AE670" s="1"/>
      <c r="AF670" s="48"/>
    </row>
    <row r="671" spans="1:32" s="8" customFormat="1" x14ac:dyDescent="0.25">
      <c r="A671" s="42" t="s">
        <v>340</v>
      </c>
      <c r="B671" s="2" t="s">
        <v>182</v>
      </c>
      <c r="C671" s="2" t="s">
        <v>183</v>
      </c>
      <c r="D671" s="15" t="s">
        <v>348</v>
      </c>
      <c r="E671" s="15"/>
      <c r="F671" s="15"/>
      <c r="G671" s="15" t="s">
        <v>252</v>
      </c>
      <c r="H671" s="1" t="s">
        <v>274</v>
      </c>
      <c r="I671" s="1"/>
      <c r="J671" s="1"/>
      <c r="K671" s="1">
        <v>1</v>
      </c>
      <c r="L671" s="1"/>
      <c r="M671" s="1"/>
      <c r="N671" s="1">
        <v>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>
        <v>1</v>
      </c>
      <c r="AB671" s="1"/>
      <c r="AC671" s="1">
        <v>1</v>
      </c>
      <c r="AD671" s="1"/>
      <c r="AE671" s="1"/>
      <c r="AF671" s="48"/>
    </row>
    <row r="672" spans="1:32" s="8" customFormat="1" x14ac:dyDescent="0.25">
      <c r="A672" s="42" t="s">
        <v>340</v>
      </c>
      <c r="B672" s="2" t="s">
        <v>182</v>
      </c>
      <c r="C672" s="2" t="s">
        <v>183</v>
      </c>
      <c r="D672" s="15" t="s">
        <v>348</v>
      </c>
      <c r="E672" s="15"/>
      <c r="F672" s="15"/>
      <c r="G672" s="15" t="s">
        <v>67</v>
      </c>
      <c r="H672" s="1" t="s">
        <v>275</v>
      </c>
      <c r="I672" s="1">
        <v>1</v>
      </c>
      <c r="J672" s="1"/>
      <c r="K672" s="1">
        <v>1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48"/>
    </row>
    <row r="673" spans="1:32" s="8" customFormat="1" x14ac:dyDescent="0.25">
      <c r="A673" s="42" t="s">
        <v>340</v>
      </c>
      <c r="B673" s="2" t="s">
        <v>182</v>
      </c>
      <c r="C673" s="2" t="s">
        <v>183</v>
      </c>
      <c r="D673" s="15" t="s">
        <v>348</v>
      </c>
      <c r="E673" s="15"/>
      <c r="F673" s="15"/>
      <c r="G673" s="15" t="s">
        <v>252</v>
      </c>
      <c r="H673" s="1" t="s">
        <v>275</v>
      </c>
      <c r="I673" s="1"/>
      <c r="J673" s="1"/>
      <c r="K673" s="1"/>
      <c r="L673" s="1"/>
      <c r="M673" s="1"/>
      <c r="N673" s="1"/>
      <c r="O673" s="1">
        <v>1</v>
      </c>
      <c r="P673" s="1">
        <v>1</v>
      </c>
      <c r="Q673" s="1">
        <v>1</v>
      </c>
      <c r="R673" s="1"/>
      <c r="S673" s="1"/>
      <c r="T673" s="1"/>
      <c r="U673" s="1"/>
      <c r="V673" s="1"/>
      <c r="W673" s="1"/>
      <c r="X673" s="1">
        <v>1</v>
      </c>
      <c r="Y673" s="1"/>
      <c r="Z673" s="1"/>
      <c r="AA673" s="1"/>
      <c r="AB673" s="1"/>
      <c r="AC673" s="1"/>
      <c r="AD673" s="1"/>
      <c r="AE673" s="1"/>
      <c r="AF673" s="48"/>
    </row>
    <row r="674" spans="1:32" s="8" customFormat="1" x14ac:dyDescent="0.25">
      <c r="A674" s="42" t="s">
        <v>340</v>
      </c>
      <c r="B674" s="2" t="s">
        <v>182</v>
      </c>
      <c r="C674" s="2" t="s">
        <v>183</v>
      </c>
      <c r="D674" s="15" t="s">
        <v>348</v>
      </c>
      <c r="E674" s="15"/>
      <c r="F674" s="15"/>
      <c r="G674" s="15" t="s">
        <v>252</v>
      </c>
      <c r="H674" s="1" t="s">
        <v>276</v>
      </c>
      <c r="I674" s="1"/>
      <c r="J674" s="1">
        <v>1</v>
      </c>
      <c r="K674" s="1"/>
      <c r="L674" s="1"/>
      <c r="M674" s="1"/>
      <c r="N674" s="1"/>
      <c r="O674" s="1">
        <v>1</v>
      </c>
      <c r="P674" s="1"/>
      <c r="Q674" s="1"/>
      <c r="R674" s="1"/>
      <c r="S674" s="1"/>
      <c r="T674" s="1"/>
      <c r="U674" s="1"/>
      <c r="V674" s="1"/>
      <c r="W674" s="1">
        <v>1</v>
      </c>
      <c r="X674" s="1"/>
      <c r="Y674" s="1"/>
      <c r="Z674" s="1"/>
      <c r="AA674" s="1"/>
      <c r="AB674" s="1">
        <v>1</v>
      </c>
      <c r="AC674" s="1"/>
      <c r="AD674" s="1"/>
      <c r="AE674" s="1"/>
      <c r="AF674" s="48"/>
    </row>
    <row r="675" spans="1:32" s="8" customFormat="1" x14ac:dyDescent="0.25">
      <c r="A675" s="42" t="s">
        <v>340</v>
      </c>
      <c r="B675" s="2" t="s">
        <v>182</v>
      </c>
      <c r="C675" s="2" t="s">
        <v>183</v>
      </c>
      <c r="D675" s="15" t="s">
        <v>348</v>
      </c>
      <c r="E675" s="15"/>
      <c r="F675" s="15"/>
      <c r="G675" s="15" t="s">
        <v>252</v>
      </c>
      <c r="H675" s="1" t="s">
        <v>277</v>
      </c>
      <c r="I675" s="1"/>
      <c r="J675" s="1">
        <v>1</v>
      </c>
      <c r="K675" s="1"/>
      <c r="L675" s="1"/>
      <c r="M675" s="1"/>
      <c r="N675" s="1"/>
      <c r="O675" s="1">
        <v>1</v>
      </c>
      <c r="P675" s="1"/>
      <c r="Q675" s="1"/>
      <c r="R675" s="1"/>
      <c r="S675" s="1">
        <v>1</v>
      </c>
      <c r="T675" s="1"/>
      <c r="U675" s="1"/>
      <c r="V675" s="1"/>
      <c r="W675" s="1"/>
      <c r="X675" s="1">
        <v>1</v>
      </c>
      <c r="Y675" s="1"/>
      <c r="Z675" s="1"/>
      <c r="AA675" s="1"/>
      <c r="AB675" s="1"/>
      <c r="AC675" s="1"/>
      <c r="AD675" s="1"/>
      <c r="AE675" s="1"/>
      <c r="AF675" s="48"/>
    </row>
    <row r="676" spans="1:32" s="8" customFormat="1" x14ac:dyDescent="0.25">
      <c r="A676" s="42" t="s">
        <v>340</v>
      </c>
      <c r="B676" s="2" t="s">
        <v>184</v>
      </c>
      <c r="C676" s="2" t="s">
        <v>185</v>
      </c>
      <c r="D676" s="15" t="s">
        <v>348</v>
      </c>
      <c r="E676" s="34">
        <v>12600</v>
      </c>
      <c r="F676" s="34">
        <v>0</v>
      </c>
      <c r="G676" s="15" t="s">
        <v>252</v>
      </c>
      <c r="H676" s="1" t="s">
        <v>255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>
        <v>1</v>
      </c>
      <c r="AC676" s="1"/>
      <c r="AD676" s="1"/>
      <c r="AE676" s="1">
        <v>1</v>
      </c>
      <c r="AF676" s="48"/>
    </row>
    <row r="677" spans="1:32" s="11" customFormat="1" x14ac:dyDescent="0.25">
      <c r="A677" s="42" t="s">
        <v>340</v>
      </c>
      <c r="B677" s="2" t="s">
        <v>184</v>
      </c>
      <c r="C677" s="2" t="s">
        <v>185</v>
      </c>
      <c r="D677" s="15" t="s">
        <v>348</v>
      </c>
      <c r="E677" s="15"/>
      <c r="F677" s="15"/>
      <c r="G677" s="15" t="s">
        <v>252</v>
      </c>
      <c r="H677" s="1" t="s">
        <v>261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>
        <v>1</v>
      </c>
      <c r="AB677" s="1"/>
      <c r="AC677" s="1">
        <v>1</v>
      </c>
      <c r="AD677" s="1"/>
      <c r="AE677" s="1"/>
      <c r="AF677" s="48"/>
    </row>
    <row r="678" spans="1:32" s="8" customFormat="1" x14ac:dyDescent="0.25">
      <c r="A678" s="42" t="s">
        <v>340</v>
      </c>
      <c r="B678" s="2" t="s">
        <v>184</v>
      </c>
      <c r="C678" s="2" t="s">
        <v>185</v>
      </c>
      <c r="D678" s="15" t="s">
        <v>348</v>
      </c>
      <c r="E678" s="15"/>
      <c r="F678" s="15"/>
      <c r="G678" s="15" t="s">
        <v>67</v>
      </c>
      <c r="H678" s="1" t="s">
        <v>265</v>
      </c>
      <c r="I678" s="1">
        <v>1</v>
      </c>
      <c r="J678" s="1">
        <v>1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48"/>
    </row>
    <row r="679" spans="1:32" s="8" customFormat="1" x14ac:dyDescent="0.25">
      <c r="A679" s="42" t="s">
        <v>340</v>
      </c>
      <c r="B679" s="2" t="s">
        <v>184</v>
      </c>
      <c r="C679" s="2" t="s">
        <v>185</v>
      </c>
      <c r="D679" s="15" t="s">
        <v>348</v>
      </c>
      <c r="E679" s="15"/>
      <c r="F679" s="15"/>
      <c r="G679" s="15" t="s">
        <v>252</v>
      </c>
      <c r="H679" s="1" t="s">
        <v>267</v>
      </c>
      <c r="I679" s="1"/>
      <c r="J679" s="1"/>
      <c r="K679" s="1"/>
      <c r="L679" s="1"/>
      <c r="M679" s="1">
        <v>1</v>
      </c>
      <c r="N679" s="1">
        <v>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48"/>
    </row>
    <row r="680" spans="1:32" s="8" customFormat="1" x14ac:dyDescent="0.25">
      <c r="A680" s="42" t="s">
        <v>340</v>
      </c>
      <c r="B680" s="2" t="s">
        <v>184</v>
      </c>
      <c r="C680" s="2" t="s">
        <v>185</v>
      </c>
      <c r="D680" s="15" t="s">
        <v>348</v>
      </c>
      <c r="E680" s="15"/>
      <c r="F680" s="15"/>
      <c r="G680" s="15" t="s">
        <v>252</v>
      </c>
      <c r="H680" s="1" t="s">
        <v>269</v>
      </c>
      <c r="I680" s="1"/>
      <c r="J680" s="1"/>
      <c r="K680" s="1"/>
      <c r="L680" s="1"/>
      <c r="M680" s="1"/>
      <c r="N680" s="1"/>
      <c r="O680" s="1">
        <v>1</v>
      </c>
      <c r="P680" s="1">
        <v>1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48"/>
    </row>
    <row r="681" spans="1:32" s="8" customFormat="1" x14ac:dyDescent="0.25">
      <c r="A681" s="42" t="s">
        <v>340</v>
      </c>
      <c r="B681" s="2" t="s">
        <v>184</v>
      </c>
      <c r="C681" s="2" t="s">
        <v>185</v>
      </c>
      <c r="D681" s="15" t="s">
        <v>348</v>
      </c>
      <c r="E681" s="15"/>
      <c r="F681" s="15"/>
      <c r="G681" s="15" t="s">
        <v>67</v>
      </c>
      <c r="H681" s="1" t="s">
        <v>272</v>
      </c>
      <c r="I681" s="1"/>
      <c r="J681" s="1"/>
      <c r="K681" s="1">
        <v>1</v>
      </c>
      <c r="L681" s="1">
        <v>1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48"/>
    </row>
    <row r="682" spans="1:32" s="8" customFormat="1" x14ac:dyDescent="0.25">
      <c r="A682" s="42" t="s">
        <v>340</v>
      </c>
      <c r="B682" s="2" t="s">
        <v>184</v>
      </c>
      <c r="C682" s="2" t="s">
        <v>185</v>
      </c>
      <c r="D682" s="15" t="s">
        <v>348</v>
      </c>
      <c r="E682" s="15"/>
      <c r="F682" s="15"/>
      <c r="G682" s="15" t="s">
        <v>252</v>
      </c>
      <c r="H682" s="1" t="s">
        <v>273</v>
      </c>
      <c r="I682" s="1"/>
      <c r="J682" s="1"/>
      <c r="K682" s="1"/>
      <c r="L682" s="1"/>
      <c r="M682" s="1"/>
      <c r="N682" s="1"/>
      <c r="O682" s="1"/>
      <c r="P682" s="1"/>
      <c r="Q682" s="1">
        <v>1</v>
      </c>
      <c r="R682" s="1">
        <v>1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48"/>
    </row>
    <row r="683" spans="1:32" s="8" customFormat="1" x14ac:dyDescent="0.25">
      <c r="A683" s="42" t="s">
        <v>340</v>
      </c>
      <c r="B683" s="2" t="s">
        <v>184</v>
      </c>
      <c r="C683" s="2" t="s">
        <v>185</v>
      </c>
      <c r="D683" s="15" t="s">
        <v>348</v>
      </c>
      <c r="E683" s="15"/>
      <c r="F683" s="15"/>
      <c r="G683" s="15" t="s">
        <v>252</v>
      </c>
      <c r="H683" s="1" t="s">
        <v>274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>
        <v>1</v>
      </c>
      <c r="T683" s="1">
        <v>1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48"/>
    </row>
    <row r="684" spans="1:32" s="8" customFormat="1" x14ac:dyDescent="0.25">
      <c r="A684" s="42" t="s">
        <v>340</v>
      </c>
      <c r="B684" s="2" t="s">
        <v>184</v>
      </c>
      <c r="C684" s="2" t="s">
        <v>185</v>
      </c>
      <c r="D684" s="15" t="s">
        <v>348</v>
      </c>
      <c r="E684" s="15"/>
      <c r="F684" s="15"/>
      <c r="G684" s="15" t="s">
        <v>252</v>
      </c>
      <c r="H684" s="1" t="s">
        <v>275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>
        <v>1</v>
      </c>
      <c r="V684" s="1">
        <v>1</v>
      </c>
      <c r="W684" s="1"/>
      <c r="X684" s="1"/>
      <c r="Y684" s="1"/>
      <c r="Z684" s="1"/>
      <c r="AA684" s="1"/>
      <c r="AB684" s="1"/>
      <c r="AC684" s="1"/>
      <c r="AD684" s="1"/>
      <c r="AE684" s="1"/>
      <c r="AF684" s="48"/>
    </row>
    <row r="685" spans="1:32" s="8" customFormat="1" x14ac:dyDescent="0.25">
      <c r="A685" s="42" t="s">
        <v>340</v>
      </c>
      <c r="B685" s="2" t="s">
        <v>184</v>
      </c>
      <c r="C685" s="2" t="s">
        <v>185</v>
      </c>
      <c r="D685" s="15" t="s">
        <v>348</v>
      </c>
      <c r="E685" s="15"/>
      <c r="F685" s="15"/>
      <c r="G685" s="15" t="s">
        <v>252</v>
      </c>
      <c r="H685" s="1" t="s">
        <v>276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1</v>
      </c>
      <c r="X685" s="1">
        <v>1</v>
      </c>
      <c r="Y685" s="1"/>
      <c r="Z685" s="1"/>
      <c r="AA685" s="1"/>
      <c r="AB685" s="1"/>
      <c r="AC685" s="1"/>
      <c r="AD685" s="1"/>
      <c r="AE685" s="1"/>
      <c r="AF685" s="48"/>
    </row>
    <row r="686" spans="1:32" s="8" customFormat="1" x14ac:dyDescent="0.25">
      <c r="A686" s="42" t="s">
        <v>340</v>
      </c>
      <c r="B686" s="2" t="s">
        <v>184</v>
      </c>
      <c r="C686" s="2" t="s">
        <v>185</v>
      </c>
      <c r="D686" s="15" t="s">
        <v>348</v>
      </c>
      <c r="E686" s="15"/>
      <c r="F686" s="15"/>
      <c r="G686" s="15" t="s">
        <v>252</v>
      </c>
      <c r="H686" s="1" t="s">
        <v>277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>
        <v>1</v>
      </c>
      <c r="Z686" s="1">
        <v>1</v>
      </c>
      <c r="AA686" s="1"/>
      <c r="AB686" s="1"/>
      <c r="AC686" s="1"/>
      <c r="AD686" s="1"/>
      <c r="AE686" s="1"/>
      <c r="AF686" s="48"/>
    </row>
    <row r="687" spans="1:32" s="8" customFormat="1" x14ac:dyDescent="0.25">
      <c r="A687" s="42" t="s">
        <v>340</v>
      </c>
      <c r="B687" s="2" t="s">
        <v>186</v>
      </c>
      <c r="C687" s="2" t="s">
        <v>187</v>
      </c>
      <c r="D687" s="15" t="s">
        <v>348</v>
      </c>
      <c r="E687" s="34">
        <v>25500</v>
      </c>
      <c r="F687" s="34">
        <v>0</v>
      </c>
      <c r="G687" s="15" t="s">
        <v>252</v>
      </c>
      <c r="H687" s="1" t="s">
        <v>251</v>
      </c>
      <c r="I687" s="1"/>
      <c r="J687" s="1"/>
      <c r="K687" s="1"/>
      <c r="L687" s="1"/>
      <c r="M687" s="1">
        <v>1</v>
      </c>
      <c r="N687" s="1">
        <v>1</v>
      </c>
      <c r="O687" s="1">
        <v>1</v>
      </c>
      <c r="P687" s="1">
        <v>1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48"/>
    </row>
    <row r="688" spans="1:32" s="11" customFormat="1" x14ac:dyDescent="0.25">
      <c r="A688" s="42" t="s">
        <v>340</v>
      </c>
      <c r="B688" s="2" t="s">
        <v>186</v>
      </c>
      <c r="C688" s="2" t="s">
        <v>187</v>
      </c>
      <c r="D688" s="15" t="s">
        <v>348</v>
      </c>
      <c r="E688" s="15"/>
      <c r="F688" s="15"/>
      <c r="G688" s="15" t="s">
        <v>252</v>
      </c>
      <c r="H688" s="1" t="s">
        <v>255</v>
      </c>
      <c r="I688" s="1"/>
      <c r="J688" s="1"/>
      <c r="K688" s="1"/>
      <c r="L688" s="1"/>
      <c r="M688" s="1"/>
      <c r="N688" s="1"/>
      <c r="O688" s="1"/>
      <c r="P688" s="1"/>
      <c r="Q688" s="1">
        <v>1</v>
      </c>
      <c r="R688" s="1">
        <v>1</v>
      </c>
      <c r="S688" s="1">
        <v>1</v>
      </c>
      <c r="T688" s="1">
        <v>1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48"/>
    </row>
    <row r="689" spans="1:32" s="8" customFormat="1" x14ac:dyDescent="0.25">
      <c r="A689" s="42" t="s">
        <v>340</v>
      </c>
      <c r="B689" s="2" t="s">
        <v>186</v>
      </c>
      <c r="C689" s="2" t="s">
        <v>187</v>
      </c>
      <c r="D689" s="15" t="s">
        <v>348</v>
      </c>
      <c r="E689" s="15"/>
      <c r="F689" s="15"/>
      <c r="G689" s="15" t="s">
        <v>67</v>
      </c>
      <c r="H689" s="1" t="s">
        <v>261</v>
      </c>
      <c r="I689" s="1">
        <v>1</v>
      </c>
      <c r="J689" s="1">
        <v>1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48"/>
    </row>
    <row r="690" spans="1:32" s="8" customFormat="1" x14ac:dyDescent="0.25">
      <c r="A690" s="42" t="s">
        <v>340</v>
      </c>
      <c r="B690" s="2" t="s">
        <v>186</v>
      </c>
      <c r="C690" s="2" t="s">
        <v>187</v>
      </c>
      <c r="D690" s="15" t="s">
        <v>348</v>
      </c>
      <c r="E690" s="15"/>
      <c r="F690" s="15"/>
      <c r="G690" s="15" t="s">
        <v>252</v>
      </c>
      <c r="H690" s="1" t="s">
        <v>261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>
        <v>1</v>
      </c>
      <c r="V690" s="1">
        <v>1</v>
      </c>
      <c r="W690" s="1"/>
      <c r="X690" s="1"/>
      <c r="Y690" s="1"/>
      <c r="Z690" s="1"/>
      <c r="AA690" s="1"/>
      <c r="AB690" s="1"/>
      <c r="AC690" s="1"/>
      <c r="AD690" s="1"/>
      <c r="AE690" s="1"/>
      <c r="AF690" s="48"/>
    </row>
    <row r="691" spans="1:32" s="8" customFormat="1" x14ac:dyDescent="0.25">
      <c r="A691" s="42" t="s">
        <v>340</v>
      </c>
      <c r="B691" s="2" t="s">
        <v>186</v>
      </c>
      <c r="C691" s="2" t="s">
        <v>187</v>
      </c>
      <c r="D691" s="15" t="s">
        <v>348</v>
      </c>
      <c r="E691" s="15"/>
      <c r="F691" s="15"/>
      <c r="G691" s="15" t="s">
        <v>252</v>
      </c>
      <c r="H691" s="1" t="s">
        <v>265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>
        <v>1</v>
      </c>
      <c r="AB691" s="1">
        <v>1</v>
      </c>
      <c r="AC691" s="1">
        <v>1</v>
      </c>
      <c r="AD691" s="1"/>
      <c r="AE691" s="1">
        <v>1</v>
      </c>
      <c r="AF691" s="48"/>
    </row>
    <row r="692" spans="1:32" s="8" customFormat="1" x14ac:dyDescent="0.25">
      <c r="A692" s="42" t="s">
        <v>340</v>
      </c>
      <c r="B692" s="2" t="s">
        <v>186</v>
      </c>
      <c r="C692" s="2" t="s">
        <v>187</v>
      </c>
      <c r="D692" s="15" t="s">
        <v>348</v>
      </c>
      <c r="E692" s="15"/>
      <c r="F692" s="15"/>
      <c r="G692" s="15" t="s">
        <v>67</v>
      </c>
      <c r="H692" s="1" t="s">
        <v>267</v>
      </c>
      <c r="I692" s="1"/>
      <c r="J692" s="1"/>
      <c r="K692" s="1">
        <v>1</v>
      </c>
      <c r="L692" s="1">
        <v>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48"/>
    </row>
    <row r="693" spans="1:32" s="8" customFormat="1" x14ac:dyDescent="0.25">
      <c r="A693" s="42" t="s">
        <v>340</v>
      </c>
      <c r="B693" s="2" t="s">
        <v>186</v>
      </c>
      <c r="C693" s="2" t="s">
        <v>187</v>
      </c>
      <c r="D693" s="15" t="s">
        <v>348</v>
      </c>
      <c r="E693" s="15"/>
      <c r="F693" s="15"/>
      <c r="G693" s="15" t="s">
        <v>252</v>
      </c>
      <c r="H693" s="1" t="s">
        <v>267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1</v>
      </c>
      <c r="X693" s="1">
        <v>1</v>
      </c>
      <c r="Y693" s="1"/>
      <c r="Z693" s="1"/>
      <c r="AA693" s="1"/>
      <c r="AB693" s="1"/>
      <c r="AC693" s="1"/>
      <c r="AD693" s="1"/>
      <c r="AE693" s="1"/>
      <c r="AF693" s="48"/>
    </row>
    <row r="694" spans="1:32" s="8" customFormat="1" x14ac:dyDescent="0.25">
      <c r="A694" s="42" t="s">
        <v>340</v>
      </c>
      <c r="B694" s="2" t="s">
        <v>186</v>
      </c>
      <c r="C694" s="2" t="s">
        <v>187</v>
      </c>
      <c r="D694" s="15" t="s">
        <v>348</v>
      </c>
      <c r="E694" s="15"/>
      <c r="F694" s="15"/>
      <c r="G694" s="15" t="s">
        <v>252</v>
      </c>
      <c r="H694" s="1" t="s">
        <v>269</v>
      </c>
      <c r="I694" s="1"/>
      <c r="J694" s="1"/>
      <c r="K694" s="1"/>
      <c r="L694" s="1"/>
      <c r="M694" s="1"/>
      <c r="N694" s="1">
        <v>1</v>
      </c>
      <c r="O694" s="1">
        <v>1</v>
      </c>
      <c r="P694" s="1"/>
      <c r="Q694" s="1"/>
      <c r="R694" s="1"/>
      <c r="S694" s="1"/>
      <c r="T694" s="1"/>
      <c r="U694" s="1"/>
      <c r="V694" s="1"/>
      <c r="W694" s="1"/>
      <c r="X694" s="1"/>
      <c r="Y694" s="1">
        <v>1</v>
      </c>
      <c r="Z694" s="1">
        <v>1</v>
      </c>
      <c r="AA694" s="1"/>
      <c r="AB694" s="1"/>
      <c r="AC694" s="1"/>
      <c r="AD694" s="1"/>
      <c r="AE694" s="1"/>
      <c r="AF694" s="48"/>
    </row>
    <row r="695" spans="1:32" s="8" customFormat="1" x14ac:dyDescent="0.25">
      <c r="A695" s="42" t="s">
        <v>340</v>
      </c>
      <c r="B695" s="2" t="s">
        <v>186</v>
      </c>
      <c r="C695" s="2" t="s">
        <v>187</v>
      </c>
      <c r="D695" s="15" t="s">
        <v>348</v>
      </c>
      <c r="E695" s="15"/>
      <c r="F695" s="15"/>
      <c r="G695" s="15" t="s">
        <v>67</v>
      </c>
      <c r="H695" s="1" t="s">
        <v>272</v>
      </c>
      <c r="I695" s="1">
        <v>1</v>
      </c>
      <c r="J695" s="1">
        <v>1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48"/>
    </row>
    <row r="696" spans="1:32" s="8" customFormat="1" x14ac:dyDescent="0.25">
      <c r="A696" s="42" t="s">
        <v>340</v>
      </c>
      <c r="B696" s="2" t="s">
        <v>186</v>
      </c>
      <c r="C696" s="2" t="s">
        <v>187</v>
      </c>
      <c r="D696" s="15" t="s">
        <v>348</v>
      </c>
      <c r="E696" s="15"/>
      <c r="F696" s="15"/>
      <c r="G696" s="15" t="s">
        <v>252</v>
      </c>
      <c r="H696" s="1" t="s">
        <v>272</v>
      </c>
      <c r="I696" s="1"/>
      <c r="J696" s="1"/>
      <c r="K696" s="1"/>
      <c r="L696" s="1">
        <v>1</v>
      </c>
      <c r="M696" s="1">
        <v>1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48"/>
    </row>
    <row r="697" spans="1:32" s="8" customFormat="1" x14ac:dyDescent="0.25">
      <c r="A697" s="42" t="s">
        <v>340</v>
      </c>
      <c r="B697" s="2" t="s">
        <v>186</v>
      </c>
      <c r="C697" s="2" t="s">
        <v>187</v>
      </c>
      <c r="D697" s="15" t="s">
        <v>348</v>
      </c>
      <c r="E697" s="15"/>
      <c r="F697" s="15"/>
      <c r="G697" s="15" t="s">
        <v>67</v>
      </c>
      <c r="H697" s="1" t="s">
        <v>273</v>
      </c>
      <c r="I697" s="1">
        <v>1</v>
      </c>
      <c r="J697" s="1"/>
      <c r="K697" s="1">
        <v>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48"/>
    </row>
    <row r="698" spans="1:32" s="8" customFormat="1" x14ac:dyDescent="0.25">
      <c r="A698" s="42" t="s">
        <v>340</v>
      </c>
      <c r="B698" s="2" t="s">
        <v>186</v>
      </c>
      <c r="C698" s="2" t="s">
        <v>187</v>
      </c>
      <c r="D698" s="15" t="s">
        <v>348</v>
      </c>
      <c r="E698" s="15"/>
      <c r="F698" s="15"/>
      <c r="G698" s="15" t="s">
        <v>252</v>
      </c>
      <c r="H698" s="1" t="s">
        <v>273</v>
      </c>
      <c r="I698" s="1"/>
      <c r="J698" s="1"/>
      <c r="K698" s="1"/>
      <c r="L698" s="1"/>
      <c r="M698" s="1"/>
      <c r="N698" s="1"/>
      <c r="O698" s="1"/>
      <c r="P698" s="1">
        <v>1</v>
      </c>
      <c r="Q698" s="1">
        <v>1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48"/>
    </row>
    <row r="699" spans="1:32" s="8" customFormat="1" x14ac:dyDescent="0.25">
      <c r="A699" s="42" t="s">
        <v>340</v>
      </c>
      <c r="B699" s="2" t="s">
        <v>186</v>
      </c>
      <c r="C699" s="2" t="s">
        <v>187</v>
      </c>
      <c r="D699" s="15" t="s">
        <v>348</v>
      </c>
      <c r="E699" s="15"/>
      <c r="F699" s="15"/>
      <c r="G699" s="15" t="s">
        <v>252</v>
      </c>
      <c r="H699" s="1" t="s">
        <v>274</v>
      </c>
      <c r="I699" s="1"/>
      <c r="J699" s="1"/>
      <c r="K699" s="1"/>
      <c r="L699" s="1"/>
      <c r="M699" s="1"/>
      <c r="N699" s="1"/>
      <c r="O699" s="1"/>
      <c r="P699" s="1"/>
      <c r="Q699" s="1"/>
      <c r="R699" s="1">
        <v>1</v>
      </c>
      <c r="S699" s="1">
        <v>1</v>
      </c>
      <c r="T699" s="1">
        <v>1</v>
      </c>
      <c r="U699" s="1">
        <v>1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48"/>
    </row>
    <row r="700" spans="1:32" s="8" customFormat="1" x14ac:dyDescent="0.25">
      <c r="A700" s="42" t="s">
        <v>340</v>
      </c>
      <c r="B700" s="2" t="s">
        <v>186</v>
      </c>
      <c r="C700" s="2" t="s">
        <v>187</v>
      </c>
      <c r="D700" s="15" t="s">
        <v>348</v>
      </c>
      <c r="E700" s="15"/>
      <c r="F700" s="15"/>
      <c r="G700" s="15" t="s">
        <v>252</v>
      </c>
      <c r="H700" s="1" t="s">
        <v>275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>
        <v>1</v>
      </c>
      <c r="AB700" s="1">
        <v>1</v>
      </c>
      <c r="AC700" s="1">
        <v>1</v>
      </c>
      <c r="AD700" s="1"/>
      <c r="AE700" s="1">
        <v>1</v>
      </c>
      <c r="AF700" s="48"/>
    </row>
    <row r="701" spans="1:32" s="8" customFormat="1" x14ac:dyDescent="0.25">
      <c r="A701" s="42" t="s">
        <v>340</v>
      </c>
      <c r="B701" s="2" t="s">
        <v>186</v>
      </c>
      <c r="C701" s="2" t="s">
        <v>187</v>
      </c>
      <c r="D701" s="15" t="s">
        <v>348</v>
      </c>
      <c r="E701" s="15"/>
      <c r="F701" s="15"/>
      <c r="G701" s="15" t="s">
        <v>252</v>
      </c>
      <c r="H701" s="1" t="s">
        <v>276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1</v>
      </c>
      <c r="X701" s="1">
        <v>1</v>
      </c>
      <c r="Y701" s="1"/>
      <c r="Z701" s="1"/>
      <c r="AA701" s="1"/>
      <c r="AB701" s="1"/>
      <c r="AC701" s="1"/>
      <c r="AD701" s="1"/>
      <c r="AE701" s="1"/>
      <c r="AF701" s="48"/>
    </row>
    <row r="702" spans="1:32" s="8" customFormat="1" x14ac:dyDescent="0.25">
      <c r="A702" s="42" t="s">
        <v>340</v>
      </c>
      <c r="B702" s="2" t="s">
        <v>186</v>
      </c>
      <c r="C702" s="2" t="s">
        <v>187</v>
      </c>
      <c r="D702" s="15" t="s">
        <v>348</v>
      </c>
      <c r="E702" s="15"/>
      <c r="F702" s="15"/>
      <c r="G702" s="15" t="s">
        <v>252</v>
      </c>
      <c r="H702" s="1" t="s">
        <v>277</v>
      </c>
      <c r="I702" s="1"/>
      <c r="J702" s="1"/>
      <c r="K702" s="1"/>
      <c r="L702" s="1"/>
      <c r="M702" s="1"/>
      <c r="N702" s="1"/>
      <c r="O702" s="1">
        <v>1</v>
      </c>
      <c r="P702" s="1"/>
      <c r="Q702" s="1"/>
      <c r="R702" s="1"/>
      <c r="S702" s="1"/>
      <c r="T702" s="1"/>
      <c r="U702" s="1"/>
      <c r="V702" s="1">
        <v>1</v>
      </c>
      <c r="W702" s="1"/>
      <c r="X702" s="1"/>
      <c r="Y702" s="1"/>
      <c r="Z702" s="1"/>
      <c r="AA702" s="1"/>
      <c r="AB702" s="1"/>
      <c r="AC702" s="1"/>
      <c r="AD702" s="1"/>
      <c r="AE702" s="1"/>
      <c r="AF702" s="48"/>
    </row>
    <row r="703" spans="1:32" s="8" customFormat="1" ht="24" x14ac:dyDescent="0.25">
      <c r="A703" s="42" t="s">
        <v>340</v>
      </c>
      <c r="B703" s="2" t="s">
        <v>186</v>
      </c>
      <c r="C703" s="2" t="s">
        <v>187</v>
      </c>
      <c r="D703" s="15" t="s">
        <v>349</v>
      </c>
      <c r="E703" s="34">
        <v>1219</v>
      </c>
      <c r="F703" s="34">
        <v>0</v>
      </c>
      <c r="G703" s="15" t="s">
        <v>253</v>
      </c>
      <c r="H703" s="1" t="s">
        <v>261</v>
      </c>
      <c r="I703" s="1"/>
      <c r="J703" s="1">
        <v>1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48"/>
    </row>
    <row r="704" spans="1:32" s="8" customFormat="1" x14ac:dyDescent="0.25">
      <c r="A704" s="42" t="s">
        <v>340</v>
      </c>
      <c r="B704" s="2" t="s">
        <v>186</v>
      </c>
      <c r="C704" s="2" t="s">
        <v>187</v>
      </c>
      <c r="D704" s="15" t="s">
        <v>349</v>
      </c>
      <c r="E704" s="15"/>
      <c r="F704" s="15"/>
      <c r="G704" s="15" t="s">
        <v>259</v>
      </c>
      <c r="H704" s="1" t="s">
        <v>265</v>
      </c>
      <c r="I704" s="1">
        <v>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48"/>
    </row>
    <row r="705" spans="1:32" s="8" customFormat="1" ht="24" x14ac:dyDescent="0.25">
      <c r="A705" s="42" t="s">
        <v>340</v>
      </c>
      <c r="B705" s="2" t="s">
        <v>186</v>
      </c>
      <c r="C705" s="2" t="s">
        <v>187</v>
      </c>
      <c r="D705" s="15" t="s">
        <v>349</v>
      </c>
      <c r="E705" s="15"/>
      <c r="F705" s="15"/>
      <c r="G705" s="15" t="s">
        <v>253</v>
      </c>
      <c r="H705" s="1" t="s">
        <v>267</v>
      </c>
      <c r="I705" s="1"/>
      <c r="J705" s="1"/>
      <c r="K705" s="1">
        <v>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48"/>
    </row>
    <row r="706" spans="1:32" s="8" customFormat="1" ht="24" x14ac:dyDescent="0.25">
      <c r="A706" s="42" t="s">
        <v>340</v>
      </c>
      <c r="B706" s="2" t="s">
        <v>186</v>
      </c>
      <c r="C706" s="2" t="s">
        <v>187</v>
      </c>
      <c r="D706" s="15" t="s">
        <v>349</v>
      </c>
      <c r="E706" s="15"/>
      <c r="F706" s="15"/>
      <c r="G706" s="15" t="s">
        <v>253</v>
      </c>
      <c r="H706" s="1" t="s">
        <v>269</v>
      </c>
      <c r="I706" s="1"/>
      <c r="J706" s="1"/>
      <c r="K706" s="1"/>
      <c r="L706" s="1">
        <v>1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48"/>
    </row>
    <row r="707" spans="1:32" s="8" customFormat="1" ht="24" x14ac:dyDescent="0.25">
      <c r="A707" s="42" t="s">
        <v>340</v>
      </c>
      <c r="B707" s="2" t="s">
        <v>186</v>
      </c>
      <c r="C707" s="2" t="s">
        <v>187</v>
      </c>
      <c r="D707" s="15" t="s">
        <v>349</v>
      </c>
      <c r="E707" s="15"/>
      <c r="F707" s="15"/>
      <c r="G707" s="15" t="s">
        <v>253</v>
      </c>
      <c r="H707" s="1" t="s">
        <v>272</v>
      </c>
      <c r="I707" s="1"/>
      <c r="J707" s="1"/>
      <c r="K707" s="1"/>
      <c r="L707" s="1"/>
      <c r="M707" s="1"/>
      <c r="N707" s="1"/>
      <c r="O707" s="1">
        <v>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48"/>
    </row>
    <row r="708" spans="1:32" s="8" customFormat="1" ht="24" x14ac:dyDescent="0.25">
      <c r="A708" s="42" t="s">
        <v>340</v>
      </c>
      <c r="B708" s="2" t="s">
        <v>186</v>
      </c>
      <c r="C708" s="2" t="s">
        <v>187</v>
      </c>
      <c r="D708" s="15" t="s">
        <v>349</v>
      </c>
      <c r="E708" s="15"/>
      <c r="F708" s="15"/>
      <c r="G708" s="15" t="s">
        <v>253</v>
      </c>
      <c r="H708" s="1" t="s">
        <v>273</v>
      </c>
      <c r="I708" s="1"/>
      <c r="J708" s="1"/>
      <c r="K708" s="1"/>
      <c r="L708" s="1"/>
      <c r="M708" s="1"/>
      <c r="N708" s="1"/>
      <c r="O708" s="1"/>
      <c r="P708" s="1"/>
      <c r="Q708" s="1">
        <v>1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48"/>
    </row>
    <row r="709" spans="1:32" s="8" customFormat="1" ht="24" x14ac:dyDescent="0.25">
      <c r="A709" s="42" t="s">
        <v>340</v>
      </c>
      <c r="B709" s="2" t="s">
        <v>186</v>
      </c>
      <c r="C709" s="2" t="s">
        <v>187</v>
      </c>
      <c r="D709" s="15" t="s">
        <v>349</v>
      </c>
      <c r="E709" s="15"/>
      <c r="F709" s="15"/>
      <c r="G709" s="15" t="s">
        <v>253</v>
      </c>
      <c r="H709" s="1" t="s">
        <v>274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>
        <v>1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48"/>
    </row>
    <row r="710" spans="1:32" s="8" customFormat="1" ht="24" x14ac:dyDescent="0.25">
      <c r="A710" s="42" t="s">
        <v>340</v>
      </c>
      <c r="B710" s="2" t="s">
        <v>186</v>
      </c>
      <c r="C710" s="2" t="s">
        <v>187</v>
      </c>
      <c r="D710" s="15" t="s">
        <v>349</v>
      </c>
      <c r="E710" s="15"/>
      <c r="F710" s="15"/>
      <c r="G710" s="15" t="s">
        <v>253</v>
      </c>
      <c r="H710" s="1" t="s">
        <v>275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>
        <v>1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48"/>
    </row>
    <row r="711" spans="1:32" s="8" customFormat="1" x14ac:dyDescent="0.25">
      <c r="A711" s="42" t="s">
        <v>340</v>
      </c>
      <c r="B711" s="2" t="s">
        <v>111</v>
      </c>
      <c r="C711" s="2" t="s">
        <v>188</v>
      </c>
      <c r="D711" s="15" t="s">
        <v>348</v>
      </c>
      <c r="E711" s="34">
        <v>35620</v>
      </c>
      <c r="F711" s="34">
        <v>0</v>
      </c>
      <c r="G711" s="15" t="s">
        <v>67</v>
      </c>
      <c r="H711" s="1" t="s">
        <v>251</v>
      </c>
      <c r="I711" s="1">
        <v>1</v>
      </c>
      <c r="J711" s="1">
        <v>1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48"/>
    </row>
    <row r="712" spans="1:32" s="8" customFormat="1" x14ac:dyDescent="0.25">
      <c r="A712" s="42" t="s">
        <v>340</v>
      </c>
      <c r="B712" s="2" t="s">
        <v>111</v>
      </c>
      <c r="C712" s="2" t="s">
        <v>188</v>
      </c>
      <c r="D712" s="15" t="s">
        <v>348</v>
      </c>
      <c r="E712" s="15"/>
      <c r="F712" s="15"/>
      <c r="G712" s="15" t="s">
        <v>252</v>
      </c>
      <c r="H712" s="1" t="s">
        <v>255</v>
      </c>
      <c r="I712" s="1"/>
      <c r="J712" s="1"/>
      <c r="K712" s="1"/>
      <c r="L712" s="1"/>
      <c r="M712" s="1">
        <v>1</v>
      </c>
      <c r="N712" s="1">
        <v>1</v>
      </c>
      <c r="O712" s="1">
        <v>1</v>
      </c>
      <c r="P712" s="1">
        <v>1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48"/>
    </row>
    <row r="713" spans="1:32" s="11" customFormat="1" x14ac:dyDescent="0.25">
      <c r="A713" s="42" t="s">
        <v>340</v>
      </c>
      <c r="B713" s="2" t="s">
        <v>111</v>
      </c>
      <c r="C713" s="2" t="s">
        <v>188</v>
      </c>
      <c r="D713" s="15" t="s">
        <v>348</v>
      </c>
      <c r="E713" s="15"/>
      <c r="F713" s="15"/>
      <c r="G713" s="15" t="s">
        <v>252</v>
      </c>
      <c r="H713" s="1" t="s">
        <v>261</v>
      </c>
      <c r="I713" s="1"/>
      <c r="J713" s="1"/>
      <c r="K713" s="1"/>
      <c r="L713" s="1"/>
      <c r="M713" s="1"/>
      <c r="N713" s="1"/>
      <c r="O713" s="1"/>
      <c r="P713" s="1"/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48"/>
    </row>
    <row r="714" spans="1:32" s="8" customFormat="1" x14ac:dyDescent="0.25">
      <c r="A714" s="42" t="s">
        <v>340</v>
      </c>
      <c r="B714" s="2" t="s">
        <v>111</v>
      </c>
      <c r="C714" s="2" t="s">
        <v>188</v>
      </c>
      <c r="D714" s="15" t="s">
        <v>348</v>
      </c>
      <c r="E714" s="15"/>
      <c r="F714" s="15"/>
      <c r="G714" s="15" t="s">
        <v>67</v>
      </c>
      <c r="H714" s="1" t="s">
        <v>265</v>
      </c>
      <c r="I714" s="1"/>
      <c r="J714" s="1"/>
      <c r="K714" s="1">
        <v>1</v>
      </c>
      <c r="L714" s="1">
        <v>1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48"/>
    </row>
    <row r="715" spans="1:32" s="8" customFormat="1" x14ac:dyDescent="0.25">
      <c r="A715" s="42" t="s">
        <v>340</v>
      </c>
      <c r="B715" s="2" t="s">
        <v>111</v>
      </c>
      <c r="C715" s="2" t="s">
        <v>188</v>
      </c>
      <c r="D715" s="15" t="s">
        <v>348</v>
      </c>
      <c r="E715" s="15"/>
      <c r="F715" s="15"/>
      <c r="G715" s="15" t="s">
        <v>252</v>
      </c>
      <c r="H715" s="1" t="s">
        <v>265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>
        <v>1</v>
      </c>
      <c r="AB715" s="1">
        <v>1</v>
      </c>
      <c r="AC715" s="1">
        <v>1</v>
      </c>
      <c r="AD715" s="1"/>
      <c r="AE715" s="1">
        <v>1</v>
      </c>
      <c r="AF715" s="48"/>
    </row>
    <row r="716" spans="1:32" s="8" customFormat="1" x14ac:dyDescent="0.25">
      <c r="A716" s="42" t="s">
        <v>340</v>
      </c>
      <c r="B716" s="2" t="s">
        <v>111</v>
      </c>
      <c r="C716" s="2" t="s">
        <v>188</v>
      </c>
      <c r="D716" s="15" t="s">
        <v>348</v>
      </c>
      <c r="E716" s="15"/>
      <c r="F716" s="15"/>
      <c r="G716" s="15" t="s">
        <v>252</v>
      </c>
      <c r="H716" s="1" t="s">
        <v>267</v>
      </c>
      <c r="I716" s="1"/>
      <c r="J716" s="1"/>
      <c r="K716" s="1"/>
      <c r="L716" s="1"/>
      <c r="M716" s="1"/>
      <c r="N716" s="1"/>
      <c r="O716" s="1">
        <v>1</v>
      </c>
      <c r="P716" s="1"/>
      <c r="Q716" s="1"/>
      <c r="R716" s="1"/>
      <c r="S716" s="1"/>
      <c r="T716" s="1"/>
      <c r="U716" s="1"/>
      <c r="V716" s="1">
        <v>1</v>
      </c>
      <c r="W716" s="1">
        <v>1</v>
      </c>
      <c r="X716" s="1">
        <v>1</v>
      </c>
      <c r="Y716" s="1">
        <v>1</v>
      </c>
      <c r="Z716" s="1">
        <v>1</v>
      </c>
      <c r="AA716" s="1"/>
      <c r="AB716" s="1"/>
      <c r="AC716" s="1"/>
      <c r="AD716" s="1"/>
      <c r="AE716" s="1"/>
      <c r="AF716" s="48"/>
    </row>
    <row r="717" spans="1:32" s="8" customFormat="1" x14ac:dyDescent="0.25">
      <c r="A717" s="42" t="s">
        <v>340</v>
      </c>
      <c r="B717" s="2" t="s">
        <v>111</v>
      </c>
      <c r="C717" s="2" t="s">
        <v>188</v>
      </c>
      <c r="D717" s="15" t="s">
        <v>348</v>
      </c>
      <c r="E717" s="15"/>
      <c r="F717" s="15"/>
      <c r="G717" s="15" t="s">
        <v>67</v>
      </c>
      <c r="H717" s="1" t="s">
        <v>269</v>
      </c>
      <c r="I717" s="1">
        <v>1</v>
      </c>
      <c r="J717" s="1">
        <v>1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48"/>
    </row>
    <row r="718" spans="1:32" s="8" customFormat="1" x14ac:dyDescent="0.25">
      <c r="A718" s="42" t="s">
        <v>340</v>
      </c>
      <c r="B718" s="2" t="s">
        <v>111</v>
      </c>
      <c r="C718" s="2" t="s">
        <v>188</v>
      </c>
      <c r="D718" s="15" t="s">
        <v>348</v>
      </c>
      <c r="E718" s="15"/>
      <c r="F718" s="15"/>
      <c r="G718" s="15" t="s">
        <v>252</v>
      </c>
      <c r="H718" s="1" t="s">
        <v>269</v>
      </c>
      <c r="I718" s="1"/>
      <c r="J718" s="1">
        <v>1</v>
      </c>
      <c r="K718" s="1">
        <v>1</v>
      </c>
      <c r="L718" s="1">
        <v>1</v>
      </c>
      <c r="M718" s="1">
        <v>1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48"/>
    </row>
    <row r="719" spans="1:32" s="8" customFormat="1" x14ac:dyDescent="0.25">
      <c r="A719" s="42" t="s">
        <v>340</v>
      </c>
      <c r="B719" s="2" t="s">
        <v>111</v>
      </c>
      <c r="C719" s="2" t="s">
        <v>188</v>
      </c>
      <c r="D719" s="15" t="s">
        <v>348</v>
      </c>
      <c r="E719" s="15"/>
      <c r="F719" s="15"/>
      <c r="G719" s="15" t="s">
        <v>67</v>
      </c>
      <c r="H719" s="1" t="s">
        <v>272</v>
      </c>
      <c r="I719" s="1">
        <v>1</v>
      </c>
      <c r="J719" s="1"/>
      <c r="K719" s="1">
        <v>1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48"/>
    </row>
    <row r="720" spans="1:32" s="8" customFormat="1" x14ac:dyDescent="0.25">
      <c r="A720" s="42" t="s">
        <v>340</v>
      </c>
      <c r="B720" s="2" t="s">
        <v>111</v>
      </c>
      <c r="C720" s="2" t="s">
        <v>188</v>
      </c>
      <c r="D720" s="15" t="s">
        <v>348</v>
      </c>
      <c r="E720" s="15"/>
      <c r="F720" s="15"/>
      <c r="G720" s="15" t="s">
        <v>252</v>
      </c>
      <c r="H720" s="1" t="s">
        <v>272</v>
      </c>
      <c r="I720" s="1"/>
      <c r="J720" s="1"/>
      <c r="K720" s="1"/>
      <c r="L720" s="1"/>
      <c r="M720" s="1"/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48"/>
    </row>
    <row r="721" spans="1:32" s="8" customFormat="1" x14ac:dyDescent="0.25">
      <c r="A721" s="42" t="s">
        <v>340</v>
      </c>
      <c r="B721" s="2" t="s">
        <v>111</v>
      </c>
      <c r="C721" s="2" t="s">
        <v>188</v>
      </c>
      <c r="D721" s="15" t="s">
        <v>348</v>
      </c>
      <c r="E721" s="15"/>
      <c r="F721" s="15"/>
      <c r="G721" s="15" t="s">
        <v>67</v>
      </c>
      <c r="H721" s="1" t="s">
        <v>273</v>
      </c>
      <c r="I721" s="1">
        <v>1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48"/>
    </row>
    <row r="722" spans="1:32" s="8" customFormat="1" x14ac:dyDescent="0.25">
      <c r="A722" s="42" t="s">
        <v>340</v>
      </c>
      <c r="B722" s="2" t="s">
        <v>111</v>
      </c>
      <c r="C722" s="2" t="s">
        <v>188</v>
      </c>
      <c r="D722" s="15" t="s">
        <v>348</v>
      </c>
      <c r="E722" s="15"/>
      <c r="F722" s="15"/>
      <c r="G722" s="15" t="s">
        <v>252</v>
      </c>
      <c r="H722" s="1" t="s">
        <v>273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>
        <v>1</v>
      </c>
      <c r="U722" s="1">
        <v>1</v>
      </c>
      <c r="V722" s="1">
        <v>1</v>
      </c>
      <c r="W722" s="1">
        <v>1</v>
      </c>
      <c r="X722" s="1"/>
      <c r="Y722" s="1"/>
      <c r="Z722" s="1"/>
      <c r="AA722" s="1"/>
      <c r="AB722" s="1"/>
      <c r="AC722" s="1"/>
      <c r="AD722" s="1"/>
      <c r="AE722" s="1"/>
      <c r="AF722" s="48"/>
    </row>
    <row r="723" spans="1:32" s="8" customFormat="1" x14ac:dyDescent="0.25">
      <c r="A723" s="42" t="s">
        <v>340</v>
      </c>
      <c r="B723" s="2" t="s">
        <v>111</v>
      </c>
      <c r="C723" s="2" t="s">
        <v>188</v>
      </c>
      <c r="D723" s="15" t="s">
        <v>348</v>
      </c>
      <c r="E723" s="15"/>
      <c r="F723" s="15"/>
      <c r="G723" s="15" t="s">
        <v>252</v>
      </c>
      <c r="H723" s="1" t="s">
        <v>274</v>
      </c>
      <c r="I723" s="1"/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48"/>
    </row>
    <row r="724" spans="1:32" s="8" customFormat="1" x14ac:dyDescent="0.25">
      <c r="A724" s="42" t="s">
        <v>340</v>
      </c>
      <c r="B724" s="2" t="s">
        <v>111</v>
      </c>
      <c r="C724" s="2" t="s">
        <v>188</v>
      </c>
      <c r="D724" s="15" t="s">
        <v>348</v>
      </c>
      <c r="E724" s="15"/>
      <c r="F724" s="15"/>
      <c r="G724" s="15" t="s">
        <v>252</v>
      </c>
      <c r="H724" s="1" t="s">
        <v>275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>
        <v>1</v>
      </c>
      <c r="Z724" s="1">
        <v>1</v>
      </c>
      <c r="AA724" s="1">
        <v>1</v>
      </c>
      <c r="AB724" s="1">
        <v>1</v>
      </c>
      <c r="AC724" s="1">
        <v>1</v>
      </c>
      <c r="AD724" s="1"/>
      <c r="AE724" s="1">
        <v>1</v>
      </c>
      <c r="AF724" s="48"/>
    </row>
    <row r="725" spans="1:32" s="8" customFormat="1" x14ac:dyDescent="0.25">
      <c r="A725" s="42" t="s">
        <v>340</v>
      </c>
      <c r="B725" s="2" t="s">
        <v>111</v>
      </c>
      <c r="C725" s="2" t="s">
        <v>188</v>
      </c>
      <c r="D725" s="15" t="s">
        <v>348</v>
      </c>
      <c r="E725" s="15"/>
      <c r="F725" s="15"/>
      <c r="G725" s="15" t="s">
        <v>252</v>
      </c>
      <c r="H725" s="1" t="s">
        <v>276</v>
      </c>
      <c r="I725" s="1"/>
      <c r="J725" s="1"/>
      <c r="K725" s="1"/>
      <c r="L725" s="1"/>
      <c r="M725" s="1"/>
      <c r="N725" s="1"/>
      <c r="O725" s="1">
        <v>1</v>
      </c>
      <c r="P725" s="1">
        <v>1</v>
      </c>
      <c r="Q725" s="1">
        <v>1</v>
      </c>
      <c r="R725" s="1">
        <v>1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48"/>
    </row>
    <row r="726" spans="1:32" s="8" customFormat="1" x14ac:dyDescent="0.25">
      <c r="A726" s="42" t="s">
        <v>340</v>
      </c>
      <c r="B726" s="2" t="s">
        <v>111</v>
      </c>
      <c r="C726" s="2" t="s">
        <v>188</v>
      </c>
      <c r="D726" s="15" t="s">
        <v>348</v>
      </c>
      <c r="E726" s="15"/>
      <c r="F726" s="15"/>
      <c r="G726" s="15" t="s">
        <v>252</v>
      </c>
      <c r="H726" s="1" t="s">
        <v>277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>
        <v>1</v>
      </c>
      <c r="T726" s="1">
        <v>1</v>
      </c>
      <c r="U726" s="1">
        <v>1</v>
      </c>
      <c r="V726" s="1">
        <v>1</v>
      </c>
      <c r="W726" s="1"/>
      <c r="X726" s="1"/>
      <c r="Y726" s="1"/>
      <c r="Z726" s="1"/>
      <c r="AA726" s="1"/>
      <c r="AB726" s="1"/>
      <c r="AC726" s="1"/>
      <c r="AD726" s="1"/>
      <c r="AE726" s="1"/>
      <c r="AF726" s="48"/>
    </row>
    <row r="727" spans="1:32" s="11" customFormat="1" ht="24" x14ac:dyDescent="0.25">
      <c r="A727" s="42" t="s">
        <v>340</v>
      </c>
      <c r="B727" s="2" t="s">
        <v>111</v>
      </c>
      <c r="C727" s="2" t="s">
        <v>188</v>
      </c>
      <c r="D727" s="15" t="s">
        <v>349</v>
      </c>
      <c r="E727" s="34">
        <v>4606</v>
      </c>
      <c r="F727" s="34">
        <v>0</v>
      </c>
      <c r="G727" s="15" t="s">
        <v>253</v>
      </c>
      <c r="H727" s="1" t="s">
        <v>251</v>
      </c>
      <c r="I727" s="1"/>
      <c r="J727" s="1"/>
      <c r="K727" s="1"/>
      <c r="L727" s="1"/>
      <c r="M727" s="1"/>
      <c r="N727" s="1"/>
      <c r="O727" s="1">
        <v>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48"/>
    </row>
    <row r="728" spans="1:32" s="11" customFormat="1" x14ac:dyDescent="0.25">
      <c r="A728" s="42" t="s">
        <v>340</v>
      </c>
      <c r="B728" s="2" t="s">
        <v>111</v>
      </c>
      <c r="C728" s="2" t="s">
        <v>188</v>
      </c>
      <c r="D728" s="15" t="s">
        <v>349</v>
      </c>
      <c r="E728" s="15"/>
      <c r="F728" s="15"/>
      <c r="G728" s="15" t="s">
        <v>259</v>
      </c>
      <c r="H728" s="1" t="s">
        <v>255</v>
      </c>
      <c r="I728" s="1">
        <v>1</v>
      </c>
      <c r="J728" s="1">
        <v>1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48"/>
    </row>
    <row r="729" spans="1:32" s="11" customFormat="1" ht="24" x14ac:dyDescent="0.25">
      <c r="A729" s="42" t="s">
        <v>340</v>
      </c>
      <c r="B729" s="2" t="s">
        <v>111</v>
      </c>
      <c r="C729" s="2" t="s">
        <v>188</v>
      </c>
      <c r="D729" s="15" t="s">
        <v>349</v>
      </c>
      <c r="E729" s="15"/>
      <c r="F729" s="15"/>
      <c r="G729" s="15" t="s">
        <v>253</v>
      </c>
      <c r="H729" s="1" t="s">
        <v>261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>
        <v>1</v>
      </c>
      <c r="AB729" s="1"/>
      <c r="AC729" s="1">
        <v>1</v>
      </c>
      <c r="AD729" s="1"/>
      <c r="AE729" s="1"/>
      <c r="AF729" s="48"/>
    </row>
    <row r="730" spans="1:32" s="11" customFormat="1" ht="24" x14ac:dyDescent="0.25">
      <c r="A730" s="42" t="s">
        <v>340</v>
      </c>
      <c r="B730" s="2" t="s">
        <v>111</v>
      </c>
      <c r="C730" s="2" t="s">
        <v>188</v>
      </c>
      <c r="D730" s="15" t="s">
        <v>349</v>
      </c>
      <c r="E730" s="15"/>
      <c r="F730" s="15"/>
      <c r="G730" s="15" t="s">
        <v>253</v>
      </c>
      <c r="H730" s="1" t="s">
        <v>265</v>
      </c>
      <c r="I730" s="1"/>
      <c r="J730" s="1"/>
      <c r="K730" s="1"/>
      <c r="L730" s="1"/>
      <c r="M730" s="1">
        <v>1</v>
      </c>
      <c r="N730" s="1">
        <v>1</v>
      </c>
      <c r="O730" s="1">
        <v>1</v>
      </c>
      <c r="P730" s="1">
        <v>1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48"/>
    </row>
    <row r="731" spans="1:32" s="11" customFormat="1" ht="24" x14ac:dyDescent="0.25">
      <c r="A731" s="42" t="s">
        <v>340</v>
      </c>
      <c r="B731" s="2" t="s">
        <v>111</v>
      </c>
      <c r="C731" s="2" t="s">
        <v>188</v>
      </c>
      <c r="D731" s="15" t="s">
        <v>349</v>
      </c>
      <c r="E731" s="15"/>
      <c r="F731" s="15"/>
      <c r="G731" s="15" t="s">
        <v>253</v>
      </c>
      <c r="H731" s="1" t="s">
        <v>267</v>
      </c>
      <c r="I731" s="1"/>
      <c r="J731" s="1"/>
      <c r="K731" s="1"/>
      <c r="L731" s="1"/>
      <c r="M731" s="1"/>
      <c r="N731" s="1"/>
      <c r="O731" s="1"/>
      <c r="P731" s="1"/>
      <c r="Q731" s="1">
        <v>1</v>
      </c>
      <c r="R731" s="1">
        <v>1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48"/>
    </row>
    <row r="732" spans="1:32" s="11" customFormat="1" ht="24" x14ac:dyDescent="0.25">
      <c r="A732" s="42" t="s">
        <v>340</v>
      </c>
      <c r="B732" s="2" t="s">
        <v>111</v>
      </c>
      <c r="C732" s="2" t="s">
        <v>188</v>
      </c>
      <c r="D732" s="15" t="s">
        <v>349</v>
      </c>
      <c r="E732" s="15"/>
      <c r="F732" s="15"/>
      <c r="G732" s="15" t="s">
        <v>253</v>
      </c>
      <c r="H732" s="1" t="s">
        <v>269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>
        <v>1</v>
      </c>
      <c r="T732" s="1">
        <v>1</v>
      </c>
      <c r="U732" s="1">
        <v>1</v>
      </c>
      <c r="V732" s="1">
        <v>1</v>
      </c>
      <c r="W732" s="1"/>
      <c r="X732" s="1"/>
      <c r="Y732" s="1"/>
      <c r="Z732" s="1"/>
      <c r="AA732" s="1"/>
      <c r="AB732" s="1"/>
      <c r="AC732" s="1"/>
      <c r="AD732" s="1"/>
      <c r="AE732" s="1"/>
      <c r="AF732" s="48"/>
    </row>
    <row r="733" spans="1:32" s="11" customFormat="1" ht="24" x14ac:dyDescent="0.25">
      <c r="A733" s="42" t="s">
        <v>340</v>
      </c>
      <c r="B733" s="2" t="s">
        <v>111</v>
      </c>
      <c r="C733" s="2" t="s">
        <v>188</v>
      </c>
      <c r="D733" s="15" t="s">
        <v>349</v>
      </c>
      <c r="E733" s="15"/>
      <c r="F733" s="15"/>
      <c r="G733" s="15" t="s">
        <v>253</v>
      </c>
      <c r="H733" s="1" t="s">
        <v>272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1</v>
      </c>
      <c r="X733" s="1">
        <v>1</v>
      </c>
      <c r="Y733" s="1">
        <v>1</v>
      </c>
      <c r="Z733" s="1">
        <v>1</v>
      </c>
      <c r="AA733" s="1"/>
      <c r="AB733" s="1"/>
      <c r="AC733" s="1"/>
      <c r="AD733" s="1"/>
      <c r="AE733" s="1"/>
      <c r="AF733" s="48"/>
    </row>
    <row r="734" spans="1:32" s="11" customFormat="1" x14ac:dyDescent="0.25">
      <c r="A734" s="42" t="s">
        <v>340</v>
      </c>
      <c r="B734" s="2" t="s">
        <v>111</v>
      </c>
      <c r="C734" s="2" t="s">
        <v>188</v>
      </c>
      <c r="D734" s="15" t="s">
        <v>349</v>
      </c>
      <c r="E734" s="15"/>
      <c r="F734" s="15"/>
      <c r="G734" s="15" t="s">
        <v>259</v>
      </c>
      <c r="H734" s="1" t="s">
        <v>273</v>
      </c>
      <c r="I734" s="1"/>
      <c r="J734" s="1"/>
      <c r="K734" s="1">
        <v>1</v>
      </c>
      <c r="L734" s="1">
        <v>1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48"/>
    </row>
    <row r="735" spans="1:32" s="11" customFormat="1" ht="24" x14ac:dyDescent="0.25">
      <c r="A735" s="42" t="s">
        <v>340</v>
      </c>
      <c r="B735" s="2" t="s">
        <v>111</v>
      </c>
      <c r="C735" s="2" t="s">
        <v>188</v>
      </c>
      <c r="D735" s="15" t="s">
        <v>349</v>
      </c>
      <c r="E735" s="15"/>
      <c r="F735" s="15"/>
      <c r="G735" s="15" t="s">
        <v>253</v>
      </c>
      <c r="H735" s="1" t="s">
        <v>274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>
        <v>1</v>
      </c>
      <c r="AB735" s="1">
        <v>1</v>
      </c>
      <c r="AC735" s="1">
        <v>1</v>
      </c>
      <c r="AD735" s="1">
        <v>1</v>
      </c>
      <c r="AE735" s="1"/>
      <c r="AF735" s="48"/>
    </row>
    <row r="736" spans="1:32" s="11" customFormat="1" ht="24" x14ac:dyDescent="0.25">
      <c r="A736" s="42" t="s">
        <v>340</v>
      </c>
      <c r="B736" s="2" t="s">
        <v>111</v>
      </c>
      <c r="C736" s="2" t="s">
        <v>188</v>
      </c>
      <c r="D736" s="15" t="s">
        <v>349</v>
      </c>
      <c r="E736" s="15"/>
      <c r="F736" s="15"/>
      <c r="G736" s="15" t="s">
        <v>253</v>
      </c>
      <c r="H736" s="1" t="s">
        <v>275</v>
      </c>
      <c r="I736" s="1"/>
      <c r="J736" s="1">
        <v>1</v>
      </c>
      <c r="K736" s="1">
        <v>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48"/>
    </row>
    <row r="737" spans="1:32" s="11" customFormat="1" ht="24" x14ac:dyDescent="0.25">
      <c r="A737" s="42" t="s">
        <v>340</v>
      </c>
      <c r="B737" s="2" t="s">
        <v>111</v>
      </c>
      <c r="C737" s="2" t="s">
        <v>188</v>
      </c>
      <c r="D737" s="15" t="s">
        <v>349</v>
      </c>
      <c r="E737" s="15"/>
      <c r="F737" s="15"/>
      <c r="G737" s="15" t="s">
        <v>253</v>
      </c>
      <c r="H737" s="1" t="s">
        <v>276</v>
      </c>
      <c r="I737" s="1"/>
      <c r="J737" s="1"/>
      <c r="K737" s="1"/>
      <c r="L737" s="1"/>
      <c r="M737" s="1"/>
      <c r="N737" s="1"/>
      <c r="O737" s="1">
        <v>1</v>
      </c>
      <c r="P737" s="1"/>
      <c r="Q737" s="1">
        <v>1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48"/>
    </row>
    <row r="738" spans="1:32" s="11" customFormat="1" ht="24" x14ac:dyDescent="0.25">
      <c r="A738" s="42" t="s">
        <v>340</v>
      </c>
      <c r="B738" s="2" t="s">
        <v>111</v>
      </c>
      <c r="C738" s="2" t="s">
        <v>188</v>
      </c>
      <c r="D738" s="15" t="s">
        <v>349</v>
      </c>
      <c r="E738" s="15"/>
      <c r="F738" s="15"/>
      <c r="G738" s="15" t="s">
        <v>253</v>
      </c>
      <c r="H738" s="1" t="s">
        <v>277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>
        <v>1</v>
      </c>
      <c r="T738" s="1"/>
      <c r="U738" s="1">
        <v>1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48"/>
    </row>
    <row r="739" spans="1:32" s="8" customFormat="1" x14ac:dyDescent="0.25">
      <c r="A739" s="42" t="s">
        <v>340</v>
      </c>
      <c r="B739" s="2" t="s">
        <v>189</v>
      </c>
      <c r="C739" s="2" t="s">
        <v>190</v>
      </c>
      <c r="D739" s="15" t="s">
        <v>348</v>
      </c>
      <c r="E739" s="34">
        <v>21600</v>
      </c>
      <c r="F739" s="34">
        <v>0</v>
      </c>
      <c r="G739" s="15" t="s">
        <v>252</v>
      </c>
      <c r="H739" s="1" t="s">
        <v>251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>
        <v>1</v>
      </c>
      <c r="Z739" s="1">
        <v>1</v>
      </c>
      <c r="AA739" s="1"/>
      <c r="AB739" s="1"/>
      <c r="AC739" s="1"/>
      <c r="AD739" s="1"/>
      <c r="AE739" s="1"/>
      <c r="AF739" s="48"/>
    </row>
    <row r="740" spans="1:32" s="11" customFormat="1" x14ac:dyDescent="0.25">
      <c r="A740" s="42" t="s">
        <v>340</v>
      </c>
      <c r="B740" s="2" t="s">
        <v>189</v>
      </c>
      <c r="C740" s="2" t="s">
        <v>190</v>
      </c>
      <c r="D740" s="15" t="s">
        <v>348</v>
      </c>
      <c r="E740" s="15"/>
      <c r="F740" s="15"/>
      <c r="G740" s="15" t="s">
        <v>252</v>
      </c>
      <c r="H740" s="1" t="s">
        <v>255</v>
      </c>
      <c r="I740" s="1"/>
      <c r="J740" s="1"/>
      <c r="K740" s="1"/>
      <c r="L740" s="1"/>
      <c r="M740" s="1">
        <v>1</v>
      </c>
      <c r="N740" s="1">
        <v>1</v>
      </c>
      <c r="O740" s="1">
        <v>1</v>
      </c>
      <c r="P740" s="1">
        <v>1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48"/>
    </row>
    <row r="741" spans="1:32" s="8" customFormat="1" x14ac:dyDescent="0.25">
      <c r="A741" s="42" t="s">
        <v>340</v>
      </c>
      <c r="B741" s="2" t="s">
        <v>189</v>
      </c>
      <c r="C741" s="2" t="s">
        <v>190</v>
      </c>
      <c r="D741" s="15" t="s">
        <v>348</v>
      </c>
      <c r="E741" s="15"/>
      <c r="F741" s="15"/>
      <c r="G741" s="15" t="s">
        <v>67</v>
      </c>
      <c r="H741" s="1" t="s">
        <v>261</v>
      </c>
      <c r="I741" s="1">
        <v>1</v>
      </c>
      <c r="J741" s="1">
        <v>1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48"/>
    </row>
    <row r="742" spans="1:32" s="8" customFormat="1" x14ac:dyDescent="0.25">
      <c r="A742" s="42" t="s">
        <v>340</v>
      </c>
      <c r="B742" s="2" t="s">
        <v>189</v>
      </c>
      <c r="C742" s="2" t="s">
        <v>190</v>
      </c>
      <c r="D742" s="15" t="s">
        <v>348</v>
      </c>
      <c r="E742" s="15"/>
      <c r="F742" s="15"/>
      <c r="G742" s="15" t="s">
        <v>252</v>
      </c>
      <c r="H742" s="1" t="s">
        <v>265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>
        <v>1</v>
      </c>
      <c r="AB742" s="1"/>
      <c r="AC742" s="1">
        <v>1</v>
      </c>
      <c r="AD742" s="1"/>
      <c r="AE742" s="1"/>
      <c r="AF742" s="48"/>
    </row>
    <row r="743" spans="1:32" s="8" customFormat="1" x14ac:dyDescent="0.25">
      <c r="A743" s="42" t="s">
        <v>340</v>
      </c>
      <c r="B743" s="2" t="s">
        <v>189</v>
      </c>
      <c r="C743" s="2" t="s">
        <v>190</v>
      </c>
      <c r="D743" s="15" t="s">
        <v>348</v>
      </c>
      <c r="E743" s="15"/>
      <c r="F743" s="15"/>
      <c r="G743" s="15" t="s">
        <v>252</v>
      </c>
      <c r="H743" s="1" t="s">
        <v>267</v>
      </c>
      <c r="I743" s="1"/>
      <c r="J743" s="1"/>
      <c r="K743" s="1"/>
      <c r="L743" s="1"/>
      <c r="M743" s="1"/>
      <c r="N743" s="1"/>
      <c r="O743" s="1"/>
      <c r="P743" s="1"/>
      <c r="Q743" s="1">
        <v>1</v>
      </c>
      <c r="R743" s="1">
        <v>1</v>
      </c>
      <c r="S743" s="1">
        <v>1</v>
      </c>
      <c r="T743" s="1">
        <v>1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48"/>
    </row>
    <row r="744" spans="1:32" s="8" customFormat="1" x14ac:dyDescent="0.25">
      <c r="A744" s="42" t="s">
        <v>340</v>
      </c>
      <c r="B744" s="2" t="s">
        <v>189</v>
      </c>
      <c r="C744" s="2" t="s">
        <v>190</v>
      </c>
      <c r="D744" s="15" t="s">
        <v>348</v>
      </c>
      <c r="E744" s="15"/>
      <c r="F744" s="15"/>
      <c r="G744" s="15" t="s">
        <v>252</v>
      </c>
      <c r="H744" s="1" t="s">
        <v>269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>
        <v>1</v>
      </c>
      <c r="V744" s="1">
        <v>1</v>
      </c>
      <c r="W744" s="1">
        <v>1</v>
      </c>
      <c r="X744" s="1">
        <v>1</v>
      </c>
      <c r="Y744" s="1"/>
      <c r="Z744" s="1"/>
      <c r="AA744" s="1"/>
      <c r="AB744" s="1"/>
      <c r="AC744" s="1"/>
      <c r="AD744" s="1"/>
      <c r="AE744" s="1"/>
      <c r="AF744" s="48"/>
    </row>
    <row r="745" spans="1:32" s="8" customFormat="1" x14ac:dyDescent="0.25">
      <c r="A745" s="42" t="s">
        <v>340</v>
      </c>
      <c r="B745" s="2" t="s">
        <v>189</v>
      </c>
      <c r="C745" s="2" t="s">
        <v>190</v>
      </c>
      <c r="D745" s="15" t="s">
        <v>348</v>
      </c>
      <c r="E745" s="15"/>
      <c r="F745" s="15"/>
      <c r="G745" s="15" t="s">
        <v>67</v>
      </c>
      <c r="H745" s="1" t="s">
        <v>272</v>
      </c>
      <c r="I745" s="1"/>
      <c r="J745" s="1"/>
      <c r="K745" s="1">
        <v>1</v>
      </c>
      <c r="L745" s="1">
        <v>1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48"/>
    </row>
    <row r="746" spans="1:32" s="8" customFormat="1" x14ac:dyDescent="0.25">
      <c r="A746" s="42" t="s">
        <v>340</v>
      </c>
      <c r="B746" s="2" t="s">
        <v>189</v>
      </c>
      <c r="C746" s="2" t="s">
        <v>190</v>
      </c>
      <c r="D746" s="15" t="s">
        <v>348</v>
      </c>
      <c r="E746" s="15"/>
      <c r="F746" s="15"/>
      <c r="G746" s="15" t="s">
        <v>252</v>
      </c>
      <c r="H746" s="1" t="s">
        <v>272</v>
      </c>
      <c r="I746" s="1"/>
      <c r="J746" s="1">
        <v>1</v>
      </c>
      <c r="K746" s="1">
        <v>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48"/>
    </row>
    <row r="747" spans="1:32" s="8" customFormat="1" x14ac:dyDescent="0.25">
      <c r="A747" s="42" t="s">
        <v>340</v>
      </c>
      <c r="B747" s="2" t="s">
        <v>189</v>
      </c>
      <c r="C747" s="2" t="s">
        <v>190</v>
      </c>
      <c r="D747" s="15" t="s">
        <v>348</v>
      </c>
      <c r="E747" s="15"/>
      <c r="F747" s="15"/>
      <c r="G747" s="15" t="s">
        <v>252</v>
      </c>
      <c r="H747" s="1" t="s">
        <v>273</v>
      </c>
      <c r="I747" s="1"/>
      <c r="J747" s="1"/>
      <c r="K747" s="1"/>
      <c r="L747" s="1">
        <v>1</v>
      </c>
      <c r="M747" s="1">
        <v>1</v>
      </c>
      <c r="N747" s="1">
        <v>1</v>
      </c>
      <c r="O747" s="1">
        <v>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48"/>
    </row>
    <row r="748" spans="1:32" s="8" customFormat="1" x14ac:dyDescent="0.25">
      <c r="A748" s="42" t="s">
        <v>340</v>
      </c>
      <c r="B748" s="2" t="s">
        <v>189</v>
      </c>
      <c r="C748" s="2" t="s">
        <v>190</v>
      </c>
      <c r="D748" s="15" t="s">
        <v>348</v>
      </c>
      <c r="E748" s="15"/>
      <c r="F748" s="15"/>
      <c r="G748" s="15" t="s">
        <v>67</v>
      </c>
      <c r="H748" s="1" t="s">
        <v>274</v>
      </c>
      <c r="I748" s="1">
        <v>1</v>
      </c>
      <c r="J748" s="1">
        <v>1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48"/>
    </row>
    <row r="749" spans="1:32" s="8" customFormat="1" x14ac:dyDescent="0.25">
      <c r="A749" s="42" t="s">
        <v>340</v>
      </c>
      <c r="B749" s="2" t="s">
        <v>189</v>
      </c>
      <c r="C749" s="2" t="s">
        <v>190</v>
      </c>
      <c r="D749" s="15" t="s">
        <v>348</v>
      </c>
      <c r="E749" s="15"/>
      <c r="F749" s="15"/>
      <c r="G749" s="15" t="s">
        <v>252</v>
      </c>
      <c r="H749" s="1" t="s">
        <v>274</v>
      </c>
      <c r="I749" s="1"/>
      <c r="J749" s="1"/>
      <c r="K749" s="1"/>
      <c r="L749" s="1"/>
      <c r="M749" s="1"/>
      <c r="N749" s="1"/>
      <c r="O749" s="1"/>
      <c r="P749" s="1">
        <v>1</v>
      </c>
      <c r="Q749" s="1">
        <v>1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48"/>
    </row>
    <row r="750" spans="1:32" s="8" customFormat="1" x14ac:dyDescent="0.25">
      <c r="A750" s="42" t="s">
        <v>340</v>
      </c>
      <c r="B750" s="2" t="s">
        <v>189</v>
      </c>
      <c r="C750" s="2" t="s">
        <v>190</v>
      </c>
      <c r="D750" s="15" t="s">
        <v>348</v>
      </c>
      <c r="E750" s="15"/>
      <c r="F750" s="15"/>
      <c r="G750" s="15" t="s">
        <v>252</v>
      </c>
      <c r="H750" s="1" t="s">
        <v>275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>
        <v>1</v>
      </c>
      <c r="AB750" s="1">
        <v>1</v>
      </c>
      <c r="AC750" s="1">
        <v>1</v>
      </c>
      <c r="AD750" s="1"/>
      <c r="AE750" s="1">
        <v>1</v>
      </c>
      <c r="AF750" s="48"/>
    </row>
    <row r="751" spans="1:32" s="8" customFormat="1" x14ac:dyDescent="0.25">
      <c r="A751" s="42" t="s">
        <v>340</v>
      </c>
      <c r="B751" s="2" t="s">
        <v>189</v>
      </c>
      <c r="C751" s="2" t="s">
        <v>190</v>
      </c>
      <c r="D751" s="15" t="s">
        <v>348</v>
      </c>
      <c r="E751" s="15"/>
      <c r="F751" s="15"/>
      <c r="G751" s="15" t="s">
        <v>252</v>
      </c>
      <c r="H751" s="1" t="s">
        <v>276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>
        <v>1</v>
      </c>
      <c r="T751" s="1">
        <v>1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48"/>
    </row>
    <row r="752" spans="1:32" s="8" customFormat="1" x14ac:dyDescent="0.25">
      <c r="A752" s="42" t="s">
        <v>340</v>
      </c>
      <c r="B752" s="2" t="s">
        <v>189</v>
      </c>
      <c r="C752" s="2" t="s">
        <v>190</v>
      </c>
      <c r="D752" s="15" t="s">
        <v>348</v>
      </c>
      <c r="E752" s="15"/>
      <c r="F752" s="15"/>
      <c r="G752" s="15" t="s">
        <v>252</v>
      </c>
      <c r="H752" s="1" t="s">
        <v>277</v>
      </c>
      <c r="I752" s="1"/>
      <c r="J752" s="1"/>
      <c r="K752" s="1"/>
      <c r="L752" s="1"/>
      <c r="M752" s="1"/>
      <c r="N752" s="1"/>
      <c r="O752" s="1">
        <v>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48"/>
    </row>
    <row r="753" spans="1:32" s="8" customFormat="1" x14ac:dyDescent="0.25">
      <c r="A753" s="42" t="s">
        <v>341</v>
      </c>
      <c r="B753" s="2" t="s">
        <v>192</v>
      </c>
      <c r="C753" s="2" t="s">
        <v>193</v>
      </c>
      <c r="D753" s="15" t="s">
        <v>348</v>
      </c>
      <c r="E753" s="34">
        <v>4950</v>
      </c>
      <c r="F753" s="34">
        <v>0</v>
      </c>
      <c r="G753" s="15" t="s">
        <v>67</v>
      </c>
      <c r="H753" s="1" t="s">
        <v>261</v>
      </c>
      <c r="I753" s="1">
        <v>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48"/>
    </row>
    <row r="754" spans="1:32" s="8" customFormat="1" x14ac:dyDescent="0.25">
      <c r="A754" s="42" t="s">
        <v>341</v>
      </c>
      <c r="B754" s="2" t="s">
        <v>192</v>
      </c>
      <c r="C754" s="2" t="s">
        <v>193</v>
      </c>
      <c r="D754" s="15" t="s">
        <v>348</v>
      </c>
      <c r="E754" s="15"/>
      <c r="F754" s="15"/>
      <c r="G754" s="15" t="s">
        <v>252</v>
      </c>
      <c r="H754" s="1" t="s">
        <v>265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>
        <v>1</v>
      </c>
      <c r="AB754" s="1"/>
      <c r="AC754" s="1"/>
      <c r="AD754" s="1"/>
      <c r="AE754" s="1"/>
      <c r="AF754" s="48"/>
    </row>
    <row r="755" spans="1:32" s="8" customFormat="1" x14ac:dyDescent="0.25">
      <c r="A755" s="42" t="s">
        <v>341</v>
      </c>
      <c r="B755" s="2" t="s">
        <v>192</v>
      </c>
      <c r="C755" s="2" t="s">
        <v>193</v>
      </c>
      <c r="D755" s="15" t="s">
        <v>348</v>
      </c>
      <c r="E755" s="15"/>
      <c r="F755" s="15"/>
      <c r="G755" s="15" t="s">
        <v>252</v>
      </c>
      <c r="H755" s="1" t="s">
        <v>267</v>
      </c>
      <c r="I755" s="1"/>
      <c r="J755" s="1"/>
      <c r="K755" s="1">
        <v>1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48"/>
    </row>
    <row r="756" spans="1:32" s="8" customFormat="1" x14ac:dyDescent="0.25">
      <c r="A756" s="42" t="s">
        <v>341</v>
      </c>
      <c r="B756" s="2" t="s">
        <v>192</v>
      </c>
      <c r="C756" s="2" t="s">
        <v>193</v>
      </c>
      <c r="D756" s="15" t="s">
        <v>348</v>
      </c>
      <c r="E756" s="15"/>
      <c r="F756" s="15"/>
      <c r="G756" s="15" t="s">
        <v>252</v>
      </c>
      <c r="H756" s="1" t="s">
        <v>269</v>
      </c>
      <c r="I756" s="1"/>
      <c r="J756" s="1"/>
      <c r="K756" s="1"/>
      <c r="L756" s="1"/>
      <c r="M756" s="1"/>
      <c r="N756" s="1"/>
      <c r="O756" s="1"/>
      <c r="P756" s="1">
        <v>1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48"/>
    </row>
    <row r="757" spans="1:32" s="8" customFormat="1" x14ac:dyDescent="0.25">
      <c r="A757" s="42" t="s">
        <v>341</v>
      </c>
      <c r="B757" s="2" t="s">
        <v>192</v>
      </c>
      <c r="C757" s="2" t="s">
        <v>193</v>
      </c>
      <c r="D757" s="15" t="s">
        <v>348</v>
      </c>
      <c r="E757" s="15"/>
      <c r="F757" s="15"/>
      <c r="G757" s="15" t="s">
        <v>252</v>
      </c>
      <c r="H757" s="1" t="s">
        <v>272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>
        <v>1</v>
      </c>
      <c r="Y757" s="1"/>
      <c r="Z757" s="1"/>
      <c r="AA757" s="1"/>
      <c r="AB757" s="1"/>
      <c r="AC757" s="1"/>
      <c r="AD757" s="1"/>
      <c r="AE757" s="1"/>
      <c r="AF757" s="48"/>
    </row>
    <row r="758" spans="1:32" s="8" customFormat="1" x14ac:dyDescent="0.25">
      <c r="A758" s="42" t="s">
        <v>341</v>
      </c>
      <c r="B758" s="2" t="s">
        <v>192</v>
      </c>
      <c r="C758" s="2" t="s">
        <v>193</v>
      </c>
      <c r="D758" s="15" t="s">
        <v>348</v>
      </c>
      <c r="E758" s="15"/>
      <c r="F758" s="15"/>
      <c r="G758" s="15" t="s">
        <v>252</v>
      </c>
      <c r="H758" s="1" t="s">
        <v>273</v>
      </c>
      <c r="I758" s="1"/>
      <c r="J758" s="1"/>
      <c r="K758" s="1"/>
      <c r="L758" s="1"/>
      <c r="M758" s="1"/>
      <c r="N758" s="1"/>
      <c r="O758" s="1"/>
      <c r="P758" s="1"/>
      <c r="Q758" s="1"/>
      <c r="R758" s="1">
        <v>1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48"/>
    </row>
    <row r="759" spans="1:32" s="8" customFormat="1" x14ac:dyDescent="0.25">
      <c r="A759" s="42" t="s">
        <v>341</v>
      </c>
      <c r="B759" s="2" t="s">
        <v>192</v>
      </c>
      <c r="C759" s="2" t="s">
        <v>193</v>
      </c>
      <c r="D759" s="15" t="s">
        <v>348</v>
      </c>
      <c r="E759" s="15"/>
      <c r="F759" s="15"/>
      <c r="G759" s="15" t="s">
        <v>252</v>
      </c>
      <c r="H759" s="1" t="s">
        <v>274</v>
      </c>
      <c r="I759" s="1"/>
      <c r="J759" s="1">
        <v>1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48"/>
    </row>
    <row r="760" spans="1:32" s="8" customFormat="1" x14ac:dyDescent="0.25">
      <c r="A760" s="42" t="s">
        <v>341</v>
      </c>
      <c r="B760" s="2" t="s">
        <v>192</v>
      </c>
      <c r="C760" s="2" t="s">
        <v>193</v>
      </c>
      <c r="D760" s="15" t="s">
        <v>348</v>
      </c>
      <c r="E760" s="15"/>
      <c r="F760" s="15"/>
      <c r="G760" s="15" t="s">
        <v>252</v>
      </c>
      <c r="H760" s="1" t="s">
        <v>275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>
        <v>1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48"/>
    </row>
    <row r="761" spans="1:32" s="8" customFormat="1" x14ac:dyDescent="0.25">
      <c r="A761" s="42" t="s">
        <v>341</v>
      </c>
      <c r="B761" s="2" t="s">
        <v>192</v>
      </c>
      <c r="C761" s="2" t="s">
        <v>193</v>
      </c>
      <c r="D761" s="15" t="s">
        <v>348</v>
      </c>
      <c r="E761" s="15"/>
      <c r="F761" s="15"/>
      <c r="G761" s="15" t="s">
        <v>252</v>
      </c>
      <c r="H761" s="1" t="s">
        <v>276</v>
      </c>
      <c r="I761" s="1"/>
      <c r="J761" s="1"/>
      <c r="K761" s="1"/>
      <c r="L761" s="1"/>
      <c r="M761" s="1"/>
      <c r="N761" s="1"/>
      <c r="O761" s="1">
        <v>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48"/>
    </row>
    <row r="762" spans="1:32" s="8" customFormat="1" x14ac:dyDescent="0.25">
      <c r="A762" s="42" t="s">
        <v>341</v>
      </c>
      <c r="B762" s="2" t="s">
        <v>194</v>
      </c>
      <c r="C762" s="2" t="s">
        <v>195</v>
      </c>
      <c r="D762" s="15" t="s">
        <v>353</v>
      </c>
      <c r="E762" s="34">
        <v>2350</v>
      </c>
      <c r="F762" s="34">
        <v>0</v>
      </c>
      <c r="G762" s="15" t="s">
        <v>264</v>
      </c>
      <c r="H762" s="1" t="s">
        <v>261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>
        <v>1</v>
      </c>
      <c r="AE762" s="1"/>
      <c r="AF762" s="48"/>
    </row>
    <row r="763" spans="1:32" s="8" customFormat="1" x14ac:dyDescent="0.25">
      <c r="A763" s="42" t="s">
        <v>341</v>
      </c>
      <c r="B763" s="2" t="s">
        <v>194</v>
      </c>
      <c r="C763" s="2" t="s">
        <v>195</v>
      </c>
      <c r="D763" s="15" t="s">
        <v>353</v>
      </c>
      <c r="E763" s="15"/>
      <c r="F763" s="15"/>
      <c r="G763" s="15" t="s">
        <v>264</v>
      </c>
      <c r="H763" s="1" t="s">
        <v>265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>
        <v>1</v>
      </c>
      <c r="AB763" s="1"/>
      <c r="AC763" s="1">
        <v>1</v>
      </c>
      <c r="AD763" s="1"/>
      <c r="AE763" s="1"/>
      <c r="AF763" s="48"/>
    </row>
    <row r="764" spans="1:32" s="8" customFormat="1" x14ac:dyDescent="0.25">
      <c r="A764" s="42" t="s">
        <v>341</v>
      </c>
      <c r="B764" s="2" t="s">
        <v>194</v>
      </c>
      <c r="C764" s="2" t="s">
        <v>195</v>
      </c>
      <c r="D764" s="15" t="s">
        <v>353</v>
      </c>
      <c r="E764" s="15"/>
      <c r="F764" s="15"/>
      <c r="G764" s="15" t="s">
        <v>264</v>
      </c>
      <c r="H764" s="1" t="s">
        <v>267</v>
      </c>
      <c r="I764" s="1"/>
      <c r="J764" s="1"/>
      <c r="K764" s="1"/>
      <c r="L764" s="1">
        <v>1</v>
      </c>
      <c r="M764" s="1">
        <v>1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48"/>
    </row>
    <row r="765" spans="1:32" s="8" customFormat="1" x14ac:dyDescent="0.25">
      <c r="A765" s="42" t="s">
        <v>341</v>
      </c>
      <c r="B765" s="2" t="s">
        <v>194</v>
      </c>
      <c r="C765" s="2" t="s">
        <v>195</v>
      </c>
      <c r="D765" s="15" t="s">
        <v>353</v>
      </c>
      <c r="E765" s="15"/>
      <c r="F765" s="15"/>
      <c r="G765" s="15" t="s">
        <v>271</v>
      </c>
      <c r="H765" s="1" t="s">
        <v>269</v>
      </c>
      <c r="I765" s="1">
        <v>1</v>
      </c>
      <c r="J765" s="1">
        <v>1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48"/>
    </row>
    <row r="766" spans="1:32" s="8" customFormat="1" x14ac:dyDescent="0.25">
      <c r="A766" s="42" t="s">
        <v>341</v>
      </c>
      <c r="B766" s="2" t="s">
        <v>194</v>
      </c>
      <c r="C766" s="2" t="s">
        <v>195</v>
      </c>
      <c r="D766" s="15" t="s">
        <v>353</v>
      </c>
      <c r="E766" s="15"/>
      <c r="F766" s="15"/>
      <c r="G766" s="15" t="s">
        <v>264</v>
      </c>
      <c r="H766" s="1" t="s">
        <v>272</v>
      </c>
      <c r="I766" s="1"/>
      <c r="J766" s="1"/>
      <c r="K766" s="1"/>
      <c r="L766" s="1"/>
      <c r="M766" s="1"/>
      <c r="N766" s="1">
        <v>1</v>
      </c>
      <c r="O766" s="1"/>
      <c r="P766" s="1"/>
      <c r="Q766" s="1"/>
      <c r="R766" s="1"/>
      <c r="S766" s="1"/>
      <c r="T766" s="1"/>
      <c r="U766" s="1"/>
      <c r="V766" s="1"/>
      <c r="W766" s="1">
        <v>1</v>
      </c>
      <c r="X766" s="1"/>
      <c r="Y766" s="1"/>
      <c r="Z766" s="1"/>
      <c r="AA766" s="1"/>
      <c r="AB766" s="1"/>
      <c r="AC766" s="1"/>
      <c r="AD766" s="1"/>
      <c r="AE766" s="1"/>
      <c r="AF766" s="48"/>
    </row>
    <row r="767" spans="1:32" s="8" customFormat="1" x14ac:dyDescent="0.25">
      <c r="A767" s="42" t="s">
        <v>341</v>
      </c>
      <c r="B767" s="2" t="s">
        <v>194</v>
      </c>
      <c r="C767" s="2" t="s">
        <v>195</v>
      </c>
      <c r="D767" s="15" t="s">
        <v>353</v>
      </c>
      <c r="E767" s="15"/>
      <c r="F767" s="15"/>
      <c r="G767" s="15" t="s">
        <v>264</v>
      </c>
      <c r="H767" s="1" t="s">
        <v>273</v>
      </c>
      <c r="I767" s="1"/>
      <c r="J767" s="1"/>
      <c r="K767" s="1">
        <v>1</v>
      </c>
      <c r="L767" s="1"/>
      <c r="M767" s="1"/>
      <c r="N767" s="1"/>
      <c r="O767" s="1"/>
      <c r="P767" s="1">
        <v>1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48"/>
    </row>
    <row r="768" spans="1:32" s="8" customFormat="1" x14ac:dyDescent="0.25">
      <c r="A768" s="42" t="s">
        <v>341</v>
      </c>
      <c r="B768" s="2" t="s">
        <v>194</v>
      </c>
      <c r="C768" s="2" t="s">
        <v>195</v>
      </c>
      <c r="D768" s="15" t="s">
        <v>353</v>
      </c>
      <c r="E768" s="15"/>
      <c r="F768" s="15"/>
      <c r="G768" s="15" t="s">
        <v>264</v>
      </c>
      <c r="H768" s="1" t="s">
        <v>274</v>
      </c>
      <c r="I768" s="1"/>
      <c r="J768" s="1"/>
      <c r="K768" s="1"/>
      <c r="L768" s="1"/>
      <c r="M768" s="1"/>
      <c r="N768" s="1"/>
      <c r="O768" s="1">
        <v>1</v>
      </c>
      <c r="P768" s="1"/>
      <c r="Q768" s="1">
        <v>1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48"/>
    </row>
    <row r="769" spans="1:32" s="8" customFormat="1" x14ac:dyDescent="0.25">
      <c r="A769" s="42" t="s">
        <v>341</v>
      </c>
      <c r="B769" s="2" t="s">
        <v>194</v>
      </c>
      <c r="C769" s="2" t="s">
        <v>195</v>
      </c>
      <c r="D769" s="15" t="s">
        <v>353</v>
      </c>
      <c r="E769" s="15"/>
      <c r="F769" s="15"/>
      <c r="G769" s="15" t="s">
        <v>264</v>
      </c>
      <c r="H769" s="1" t="s">
        <v>275</v>
      </c>
      <c r="I769" s="1"/>
      <c r="J769" s="1"/>
      <c r="K769" s="1"/>
      <c r="L769" s="1"/>
      <c r="M769" s="1"/>
      <c r="N769" s="1"/>
      <c r="O769" s="1"/>
      <c r="P769" s="1"/>
      <c r="Q769" s="1"/>
      <c r="R769" s="1">
        <v>1</v>
      </c>
      <c r="S769" s="1"/>
      <c r="T769" s="1"/>
      <c r="U769" s="1"/>
      <c r="V769" s="1"/>
      <c r="W769" s="1"/>
      <c r="X769" s="1"/>
      <c r="Y769" s="1"/>
      <c r="Z769" s="1"/>
      <c r="AA769" s="1"/>
      <c r="AB769" s="1">
        <v>1</v>
      </c>
      <c r="AC769" s="1"/>
      <c r="AD769" s="1"/>
      <c r="AE769" s="1"/>
      <c r="AF769" s="48"/>
    </row>
    <row r="770" spans="1:32" s="8" customFormat="1" x14ac:dyDescent="0.25">
      <c r="A770" s="42" t="s">
        <v>341</v>
      </c>
      <c r="B770" s="2" t="s">
        <v>194</v>
      </c>
      <c r="C770" s="2" t="s">
        <v>195</v>
      </c>
      <c r="D770" s="15" t="s">
        <v>353</v>
      </c>
      <c r="E770" s="15"/>
      <c r="F770" s="15"/>
      <c r="G770" s="15" t="s">
        <v>264</v>
      </c>
      <c r="H770" s="1" t="s">
        <v>276</v>
      </c>
      <c r="I770" s="1"/>
      <c r="J770" s="1"/>
      <c r="K770" s="1"/>
      <c r="L770" s="1"/>
      <c r="M770" s="1"/>
      <c r="N770" s="1"/>
      <c r="O770" s="1">
        <v>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48"/>
    </row>
    <row r="771" spans="1:32" s="8" customFormat="1" x14ac:dyDescent="0.25">
      <c r="A771" s="42" t="s">
        <v>342</v>
      </c>
      <c r="B771" s="2" t="s">
        <v>198</v>
      </c>
      <c r="C771" s="2" t="s">
        <v>199</v>
      </c>
      <c r="D771" s="15" t="s">
        <v>347</v>
      </c>
      <c r="E771" s="34">
        <v>16500</v>
      </c>
      <c r="F771" s="34">
        <v>0</v>
      </c>
      <c r="G771" s="15" t="s">
        <v>256</v>
      </c>
      <c r="H771" s="1" t="s">
        <v>261</v>
      </c>
      <c r="I771" s="1"/>
      <c r="J771" s="1">
        <v>1</v>
      </c>
      <c r="K771" s="1">
        <v>1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48"/>
    </row>
    <row r="772" spans="1:32" s="8" customFormat="1" ht="24" x14ac:dyDescent="0.25">
      <c r="A772" s="42" t="s">
        <v>342</v>
      </c>
      <c r="B772" s="2" t="s">
        <v>198</v>
      </c>
      <c r="C772" s="2" t="s">
        <v>199</v>
      </c>
      <c r="D772" s="15" t="s">
        <v>347</v>
      </c>
      <c r="E772" s="34"/>
      <c r="F772" s="34"/>
      <c r="G772" s="15" t="s">
        <v>257</v>
      </c>
      <c r="H772" s="1" t="s">
        <v>261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>
        <v>1</v>
      </c>
      <c r="AB772" s="1"/>
      <c r="AC772" s="1">
        <v>1</v>
      </c>
      <c r="AD772" s="1"/>
      <c r="AE772" s="1"/>
      <c r="AF772" s="48"/>
    </row>
    <row r="773" spans="1:32" s="8" customFormat="1" x14ac:dyDescent="0.25">
      <c r="A773" s="42" t="s">
        <v>342</v>
      </c>
      <c r="B773" s="2" t="s">
        <v>198</v>
      </c>
      <c r="C773" s="2" t="s">
        <v>199</v>
      </c>
      <c r="D773" s="15" t="s">
        <v>347</v>
      </c>
      <c r="E773" s="15"/>
      <c r="F773" s="15"/>
      <c r="G773" s="15" t="s">
        <v>256</v>
      </c>
      <c r="H773" s="1" t="s">
        <v>265</v>
      </c>
      <c r="I773" s="1"/>
      <c r="J773" s="1">
        <v>1</v>
      </c>
      <c r="K773" s="1"/>
      <c r="L773" s="1">
        <v>1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48"/>
    </row>
    <row r="774" spans="1:32" s="8" customFormat="1" ht="24" x14ac:dyDescent="0.25">
      <c r="A774" s="42" t="s">
        <v>342</v>
      </c>
      <c r="B774" s="2" t="s">
        <v>198</v>
      </c>
      <c r="C774" s="2" t="s">
        <v>199</v>
      </c>
      <c r="D774" s="15" t="s">
        <v>347</v>
      </c>
      <c r="E774" s="15"/>
      <c r="F774" s="15"/>
      <c r="G774" s="15" t="s">
        <v>257</v>
      </c>
      <c r="H774" s="1" t="s">
        <v>265</v>
      </c>
      <c r="I774" s="1"/>
      <c r="J774" s="1"/>
      <c r="K774" s="1"/>
      <c r="L774" s="1"/>
      <c r="M774" s="1">
        <v>1</v>
      </c>
      <c r="N774" s="1">
        <v>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48"/>
    </row>
    <row r="775" spans="1:32" s="8" customFormat="1" ht="24" x14ac:dyDescent="0.25">
      <c r="A775" s="42" t="s">
        <v>342</v>
      </c>
      <c r="B775" s="2" t="s">
        <v>198</v>
      </c>
      <c r="C775" s="2" t="s">
        <v>199</v>
      </c>
      <c r="D775" s="15" t="s">
        <v>347</v>
      </c>
      <c r="E775" s="15"/>
      <c r="F775" s="15"/>
      <c r="G775" s="15" t="s">
        <v>257</v>
      </c>
      <c r="H775" s="1" t="s">
        <v>267</v>
      </c>
      <c r="I775" s="1"/>
      <c r="J775" s="1"/>
      <c r="K775" s="1"/>
      <c r="L775" s="1"/>
      <c r="M775" s="1"/>
      <c r="N775" s="1"/>
      <c r="O775" s="1">
        <v>1</v>
      </c>
      <c r="P775" s="1">
        <v>1</v>
      </c>
      <c r="Q775" s="1">
        <v>1</v>
      </c>
      <c r="R775" s="1">
        <v>1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48"/>
    </row>
    <row r="776" spans="1:32" s="8" customFormat="1" ht="24" x14ac:dyDescent="0.25">
      <c r="A776" s="42" t="s">
        <v>342</v>
      </c>
      <c r="B776" s="2" t="s">
        <v>198</v>
      </c>
      <c r="C776" s="2" t="s">
        <v>199</v>
      </c>
      <c r="D776" s="15" t="s">
        <v>347</v>
      </c>
      <c r="E776" s="15"/>
      <c r="F776" s="15"/>
      <c r="G776" s="15" t="s">
        <v>257</v>
      </c>
      <c r="H776" s="1" t="s">
        <v>269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>
        <v>1</v>
      </c>
      <c r="T776" s="1">
        <v>1</v>
      </c>
      <c r="U776" s="1">
        <v>1</v>
      </c>
      <c r="V776" s="1">
        <v>1</v>
      </c>
      <c r="W776" s="1"/>
      <c r="X776" s="1"/>
      <c r="Y776" s="1"/>
      <c r="Z776" s="1"/>
      <c r="AA776" s="1"/>
      <c r="AB776" s="1"/>
      <c r="AC776" s="1"/>
      <c r="AD776" s="1"/>
      <c r="AE776" s="1"/>
      <c r="AF776" s="48"/>
    </row>
    <row r="777" spans="1:32" s="8" customFormat="1" x14ac:dyDescent="0.25">
      <c r="A777" s="42" t="s">
        <v>342</v>
      </c>
      <c r="B777" s="2" t="s">
        <v>198</v>
      </c>
      <c r="C777" s="2" t="s">
        <v>199</v>
      </c>
      <c r="D777" s="15" t="s">
        <v>347</v>
      </c>
      <c r="E777" s="15"/>
      <c r="F777" s="15"/>
      <c r="G777" s="15" t="s">
        <v>256</v>
      </c>
      <c r="H777" s="1" t="s">
        <v>272</v>
      </c>
      <c r="I777" s="1"/>
      <c r="J777" s="1"/>
      <c r="K777" s="1">
        <v>1</v>
      </c>
      <c r="L777" s="1">
        <v>1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48"/>
    </row>
    <row r="778" spans="1:32" s="8" customFormat="1" ht="24" x14ac:dyDescent="0.25">
      <c r="A778" s="42" t="s">
        <v>342</v>
      </c>
      <c r="B778" s="2" t="s">
        <v>198</v>
      </c>
      <c r="C778" s="2" t="s">
        <v>199</v>
      </c>
      <c r="D778" s="15" t="s">
        <v>347</v>
      </c>
      <c r="E778" s="15"/>
      <c r="F778" s="15"/>
      <c r="G778" s="15" t="s">
        <v>257</v>
      </c>
      <c r="H778" s="1" t="s">
        <v>272</v>
      </c>
      <c r="I778" s="1"/>
      <c r="J778" s="1"/>
      <c r="K778" s="1"/>
      <c r="L778" s="1"/>
      <c r="M778" s="1"/>
      <c r="N778" s="1"/>
      <c r="O778" s="1">
        <v>1</v>
      </c>
      <c r="P778" s="1"/>
      <c r="Q778" s="1"/>
      <c r="R778" s="1"/>
      <c r="S778" s="1"/>
      <c r="T778" s="1"/>
      <c r="U778" s="1"/>
      <c r="V778" s="1"/>
      <c r="W778" s="1"/>
      <c r="X778" s="1"/>
      <c r="Y778" s="1">
        <v>1</v>
      </c>
      <c r="Z778" s="1">
        <v>1</v>
      </c>
      <c r="AA778" s="1"/>
      <c r="AB778" s="1"/>
      <c r="AC778" s="1"/>
      <c r="AD778" s="1">
        <v>1</v>
      </c>
      <c r="AE778" s="1"/>
      <c r="AF778" s="48"/>
    </row>
    <row r="779" spans="1:32" s="8" customFormat="1" x14ac:dyDescent="0.25">
      <c r="A779" s="42" t="s">
        <v>342</v>
      </c>
      <c r="B779" s="2" t="s">
        <v>198</v>
      </c>
      <c r="C779" s="2" t="s">
        <v>199</v>
      </c>
      <c r="D779" s="15" t="s">
        <v>347</v>
      </c>
      <c r="E779" s="15"/>
      <c r="F779" s="15"/>
      <c r="G779" s="15" t="s">
        <v>256</v>
      </c>
      <c r="H779" s="1" t="s">
        <v>273</v>
      </c>
      <c r="I779" s="1"/>
      <c r="J779" s="1">
        <v>1</v>
      </c>
      <c r="K779" s="1">
        <v>1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48"/>
    </row>
    <row r="780" spans="1:32" s="8" customFormat="1" ht="24" x14ac:dyDescent="0.25">
      <c r="A780" s="42" t="s">
        <v>342</v>
      </c>
      <c r="B780" s="2" t="s">
        <v>198</v>
      </c>
      <c r="C780" s="2" t="s">
        <v>199</v>
      </c>
      <c r="D780" s="15" t="s">
        <v>347</v>
      </c>
      <c r="E780" s="15"/>
      <c r="F780" s="15"/>
      <c r="G780" s="15" t="s">
        <v>257</v>
      </c>
      <c r="H780" s="1" t="s">
        <v>273</v>
      </c>
      <c r="I780" s="1"/>
      <c r="J780" s="1">
        <v>1</v>
      </c>
      <c r="K780" s="1">
        <v>1</v>
      </c>
      <c r="L780" s="1">
        <v>1</v>
      </c>
      <c r="M780" s="1">
        <v>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48"/>
    </row>
    <row r="781" spans="1:32" s="8" customFormat="1" ht="24" x14ac:dyDescent="0.25">
      <c r="A781" s="42" t="s">
        <v>342</v>
      </c>
      <c r="B781" s="2" t="s">
        <v>198</v>
      </c>
      <c r="C781" s="2" t="s">
        <v>199</v>
      </c>
      <c r="D781" s="15" t="s">
        <v>347</v>
      </c>
      <c r="E781" s="15"/>
      <c r="F781" s="15"/>
      <c r="G781" s="15" t="s">
        <v>257</v>
      </c>
      <c r="H781" s="1" t="s">
        <v>274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1</v>
      </c>
      <c r="X781" s="1">
        <v>1</v>
      </c>
      <c r="Y781" s="1"/>
      <c r="Z781" s="1"/>
      <c r="AA781" s="1">
        <v>1</v>
      </c>
      <c r="AB781" s="1"/>
      <c r="AC781" s="1">
        <v>1</v>
      </c>
      <c r="AD781" s="1"/>
      <c r="AE781" s="1"/>
      <c r="AF781" s="48"/>
    </row>
    <row r="782" spans="1:32" s="8" customFormat="1" ht="24" x14ac:dyDescent="0.25">
      <c r="A782" s="42" t="s">
        <v>342</v>
      </c>
      <c r="B782" s="2" t="s">
        <v>198</v>
      </c>
      <c r="C782" s="2" t="s">
        <v>199</v>
      </c>
      <c r="D782" s="15" t="s">
        <v>347</v>
      </c>
      <c r="E782" s="15"/>
      <c r="F782" s="15"/>
      <c r="G782" s="15" t="s">
        <v>257</v>
      </c>
      <c r="H782" s="1" t="s">
        <v>275</v>
      </c>
      <c r="I782" s="1"/>
      <c r="J782" s="1"/>
      <c r="K782" s="1"/>
      <c r="L782" s="1"/>
      <c r="M782" s="1"/>
      <c r="N782" s="1">
        <v>1</v>
      </c>
      <c r="O782" s="1">
        <v>1</v>
      </c>
      <c r="P782" s="1">
        <v>1</v>
      </c>
      <c r="Q782" s="1">
        <v>1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48"/>
    </row>
    <row r="783" spans="1:32" s="8" customFormat="1" ht="24" x14ac:dyDescent="0.25">
      <c r="A783" s="42" t="s">
        <v>342</v>
      </c>
      <c r="B783" s="2" t="s">
        <v>198</v>
      </c>
      <c r="C783" s="2" t="s">
        <v>199</v>
      </c>
      <c r="D783" s="15" t="s">
        <v>347</v>
      </c>
      <c r="E783" s="15"/>
      <c r="F783" s="15"/>
      <c r="G783" s="15" t="s">
        <v>257</v>
      </c>
      <c r="H783" s="1" t="s">
        <v>276</v>
      </c>
      <c r="I783" s="1"/>
      <c r="J783" s="1"/>
      <c r="K783" s="1"/>
      <c r="L783" s="1"/>
      <c r="M783" s="1"/>
      <c r="N783" s="1"/>
      <c r="O783" s="1"/>
      <c r="P783" s="1"/>
      <c r="Q783" s="1"/>
      <c r="R783" s="1">
        <v>1</v>
      </c>
      <c r="S783" s="1">
        <v>1</v>
      </c>
      <c r="T783" s="1">
        <v>1</v>
      </c>
      <c r="U783" s="1">
        <v>1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48"/>
    </row>
    <row r="784" spans="1:32" s="8" customFormat="1" x14ac:dyDescent="0.25">
      <c r="A784" s="42" t="s">
        <v>342</v>
      </c>
      <c r="B784" s="2" t="s">
        <v>200</v>
      </c>
      <c r="C784" s="2" t="s">
        <v>201</v>
      </c>
      <c r="D784" s="15" t="s">
        <v>346</v>
      </c>
      <c r="E784" s="34">
        <v>1900</v>
      </c>
      <c r="F784" s="34">
        <v>0</v>
      </c>
      <c r="G784" s="15" t="s">
        <v>263</v>
      </c>
      <c r="H784" s="1" t="s">
        <v>261</v>
      </c>
      <c r="I784" s="1"/>
      <c r="J784" s="1">
        <v>1</v>
      </c>
      <c r="K784" s="1"/>
      <c r="L784" s="1">
        <v>1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48"/>
    </row>
    <row r="785" spans="1:32" s="8" customFormat="1" x14ac:dyDescent="0.25">
      <c r="A785" s="42" t="s">
        <v>342</v>
      </c>
      <c r="B785" s="2" t="s">
        <v>200</v>
      </c>
      <c r="C785" s="2" t="s">
        <v>201</v>
      </c>
      <c r="D785" s="15" t="s">
        <v>346</v>
      </c>
      <c r="E785" s="15"/>
      <c r="F785" s="15"/>
      <c r="G785" s="15" t="s">
        <v>258</v>
      </c>
      <c r="H785" s="1" t="s">
        <v>265</v>
      </c>
      <c r="I785" s="1"/>
      <c r="J785" s="1"/>
      <c r="K785" s="1">
        <v>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48"/>
    </row>
    <row r="786" spans="1:32" s="8" customFormat="1" x14ac:dyDescent="0.25">
      <c r="A786" s="42" t="s">
        <v>342</v>
      </c>
      <c r="B786" s="2" t="s">
        <v>200</v>
      </c>
      <c r="C786" s="2" t="s">
        <v>201</v>
      </c>
      <c r="D786" s="15" t="s">
        <v>346</v>
      </c>
      <c r="E786" s="15"/>
      <c r="F786" s="15"/>
      <c r="G786" s="15" t="s">
        <v>258</v>
      </c>
      <c r="H786" s="1" t="s">
        <v>267</v>
      </c>
      <c r="I786" s="1"/>
      <c r="J786" s="1"/>
      <c r="K786" s="1"/>
      <c r="L786" s="1"/>
      <c r="M786" s="1">
        <v>1</v>
      </c>
      <c r="N786" s="1">
        <v>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48"/>
    </row>
    <row r="787" spans="1:32" s="8" customFormat="1" x14ac:dyDescent="0.25">
      <c r="A787" s="42" t="s">
        <v>342</v>
      </c>
      <c r="B787" s="2" t="s">
        <v>200</v>
      </c>
      <c r="C787" s="2" t="s">
        <v>201</v>
      </c>
      <c r="D787" s="15" t="s">
        <v>346</v>
      </c>
      <c r="E787" s="15"/>
      <c r="F787" s="15"/>
      <c r="G787" s="15" t="s">
        <v>258</v>
      </c>
      <c r="H787" s="1" t="s">
        <v>269</v>
      </c>
      <c r="I787" s="1"/>
      <c r="J787" s="1"/>
      <c r="K787" s="1"/>
      <c r="L787" s="1"/>
      <c r="M787" s="1"/>
      <c r="N787" s="1"/>
      <c r="O787" s="1">
        <v>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48"/>
    </row>
    <row r="788" spans="1:32" s="8" customFormat="1" x14ac:dyDescent="0.25">
      <c r="A788" s="42" t="s">
        <v>342</v>
      </c>
      <c r="B788" s="2" t="s">
        <v>200</v>
      </c>
      <c r="C788" s="2" t="s">
        <v>201</v>
      </c>
      <c r="D788" s="15" t="s">
        <v>346</v>
      </c>
      <c r="E788" s="15"/>
      <c r="F788" s="15"/>
      <c r="G788" s="15" t="s">
        <v>258</v>
      </c>
      <c r="H788" s="1" t="s">
        <v>272</v>
      </c>
      <c r="I788" s="1"/>
      <c r="J788" s="1"/>
      <c r="K788" s="1"/>
      <c r="L788" s="1"/>
      <c r="M788" s="1"/>
      <c r="N788" s="1"/>
      <c r="O788" s="1"/>
      <c r="P788" s="1">
        <v>1</v>
      </c>
      <c r="Q788" s="1"/>
      <c r="R788" s="1"/>
      <c r="S788" s="1">
        <v>1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48"/>
    </row>
    <row r="789" spans="1:32" s="8" customFormat="1" x14ac:dyDescent="0.25">
      <c r="A789" s="42" t="s">
        <v>342</v>
      </c>
      <c r="B789" s="2" t="s">
        <v>200</v>
      </c>
      <c r="C789" s="2" t="s">
        <v>201</v>
      </c>
      <c r="D789" s="15" t="s">
        <v>346</v>
      </c>
      <c r="E789" s="15"/>
      <c r="F789" s="15"/>
      <c r="G789" s="15" t="s">
        <v>258</v>
      </c>
      <c r="H789" s="1" t="s">
        <v>273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1</v>
      </c>
      <c r="X789" s="1"/>
      <c r="Y789" s="1"/>
      <c r="Z789" s="1"/>
      <c r="AA789" s="1"/>
      <c r="AB789" s="1"/>
      <c r="AC789" s="1"/>
      <c r="AD789" s="1"/>
      <c r="AE789" s="1"/>
      <c r="AF789" s="48"/>
    </row>
    <row r="790" spans="1:32" s="8" customFormat="1" x14ac:dyDescent="0.25">
      <c r="A790" s="42" t="s">
        <v>342</v>
      </c>
      <c r="B790" s="2" t="s">
        <v>200</v>
      </c>
      <c r="C790" s="2" t="s">
        <v>201</v>
      </c>
      <c r="D790" s="15" t="s">
        <v>346</v>
      </c>
      <c r="E790" s="15"/>
      <c r="F790" s="15"/>
      <c r="G790" s="15" t="s">
        <v>258</v>
      </c>
      <c r="H790" s="1" t="s">
        <v>274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>
        <v>1</v>
      </c>
      <c r="AB790" s="1"/>
      <c r="AC790" s="1">
        <v>1</v>
      </c>
      <c r="AD790" s="1"/>
      <c r="AE790" s="1"/>
      <c r="AF790" s="48"/>
    </row>
    <row r="791" spans="1:32" s="8" customFormat="1" x14ac:dyDescent="0.25">
      <c r="A791" s="42" t="s">
        <v>342</v>
      </c>
      <c r="B791" s="2" t="s">
        <v>200</v>
      </c>
      <c r="C791" s="2" t="s">
        <v>201</v>
      </c>
      <c r="D791" s="15" t="s">
        <v>346</v>
      </c>
      <c r="E791" s="15"/>
      <c r="F791" s="15"/>
      <c r="G791" s="15" t="s">
        <v>258</v>
      </c>
      <c r="H791" s="1" t="s">
        <v>275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>
        <v>1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48"/>
    </row>
    <row r="792" spans="1:32" s="8" customFormat="1" x14ac:dyDescent="0.25">
      <c r="A792" s="42" t="s">
        <v>342</v>
      </c>
      <c r="B792" s="2" t="s">
        <v>200</v>
      </c>
      <c r="C792" s="2" t="s">
        <v>201</v>
      </c>
      <c r="D792" s="15" t="s">
        <v>346</v>
      </c>
      <c r="E792" s="15"/>
      <c r="F792" s="15"/>
      <c r="G792" s="15" t="s">
        <v>258</v>
      </c>
      <c r="H792" s="1" t="s">
        <v>276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>
        <v>1</v>
      </c>
      <c r="W792" s="1"/>
      <c r="X792" s="1"/>
      <c r="Y792" s="1"/>
      <c r="Z792" s="1"/>
      <c r="AA792" s="1"/>
      <c r="AB792" s="1"/>
      <c r="AC792" s="1"/>
      <c r="AD792" s="1"/>
      <c r="AE792" s="1"/>
      <c r="AF792" s="48"/>
    </row>
    <row r="793" spans="1:32" s="8" customFormat="1" x14ac:dyDescent="0.25">
      <c r="A793" s="42" t="s">
        <v>342</v>
      </c>
      <c r="B793" s="2" t="s">
        <v>202</v>
      </c>
      <c r="C793" s="2" t="s">
        <v>203</v>
      </c>
      <c r="D793" s="15" t="s">
        <v>347</v>
      </c>
      <c r="E793" s="34">
        <v>4200</v>
      </c>
      <c r="F793" s="34">
        <v>0</v>
      </c>
      <c r="G793" s="15" t="s">
        <v>256</v>
      </c>
      <c r="H793" s="1" t="s">
        <v>261</v>
      </c>
      <c r="I793" s="1"/>
      <c r="J793" s="1">
        <v>1</v>
      </c>
      <c r="K793" s="1">
        <v>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48"/>
    </row>
    <row r="794" spans="1:32" s="8" customFormat="1" ht="24" x14ac:dyDescent="0.25">
      <c r="A794" s="42" t="s">
        <v>342</v>
      </c>
      <c r="B794" s="2" t="s">
        <v>202</v>
      </c>
      <c r="C794" s="2" t="s">
        <v>203</v>
      </c>
      <c r="D794" s="15" t="s">
        <v>347</v>
      </c>
      <c r="E794" s="15"/>
      <c r="F794" s="15"/>
      <c r="G794" s="15" t="s">
        <v>257</v>
      </c>
      <c r="H794" s="1" t="s">
        <v>265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>
        <v>1</v>
      </c>
      <c r="AB794" s="1"/>
      <c r="AC794" s="1"/>
      <c r="AD794" s="1"/>
      <c r="AE794" s="1"/>
      <c r="AF794" s="48"/>
    </row>
    <row r="795" spans="1:32" s="8" customFormat="1" ht="24" x14ac:dyDescent="0.25">
      <c r="A795" s="42" t="s">
        <v>342</v>
      </c>
      <c r="B795" s="2" t="s">
        <v>202</v>
      </c>
      <c r="C795" s="2" t="s">
        <v>203</v>
      </c>
      <c r="D795" s="15" t="s">
        <v>347</v>
      </c>
      <c r="E795" s="15"/>
      <c r="F795" s="15"/>
      <c r="G795" s="15" t="s">
        <v>257</v>
      </c>
      <c r="H795" s="1" t="s">
        <v>267</v>
      </c>
      <c r="I795" s="1"/>
      <c r="J795" s="1"/>
      <c r="K795" s="1"/>
      <c r="L795" s="1"/>
      <c r="M795" s="1"/>
      <c r="N795" s="1"/>
      <c r="O795" s="1">
        <v>1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48"/>
    </row>
    <row r="796" spans="1:32" s="8" customFormat="1" ht="24" x14ac:dyDescent="0.25">
      <c r="A796" s="42" t="s">
        <v>342</v>
      </c>
      <c r="B796" s="2" t="s">
        <v>202</v>
      </c>
      <c r="C796" s="2" t="s">
        <v>203</v>
      </c>
      <c r="D796" s="15" t="s">
        <v>347</v>
      </c>
      <c r="E796" s="15"/>
      <c r="F796" s="15"/>
      <c r="G796" s="15" t="s">
        <v>257</v>
      </c>
      <c r="H796" s="1" t="s">
        <v>269</v>
      </c>
      <c r="I796" s="1"/>
      <c r="J796" s="1"/>
      <c r="K796" s="1"/>
      <c r="L796" s="1"/>
      <c r="M796" s="1"/>
      <c r="N796" s="1"/>
      <c r="O796" s="1"/>
      <c r="P796" s="1"/>
      <c r="Q796" s="1"/>
      <c r="R796" s="1">
        <v>1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48"/>
    </row>
    <row r="797" spans="1:32" s="8" customFormat="1" ht="24" x14ac:dyDescent="0.25">
      <c r="A797" s="42" t="s">
        <v>342</v>
      </c>
      <c r="B797" s="2" t="s">
        <v>202</v>
      </c>
      <c r="C797" s="2" t="s">
        <v>203</v>
      </c>
      <c r="D797" s="15" t="s">
        <v>347</v>
      </c>
      <c r="E797" s="15"/>
      <c r="F797" s="15"/>
      <c r="G797" s="15" t="s">
        <v>257</v>
      </c>
      <c r="H797" s="1" t="s">
        <v>272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>
        <v>1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48"/>
    </row>
    <row r="798" spans="1:32" s="8" customFormat="1" ht="24" x14ac:dyDescent="0.25">
      <c r="A798" s="42" t="s">
        <v>342</v>
      </c>
      <c r="B798" s="2" t="s">
        <v>202</v>
      </c>
      <c r="C798" s="2" t="s">
        <v>203</v>
      </c>
      <c r="D798" s="15" t="s">
        <v>347</v>
      </c>
      <c r="E798" s="15"/>
      <c r="F798" s="15"/>
      <c r="G798" s="15" t="s">
        <v>257</v>
      </c>
      <c r="H798" s="1" t="s">
        <v>273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1</v>
      </c>
      <c r="X798" s="1"/>
      <c r="Y798" s="1"/>
      <c r="Z798" s="1"/>
      <c r="AA798" s="1"/>
      <c r="AB798" s="1"/>
      <c r="AC798" s="1"/>
      <c r="AD798" s="1"/>
      <c r="AE798" s="1"/>
      <c r="AF798" s="48"/>
    </row>
    <row r="799" spans="1:32" s="8" customFormat="1" ht="24" x14ac:dyDescent="0.25">
      <c r="A799" s="42" t="s">
        <v>342</v>
      </c>
      <c r="B799" s="2" t="s">
        <v>202</v>
      </c>
      <c r="C799" s="2" t="s">
        <v>203</v>
      </c>
      <c r="D799" s="15" t="s">
        <v>347</v>
      </c>
      <c r="E799" s="15"/>
      <c r="F799" s="15"/>
      <c r="G799" s="15" t="s">
        <v>257</v>
      </c>
      <c r="H799" s="1" t="s">
        <v>274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>
        <v>1</v>
      </c>
      <c r="Y799" s="1"/>
      <c r="Z799" s="1"/>
      <c r="AA799" s="1"/>
      <c r="AB799" s="1"/>
      <c r="AC799" s="1"/>
      <c r="AD799" s="1"/>
      <c r="AE799" s="1"/>
      <c r="AF799" s="48"/>
    </row>
    <row r="800" spans="1:32" s="8" customFormat="1" ht="24" x14ac:dyDescent="0.25">
      <c r="A800" s="42" t="s">
        <v>342</v>
      </c>
      <c r="B800" s="2" t="s">
        <v>202</v>
      </c>
      <c r="C800" s="2" t="s">
        <v>203</v>
      </c>
      <c r="D800" s="15" t="s">
        <v>347</v>
      </c>
      <c r="E800" s="15"/>
      <c r="F800" s="15"/>
      <c r="G800" s="15" t="s">
        <v>257</v>
      </c>
      <c r="H800" s="1" t="s">
        <v>275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>
        <v>1</v>
      </c>
      <c r="AE800" s="1"/>
      <c r="AF800" s="48"/>
    </row>
    <row r="801" spans="1:32" s="8" customFormat="1" ht="24" x14ac:dyDescent="0.25">
      <c r="A801" s="42" t="s">
        <v>342</v>
      </c>
      <c r="B801" s="2" t="s">
        <v>202</v>
      </c>
      <c r="C801" s="2" t="s">
        <v>203</v>
      </c>
      <c r="D801" s="15" t="s">
        <v>347</v>
      </c>
      <c r="E801" s="15"/>
      <c r="F801" s="15"/>
      <c r="G801" s="15" t="s">
        <v>257</v>
      </c>
      <c r="H801" s="1" t="s">
        <v>276</v>
      </c>
      <c r="I801" s="1"/>
      <c r="J801" s="1"/>
      <c r="K801" s="1"/>
      <c r="L801" s="1"/>
      <c r="M801" s="1"/>
      <c r="N801" s="1"/>
      <c r="O801" s="1">
        <v>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48"/>
    </row>
    <row r="802" spans="1:32" s="8" customFormat="1" x14ac:dyDescent="0.25">
      <c r="A802" s="42" t="s">
        <v>343</v>
      </c>
      <c r="B802" s="2" t="s">
        <v>205</v>
      </c>
      <c r="C802" s="2" t="s">
        <v>206</v>
      </c>
      <c r="D802" s="15" t="s">
        <v>346</v>
      </c>
      <c r="E802" s="34">
        <v>3000</v>
      </c>
      <c r="F802" s="34">
        <v>4000</v>
      </c>
      <c r="G802" s="15" t="s">
        <v>258</v>
      </c>
      <c r="H802" s="1" t="s">
        <v>255</v>
      </c>
      <c r="I802" s="1"/>
      <c r="J802" s="1"/>
      <c r="K802" s="1"/>
      <c r="L802" s="1"/>
      <c r="M802" s="1">
        <v>1</v>
      </c>
      <c r="N802" s="1">
        <v>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48"/>
    </row>
    <row r="803" spans="1:32" s="8" customFormat="1" x14ac:dyDescent="0.25">
      <c r="A803" s="42" t="s">
        <v>343</v>
      </c>
      <c r="B803" s="2" t="s">
        <v>205</v>
      </c>
      <c r="C803" s="2" t="s">
        <v>206</v>
      </c>
      <c r="D803" s="15" t="s">
        <v>346</v>
      </c>
      <c r="E803" s="15"/>
      <c r="F803" s="15"/>
      <c r="G803" s="15" t="s">
        <v>258</v>
      </c>
      <c r="H803" s="1" t="s">
        <v>261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>
        <v>1</v>
      </c>
      <c r="AB803" s="1"/>
      <c r="AC803" s="1">
        <v>1</v>
      </c>
      <c r="AD803" s="1"/>
      <c r="AE803" s="1"/>
      <c r="AF803" s="48"/>
    </row>
    <row r="804" spans="1:32" s="8" customFormat="1" x14ac:dyDescent="0.25">
      <c r="A804" s="42" t="s">
        <v>343</v>
      </c>
      <c r="B804" s="2" t="s">
        <v>205</v>
      </c>
      <c r="C804" s="2" t="s">
        <v>206</v>
      </c>
      <c r="D804" s="15" t="s">
        <v>346</v>
      </c>
      <c r="E804" s="15"/>
      <c r="F804" s="15"/>
      <c r="G804" s="15" t="s">
        <v>258</v>
      </c>
      <c r="H804" s="1" t="s">
        <v>265</v>
      </c>
      <c r="I804" s="1"/>
      <c r="J804" s="1"/>
      <c r="K804" s="1"/>
      <c r="L804" s="1"/>
      <c r="M804" s="1"/>
      <c r="N804" s="1"/>
      <c r="O804" s="1">
        <v>1</v>
      </c>
      <c r="P804" s="1"/>
      <c r="Q804" s="1">
        <v>1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48"/>
    </row>
    <row r="805" spans="1:32" s="8" customFormat="1" x14ac:dyDescent="0.25">
      <c r="A805" s="42" t="s">
        <v>343</v>
      </c>
      <c r="B805" s="2" t="s">
        <v>205</v>
      </c>
      <c r="C805" s="2" t="s">
        <v>206</v>
      </c>
      <c r="D805" s="15" t="s">
        <v>346</v>
      </c>
      <c r="E805" s="15"/>
      <c r="F805" s="15"/>
      <c r="G805" s="15" t="s">
        <v>263</v>
      </c>
      <c r="H805" s="1" t="s">
        <v>267</v>
      </c>
      <c r="I805" s="1"/>
      <c r="J805" s="1">
        <v>1</v>
      </c>
      <c r="K805" s="1">
        <v>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48"/>
    </row>
    <row r="806" spans="1:32" s="8" customFormat="1" x14ac:dyDescent="0.25">
      <c r="A806" s="42" t="s">
        <v>343</v>
      </c>
      <c r="B806" s="2" t="s">
        <v>205</v>
      </c>
      <c r="C806" s="2" t="s">
        <v>206</v>
      </c>
      <c r="D806" s="15" t="s">
        <v>346</v>
      </c>
      <c r="E806" s="15"/>
      <c r="F806" s="15"/>
      <c r="G806" s="15" t="s">
        <v>263</v>
      </c>
      <c r="H806" s="1" t="s">
        <v>269</v>
      </c>
      <c r="I806" s="1"/>
      <c r="J806" s="1">
        <v>1</v>
      </c>
      <c r="K806" s="1"/>
      <c r="L806" s="1">
        <v>1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48"/>
    </row>
    <row r="807" spans="1:32" s="8" customFormat="1" x14ac:dyDescent="0.25">
      <c r="A807" s="42" t="s">
        <v>343</v>
      </c>
      <c r="B807" s="2" t="s">
        <v>205</v>
      </c>
      <c r="C807" s="2" t="s">
        <v>206</v>
      </c>
      <c r="D807" s="15" t="s">
        <v>346</v>
      </c>
      <c r="E807" s="15"/>
      <c r="F807" s="15"/>
      <c r="G807" s="15" t="s">
        <v>258</v>
      </c>
      <c r="H807" s="1" t="s">
        <v>272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>
        <v>1</v>
      </c>
      <c r="T807" s="1"/>
      <c r="U807" s="1">
        <v>1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48"/>
    </row>
    <row r="808" spans="1:32" s="8" customFormat="1" x14ac:dyDescent="0.25">
      <c r="A808" s="42" t="s">
        <v>343</v>
      </c>
      <c r="B808" s="2" t="s">
        <v>205</v>
      </c>
      <c r="C808" s="2" t="s">
        <v>206</v>
      </c>
      <c r="D808" s="15" t="s">
        <v>346</v>
      </c>
      <c r="E808" s="15"/>
      <c r="F808" s="15"/>
      <c r="G808" s="15" t="s">
        <v>258</v>
      </c>
      <c r="H808" s="1" t="s">
        <v>273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1</v>
      </c>
      <c r="X808" s="1">
        <v>1</v>
      </c>
      <c r="Y808" s="1"/>
      <c r="Z808" s="1"/>
      <c r="AA808" s="1"/>
      <c r="AB808" s="1"/>
      <c r="AC808" s="1"/>
      <c r="AD808" s="1"/>
      <c r="AE808" s="1"/>
      <c r="AF808" s="48"/>
    </row>
    <row r="809" spans="1:32" s="8" customFormat="1" x14ac:dyDescent="0.25">
      <c r="A809" s="42" t="s">
        <v>343</v>
      </c>
      <c r="B809" s="2" t="s">
        <v>205</v>
      </c>
      <c r="C809" s="2" t="s">
        <v>206</v>
      </c>
      <c r="D809" s="15" t="s">
        <v>346</v>
      </c>
      <c r="E809" s="15"/>
      <c r="F809" s="15"/>
      <c r="G809" s="15" t="s">
        <v>258</v>
      </c>
      <c r="H809" s="1" t="s">
        <v>274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>
        <v>1</v>
      </c>
      <c r="AB809" s="1"/>
      <c r="AC809" s="1">
        <v>1</v>
      </c>
      <c r="AD809" s="1"/>
      <c r="AE809" s="1"/>
      <c r="AF809" s="48"/>
    </row>
    <row r="810" spans="1:32" s="8" customFormat="1" x14ac:dyDescent="0.25">
      <c r="A810" s="42" t="s">
        <v>343</v>
      </c>
      <c r="B810" s="2" t="s">
        <v>205</v>
      </c>
      <c r="C810" s="2" t="s">
        <v>206</v>
      </c>
      <c r="D810" s="15" t="s">
        <v>346</v>
      </c>
      <c r="E810" s="15"/>
      <c r="F810" s="15"/>
      <c r="G810" s="15" t="s">
        <v>258</v>
      </c>
      <c r="H810" s="1" t="s">
        <v>275</v>
      </c>
      <c r="I810" s="1"/>
      <c r="J810" s="1"/>
      <c r="K810" s="1"/>
      <c r="L810" s="1"/>
      <c r="M810" s="1"/>
      <c r="N810" s="1"/>
      <c r="O810" s="1">
        <v>1</v>
      </c>
      <c r="P810" s="1">
        <v>1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48"/>
    </row>
    <row r="811" spans="1:32" s="8" customFormat="1" x14ac:dyDescent="0.25">
      <c r="A811" s="42" t="s">
        <v>343</v>
      </c>
      <c r="B811" s="2" t="s">
        <v>205</v>
      </c>
      <c r="C811" s="2" t="s">
        <v>206</v>
      </c>
      <c r="D811" s="15" t="s">
        <v>346</v>
      </c>
      <c r="E811" s="15"/>
      <c r="F811" s="15"/>
      <c r="G811" s="15" t="s">
        <v>258</v>
      </c>
      <c r="H811" s="1" t="s">
        <v>276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>
        <v>1</v>
      </c>
      <c r="Z811" s="1">
        <v>1</v>
      </c>
      <c r="AA811" s="1"/>
      <c r="AB811" s="1"/>
      <c r="AC811" s="1"/>
      <c r="AD811" s="1"/>
      <c r="AE811" s="1"/>
      <c r="AF811" s="48"/>
    </row>
    <row r="812" spans="1:32" s="8" customFormat="1" x14ac:dyDescent="0.25">
      <c r="A812" s="42" t="s">
        <v>343</v>
      </c>
      <c r="B812" s="2" t="s">
        <v>205</v>
      </c>
      <c r="C812" s="2" t="s">
        <v>206</v>
      </c>
      <c r="D812" s="15" t="s">
        <v>346</v>
      </c>
      <c r="E812" s="15"/>
      <c r="F812" s="15"/>
      <c r="G812" s="15" t="s">
        <v>30</v>
      </c>
      <c r="H812" s="1" t="s">
        <v>255</v>
      </c>
      <c r="I812" s="1"/>
      <c r="J812" s="1">
        <v>1</v>
      </c>
      <c r="K812" s="1"/>
      <c r="L812" s="1"/>
      <c r="M812" s="1">
        <v>1</v>
      </c>
      <c r="N812" s="1"/>
      <c r="O812" s="1"/>
      <c r="P812" s="1"/>
      <c r="Q812" s="1"/>
      <c r="R812" s="1"/>
      <c r="S812" s="1">
        <v>1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48"/>
    </row>
    <row r="813" spans="1:32" s="8" customFormat="1" x14ac:dyDescent="0.25">
      <c r="A813" s="42" t="s">
        <v>343</v>
      </c>
      <c r="B813" s="2" t="s">
        <v>205</v>
      </c>
      <c r="C813" s="2" t="s">
        <v>206</v>
      </c>
      <c r="D813" s="15" t="s">
        <v>346</v>
      </c>
      <c r="E813" s="15"/>
      <c r="F813" s="15"/>
      <c r="G813" s="15" t="s">
        <v>30</v>
      </c>
      <c r="H813" s="1" t="s">
        <v>261</v>
      </c>
      <c r="I813" s="1"/>
      <c r="J813" s="1"/>
      <c r="K813" s="1"/>
      <c r="L813" s="1"/>
      <c r="M813" s="1"/>
      <c r="N813" s="1">
        <v>1</v>
      </c>
      <c r="O813" s="1">
        <v>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48">
        <v>1</v>
      </c>
    </row>
    <row r="814" spans="1:32" s="8" customFormat="1" x14ac:dyDescent="0.25">
      <c r="A814" s="42" t="s">
        <v>343</v>
      </c>
      <c r="B814" s="2" t="s">
        <v>205</v>
      </c>
      <c r="C814" s="2" t="s">
        <v>206</v>
      </c>
      <c r="D814" s="15" t="s">
        <v>346</v>
      </c>
      <c r="E814" s="15"/>
      <c r="F814" s="15"/>
      <c r="G814" s="15" t="s">
        <v>30</v>
      </c>
      <c r="H814" s="1" t="s">
        <v>265</v>
      </c>
      <c r="I814" s="1"/>
      <c r="J814" s="1">
        <v>1</v>
      </c>
      <c r="K814" s="1"/>
      <c r="L814" s="1"/>
      <c r="M814" s="1"/>
      <c r="N814" s="1"/>
      <c r="O814" s="1">
        <v>1</v>
      </c>
      <c r="P814" s="1">
        <v>1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48"/>
    </row>
    <row r="815" spans="1:32" s="8" customFormat="1" x14ac:dyDescent="0.25">
      <c r="A815" s="42" t="s">
        <v>343</v>
      </c>
      <c r="B815" s="2" t="s">
        <v>205</v>
      </c>
      <c r="C815" s="2" t="s">
        <v>206</v>
      </c>
      <c r="D815" s="15" t="s">
        <v>346</v>
      </c>
      <c r="E815" s="15"/>
      <c r="F815" s="15"/>
      <c r="G815" s="15" t="s">
        <v>30</v>
      </c>
      <c r="H815" s="1" t="s">
        <v>267</v>
      </c>
      <c r="I815" s="1"/>
      <c r="J815" s="1"/>
      <c r="K815" s="1"/>
      <c r="L815" s="1"/>
      <c r="M815" s="1">
        <v>1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>
        <v>1</v>
      </c>
      <c r="AE815" s="1"/>
      <c r="AF815" s="48">
        <v>1</v>
      </c>
    </row>
    <row r="816" spans="1:32" s="8" customFormat="1" x14ac:dyDescent="0.25">
      <c r="A816" s="42" t="s">
        <v>343</v>
      </c>
      <c r="B816" s="2" t="s">
        <v>205</v>
      </c>
      <c r="C816" s="2" t="s">
        <v>206</v>
      </c>
      <c r="D816" s="15" t="s">
        <v>346</v>
      </c>
      <c r="E816" s="15"/>
      <c r="F816" s="15"/>
      <c r="G816" s="15" t="s">
        <v>30</v>
      </c>
      <c r="H816" s="1" t="s">
        <v>269</v>
      </c>
      <c r="I816" s="1"/>
      <c r="J816" s="1">
        <v>1</v>
      </c>
      <c r="K816" s="1"/>
      <c r="L816" s="1"/>
      <c r="M816" s="1"/>
      <c r="N816" s="1">
        <v>1</v>
      </c>
      <c r="O816" s="1"/>
      <c r="P816" s="1">
        <v>1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48"/>
    </row>
    <row r="817" spans="1:32" s="8" customFormat="1" x14ac:dyDescent="0.25">
      <c r="A817" s="42" t="s">
        <v>343</v>
      </c>
      <c r="B817" s="2" t="s">
        <v>205</v>
      </c>
      <c r="C817" s="2" t="s">
        <v>206</v>
      </c>
      <c r="D817" s="15" t="s">
        <v>346</v>
      </c>
      <c r="E817" s="15"/>
      <c r="F817" s="15"/>
      <c r="G817" s="15" t="s">
        <v>30</v>
      </c>
      <c r="H817" s="1" t="s">
        <v>272</v>
      </c>
      <c r="I817" s="1"/>
      <c r="J817" s="1"/>
      <c r="K817" s="1"/>
      <c r="L817" s="1"/>
      <c r="M817" s="1"/>
      <c r="N817" s="1"/>
      <c r="O817" s="1">
        <v>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>
        <v>1</v>
      </c>
      <c r="AE817" s="1"/>
      <c r="AF817" s="48">
        <v>1</v>
      </c>
    </row>
    <row r="818" spans="1:32" s="8" customFormat="1" x14ac:dyDescent="0.25">
      <c r="A818" s="42" t="s">
        <v>343</v>
      </c>
      <c r="B818" s="2" t="s">
        <v>205</v>
      </c>
      <c r="C818" s="2" t="s">
        <v>206</v>
      </c>
      <c r="D818" s="15" t="s">
        <v>346</v>
      </c>
      <c r="E818" s="15"/>
      <c r="F818" s="15"/>
      <c r="G818" s="15" t="s">
        <v>30</v>
      </c>
      <c r="H818" s="1" t="s">
        <v>273</v>
      </c>
      <c r="I818" s="1"/>
      <c r="J818" s="1">
        <v>1</v>
      </c>
      <c r="K818" s="1"/>
      <c r="L818" s="1"/>
      <c r="M818" s="1">
        <v>1</v>
      </c>
      <c r="N818" s="1"/>
      <c r="O818" s="1"/>
      <c r="P818" s="1">
        <v>1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48"/>
    </row>
    <row r="819" spans="1:32" s="8" customFormat="1" x14ac:dyDescent="0.25">
      <c r="A819" s="42" t="s">
        <v>343</v>
      </c>
      <c r="B819" s="2" t="s">
        <v>205</v>
      </c>
      <c r="C819" s="2" t="s">
        <v>206</v>
      </c>
      <c r="D819" s="15" t="s">
        <v>346</v>
      </c>
      <c r="E819" s="15"/>
      <c r="F819" s="15"/>
      <c r="G819" s="15" t="s">
        <v>30</v>
      </c>
      <c r="H819" s="1" t="s">
        <v>274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>
        <v>1</v>
      </c>
      <c r="AE819" s="1"/>
      <c r="AF819" s="48">
        <v>1</v>
      </c>
    </row>
    <row r="820" spans="1:32" s="8" customFormat="1" x14ac:dyDescent="0.25">
      <c r="A820" s="42" t="s">
        <v>343</v>
      </c>
      <c r="B820" s="2" t="s">
        <v>205</v>
      </c>
      <c r="C820" s="2" t="s">
        <v>206</v>
      </c>
      <c r="D820" s="15" t="s">
        <v>346</v>
      </c>
      <c r="E820" s="15"/>
      <c r="F820" s="15"/>
      <c r="G820" s="15" t="s">
        <v>30</v>
      </c>
      <c r="H820" s="1" t="s">
        <v>275</v>
      </c>
      <c r="I820" s="1"/>
      <c r="J820" s="1">
        <v>1</v>
      </c>
      <c r="K820" s="1"/>
      <c r="L820" s="1"/>
      <c r="M820" s="1"/>
      <c r="N820" s="1">
        <v>1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48"/>
    </row>
    <row r="821" spans="1:32" s="8" customFormat="1" x14ac:dyDescent="0.25">
      <c r="A821" s="42" t="s">
        <v>343</v>
      </c>
      <c r="B821" s="2" t="s">
        <v>205</v>
      </c>
      <c r="C821" s="2" t="s">
        <v>206</v>
      </c>
      <c r="D821" s="15" t="s">
        <v>346</v>
      </c>
      <c r="E821" s="15"/>
      <c r="F821" s="15"/>
      <c r="G821" s="15" t="s">
        <v>30</v>
      </c>
      <c r="H821" s="1" t="s">
        <v>276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>
        <v>1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>
        <v>1</v>
      </c>
      <c r="AE821" s="1"/>
      <c r="AF821" s="48"/>
    </row>
    <row r="822" spans="1:32" s="8" customFormat="1" x14ac:dyDescent="0.25">
      <c r="A822" s="42" t="s">
        <v>343</v>
      </c>
      <c r="B822" s="2" t="s">
        <v>205</v>
      </c>
      <c r="C822" s="2" t="s">
        <v>206</v>
      </c>
      <c r="D822" s="15" t="s">
        <v>347</v>
      </c>
      <c r="E822" s="34">
        <v>9000</v>
      </c>
      <c r="F822" s="34">
        <v>0</v>
      </c>
      <c r="G822" s="15" t="s">
        <v>256</v>
      </c>
      <c r="H822" s="1" t="s">
        <v>255</v>
      </c>
      <c r="I822" s="1"/>
      <c r="J822" s="1">
        <v>1</v>
      </c>
      <c r="K822" s="1">
        <v>1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48"/>
    </row>
    <row r="823" spans="1:32" s="8" customFormat="1" ht="24" x14ac:dyDescent="0.25">
      <c r="A823" s="42" t="s">
        <v>343</v>
      </c>
      <c r="B823" s="2" t="s">
        <v>205</v>
      </c>
      <c r="C823" s="2" t="s">
        <v>206</v>
      </c>
      <c r="D823" s="15" t="s">
        <v>347</v>
      </c>
      <c r="E823" s="15"/>
      <c r="F823" s="15"/>
      <c r="G823" s="15" t="s">
        <v>257</v>
      </c>
      <c r="H823" s="1" t="s">
        <v>261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>
        <v>1</v>
      </c>
      <c r="AB823" s="1"/>
      <c r="AC823" s="1">
        <v>1</v>
      </c>
      <c r="AD823" s="1"/>
      <c r="AE823" s="1"/>
      <c r="AF823" s="48"/>
    </row>
    <row r="824" spans="1:32" s="8" customFormat="1" x14ac:dyDescent="0.25">
      <c r="A824" s="42" t="s">
        <v>343</v>
      </c>
      <c r="B824" s="2" t="s">
        <v>205</v>
      </c>
      <c r="C824" s="2" t="s">
        <v>206</v>
      </c>
      <c r="D824" s="15" t="s">
        <v>347</v>
      </c>
      <c r="E824" s="15"/>
      <c r="F824" s="15"/>
      <c r="G824" s="15" t="s">
        <v>256</v>
      </c>
      <c r="H824" s="1" t="s">
        <v>265</v>
      </c>
      <c r="I824" s="1"/>
      <c r="J824" s="1"/>
      <c r="K824" s="1">
        <v>1</v>
      </c>
      <c r="L824" s="1">
        <v>1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48"/>
    </row>
    <row r="825" spans="1:32" s="8" customFormat="1" ht="24" x14ac:dyDescent="0.25">
      <c r="A825" s="42" t="s">
        <v>343</v>
      </c>
      <c r="B825" s="2" t="s">
        <v>205</v>
      </c>
      <c r="C825" s="2" t="s">
        <v>206</v>
      </c>
      <c r="D825" s="15" t="s">
        <v>347</v>
      </c>
      <c r="E825" s="15"/>
      <c r="F825" s="15"/>
      <c r="G825" s="15" t="s">
        <v>257</v>
      </c>
      <c r="H825" s="1" t="s">
        <v>267</v>
      </c>
      <c r="I825" s="1"/>
      <c r="J825" s="1"/>
      <c r="K825" s="1"/>
      <c r="L825" s="1"/>
      <c r="M825" s="1">
        <v>1</v>
      </c>
      <c r="N825" s="1">
        <v>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48"/>
    </row>
    <row r="826" spans="1:32" s="8" customFormat="1" ht="24" x14ac:dyDescent="0.25">
      <c r="A826" s="42" t="s">
        <v>343</v>
      </c>
      <c r="B826" s="2" t="s">
        <v>205</v>
      </c>
      <c r="C826" s="2" t="s">
        <v>206</v>
      </c>
      <c r="D826" s="15" t="s">
        <v>347</v>
      </c>
      <c r="E826" s="15"/>
      <c r="F826" s="15"/>
      <c r="G826" s="15" t="s">
        <v>257</v>
      </c>
      <c r="H826" s="1" t="s">
        <v>269</v>
      </c>
      <c r="I826" s="1"/>
      <c r="J826" s="1"/>
      <c r="K826" s="1"/>
      <c r="L826" s="1"/>
      <c r="M826" s="1"/>
      <c r="N826" s="1"/>
      <c r="O826" s="1">
        <v>1</v>
      </c>
      <c r="P826" s="1">
        <v>1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48"/>
    </row>
    <row r="827" spans="1:32" s="8" customFormat="1" ht="24" x14ac:dyDescent="0.25">
      <c r="A827" s="42" t="s">
        <v>343</v>
      </c>
      <c r="B827" s="2" t="s">
        <v>205</v>
      </c>
      <c r="C827" s="2" t="s">
        <v>206</v>
      </c>
      <c r="D827" s="15" t="s">
        <v>347</v>
      </c>
      <c r="E827" s="15"/>
      <c r="F827" s="15"/>
      <c r="G827" s="15" t="s">
        <v>257</v>
      </c>
      <c r="H827" s="1" t="s">
        <v>272</v>
      </c>
      <c r="I827" s="1"/>
      <c r="J827" s="1"/>
      <c r="K827" s="1"/>
      <c r="L827" s="1"/>
      <c r="M827" s="1"/>
      <c r="N827" s="1"/>
      <c r="O827" s="1"/>
      <c r="P827" s="1"/>
      <c r="Q827" s="1"/>
      <c r="R827" s="1">
        <v>1</v>
      </c>
      <c r="S827" s="1"/>
      <c r="T827" s="1">
        <v>1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48"/>
    </row>
    <row r="828" spans="1:32" s="8" customFormat="1" ht="24" x14ac:dyDescent="0.25">
      <c r="A828" s="42" t="s">
        <v>343</v>
      </c>
      <c r="B828" s="2" t="s">
        <v>205</v>
      </c>
      <c r="C828" s="2" t="s">
        <v>206</v>
      </c>
      <c r="D828" s="15" t="s">
        <v>347</v>
      </c>
      <c r="E828" s="15"/>
      <c r="F828" s="15"/>
      <c r="G828" s="15" t="s">
        <v>257</v>
      </c>
      <c r="H828" s="1" t="s">
        <v>273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>
        <v>1</v>
      </c>
      <c r="W828" s="1"/>
      <c r="X828" s="1"/>
      <c r="Y828" s="1"/>
      <c r="Z828" s="1"/>
      <c r="AA828" s="1"/>
      <c r="AB828" s="1"/>
      <c r="AC828" s="1"/>
      <c r="AD828" s="1">
        <v>1</v>
      </c>
      <c r="AE828" s="1"/>
      <c r="AF828" s="48"/>
    </row>
    <row r="829" spans="1:32" s="8" customFormat="1" ht="24" x14ac:dyDescent="0.25">
      <c r="A829" s="42" t="s">
        <v>343</v>
      </c>
      <c r="B829" s="2" t="s">
        <v>205</v>
      </c>
      <c r="C829" s="2" t="s">
        <v>206</v>
      </c>
      <c r="D829" s="15" t="s">
        <v>347</v>
      </c>
      <c r="E829" s="15"/>
      <c r="F829" s="15"/>
      <c r="G829" s="15" t="s">
        <v>257</v>
      </c>
      <c r="H829" s="1" t="s">
        <v>274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1</v>
      </c>
      <c r="X829" s="1">
        <v>1</v>
      </c>
      <c r="Y829" s="1"/>
      <c r="Z829" s="1"/>
      <c r="AA829" s="1"/>
      <c r="AB829" s="1"/>
      <c r="AC829" s="1"/>
      <c r="AD829" s="1"/>
      <c r="AE829" s="1"/>
      <c r="AF829" s="48"/>
    </row>
    <row r="830" spans="1:32" s="8" customFormat="1" ht="24" x14ac:dyDescent="0.25">
      <c r="A830" s="42" t="s">
        <v>343</v>
      </c>
      <c r="B830" s="2" t="s">
        <v>205</v>
      </c>
      <c r="C830" s="2" t="s">
        <v>206</v>
      </c>
      <c r="D830" s="15" t="s">
        <v>347</v>
      </c>
      <c r="E830" s="15"/>
      <c r="F830" s="15"/>
      <c r="G830" s="15" t="s">
        <v>257</v>
      </c>
      <c r="H830" s="1" t="s">
        <v>275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>
        <v>1</v>
      </c>
      <c r="AB830" s="1"/>
      <c r="AC830" s="1">
        <v>1</v>
      </c>
      <c r="AD830" s="1"/>
      <c r="AE830" s="1"/>
      <c r="AF830" s="48"/>
    </row>
    <row r="831" spans="1:32" s="8" customFormat="1" ht="24" x14ac:dyDescent="0.25">
      <c r="A831" s="42" t="s">
        <v>343</v>
      </c>
      <c r="B831" s="2" t="s">
        <v>205</v>
      </c>
      <c r="C831" s="2" t="s">
        <v>206</v>
      </c>
      <c r="D831" s="15" t="s">
        <v>347</v>
      </c>
      <c r="E831" s="15"/>
      <c r="F831" s="15"/>
      <c r="G831" s="15" t="s">
        <v>257</v>
      </c>
      <c r="H831" s="1" t="s">
        <v>276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>
        <v>1</v>
      </c>
      <c r="T831" s="1"/>
      <c r="U831" s="1">
        <v>1</v>
      </c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48"/>
    </row>
    <row r="832" spans="1:32" s="8" customFormat="1" ht="24" x14ac:dyDescent="0.25">
      <c r="A832" s="42" t="s">
        <v>343</v>
      </c>
      <c r="B832" s="2" t="s">
        <v>207</v>
      </c>
      <c r="C832" s="2" t="s">
        <v>208</v>
      </c>
      <c r="D832" s="15" t="s">
        <v>347</v>
      </c>
      <c r="E832" s="34">
        <v>750</v>
      </c>
      <c r="F832" s="34"/>
      <c r="G832" s="15" t="s">
        <v>257</v>
      </c>
      <c r="H832" s="1" t="s">
        <v>265</v>
      </c>
      <c r="I832" s="1"/>
      <c r="J832" s="1"/>
      <c r="K832" s="1">
        <v>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48"/>
    </row>
    <row r="833" spans="1:32" s="8" customFormat="1" ht="24" x14ac:dyDescent="0.25">
      <c r="A833" s="42" t="s">
        <v>343</v>
      </c>
      <c r="B833" s="2" t="s">
        <v>207</v>
      </c>
      <c r="C833" s="2" t="s">
        <v>208</v>
      </c>
      <c r="D833" s="15" t="s">
        <v>347</v>
      </c>
      <c r="E833" s="15"/>
      <c r="F833" s="15"/>
      <c r="G833" s="15" t="s">
        <v>257</v>
      </c>
      <c r="H833" s="1" t="s">
        <v>272</v>
      </c>
      <c r="I833" s="1"/>
      <c r="J833" s="1"/>
      <c r="K833" s="1"/>
      <c r="L833" s="1"/>
      <c r="M833" s="1"/>
      <c r="N833" s="1"/>
      <c r="O833" s="1">
        <v>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48"/>
    </row>
    <row r="834" spans="1:32" s="8" customFormat="1" x14ac:dyDescent="0.25">
      <c r="A834" s="42" t="s">
        <v>343</v>
      </c>
      <c r="B834" s="2" t="s">
        <v>207</v>
      </c>
      <c r="C834" s="2" t="s">
        <v>208</v>
      </c>
      <c r="D834" s="15" t="s">
        <v>352</v>
      </c>
      <c r="E834" s="34">
        <v>6000</v>
      </c>
      <c r="F834" s="34"/>
      <c r="G834" s="15" t="s">
        <v>260</v>
      </c>
      <c r="H834" s="1" t="s">
        <v>255</v>
      </c>
      <c r="I834" s="1"/>
      <c r="J834" s="1"/>
      <c r="K834" s="1"/>
      <c r="L834" s="1"/>
      <c r="M834" s="1">
        <v>1</v>
      </c>
      <c r="N834" s="1">
        <v>1</v>
      </c>
      <c r="O834" s="1">
        <v>1</v>
      </c>
      <c r="P834" s="1">
        <v>1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48"/>
    </row>
    <row r="835" spans="1:32" s="8" customFormat="1" x14ac:dyDescent="0.25">
      <c r="A835" s="42" t="s">
        <v>343</v>
      </c>
      <c r="B835" s="2" t="s">
        <v>207</v>
      </c>
      <c r="C835" s="2" t="s">
        <v>208</v>
      </c>
      <c r="D835" s="15" t="s">
        <v>352</v>
      </c>
      <c r="E835" s="34"/>
      <c r="F835" s="34"/>
      <c r="G835" s="15" t="s">
        <v>260</v>
      </c>
      <c r="H835" s="1" t="s">
        <v>261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>
        <v>1</v>
      </c>
      <c r="AB835" s="1">
        <v>1</v>
      </c>
      <c r="AC835" s="1">
        <v>1</v>
      </c>
      <c r="AD835" s="1">
        <v>1</v>
      </c>
      <c r="AE835" s="1"/>
      <c r="AF835" s="48"/>
    </row>
    <row r="836" spans="1:32" s="8" customFormat="1" x14ac:dyDescent="0.25">
      <c r="A836" s="42" t="s">
        <v>343</v>
      </c>
      <c r="B836" s="2" t="s">
        <v>207</v>
      </c>
      <c r="C836" s="2" t="s">
        <v>208</v>
      </c>
      <c r="D836" s="15" t="s">
        <v>352</v>
      </c>
      <c r="E836" s="15"/>
      <c r="F836" s="15"/>
      <c r="G836" s="15" t="s">
        <v>162</v>
      </c>
      <c r="H836" s="1" t="s">
        <v>265</v>
      </c>
      <c r="I836" s="1">
        <v>1</v>
      </c>
      <c r="J836" s="1">
        <v>1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48"/>
    </row>
    <row r="837" spans="1:32" s="8" customFormat="1" x14ac:dyDescent="0.25">
      <c r="A837" s="42" t="s">
        <v>343</v>
      </c>
      <c r="B837" s="2" t="s">
        <v>207</v>
      </c>
      <c r="C837" s="2" t="s">
        <v>208</v>
      </c>
      <c r="D837" s="15" t="s">
        <v>352</v>
      </c>
      <c r="E837" s="15"/>
      <c r="F837" s="15"/>
      <c r="G837" s="15" t="s">
        <v>260</v>
      </c>
      <c r="H837" s="1" t="s">
        <v>265</v>
      </c>
      <c r="I837" s="1"/>
      <c r="J837" s="1"/>
      <c r="K837" s="1"/>
      <c r="L837" s="1"/>
      <c r="M837" s="1"/>
      <c r="N837" s="1"/>
      <c r="O837" s="1"/>
      <c r="P837" s="1"/>
      <c r="Q837" s="1">
        <v>1</v>
      </c>
      <c r="R837" s="1">
        <v>1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48"/>
    </row>
    <row r="838" spans="1:32" s="8" customFormat="1" x14ac:dyDescent="0.25">
      <c r="A838" s="42" t="s">
        <v>343</v>
      </c>
      <c r="B838" s="2" t="s">
        <v>207</v>
      </c>
      <c r="C838" s="2" t="s">
        <v>208</v>
      </c>
      <c r="D838" s="15" t="s">
        <v>352</v>
      </c>
      <c r="E838" s="15"/>
      <c r="F838" s="15"/>
      <c r="G838" s="15" t="s">
        <v>162</v>
      </c>
      <c r="H838" s="1" t="s">
        <v>267</v>
      </c>
      <c r="I838" s="1"/>
      <c r="J838" s="1"/>
      <c r="K838" s="1">
        <v>1</v>
      </c>
      <c r="L838" s="1">
        <v>1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48"/>
    </row>
    <row r="839" spans="1:32" s="8" customFormat="1" x14ac:dyDescent="0.25">
      <c r="A839" s="42" t="s">
        <v>343</v>
      </c>
      <c r="B839" s="2" t="s">
        <v>207</v>
      </c>
      <c r="C839" s="2" t="s">
        <v>208</v>
      </c>
      <c r="D839" s="15" t="s">
        <v>352</v>
      </c>
      <c r="E839" s="15"/>
      <c r="F839" s="15"/>
      <c r="G839" s="15" t="s">
        <v>260</v>
      </c>
      <c r="H839" s="1" t="s">
        <v>267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>
        <v>1</v>
      </c>
      <c r="T839" s="1">
        <v>1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48"/>
    </row>
    <row r="840" spans="1:32" s="8" customFormat="1" x14ac:dyDescent="0.25">
      <c r="A840" s="42" t="s">
        <v>343</v>
      </c>
      <c r="B840" s="2" t="s">
        <v>207</v>
      </c>
      <c r="C840" s="2" t="s">
        <v>208</v>
      </c>
      <c r="D840" s="15" t="s">
        <v>352</v>
      </c>
      <c r="E840" s="15"/>
      <c r="F840" s="15"/>
      <c r="G840" s="15" t="s">
        <v>162</v>
      </c>
      <c r="H840" s="1" t="s">
        <v>269</v>
      </c>
      <c r="I840" s="1">
        <v>1</v>
      </c>
      <c r="J840" s="1">
        <v>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48"/>
    </row>
    <row r="841" spans="1:32" s="8" customFormat="1" x14ac:dyDescent="0.25">
      <c r="A841" s="42" t="s">
        <v>343</v>
      </c>
      <c r="B841" s="2" t="s">
        <v>207</v>
      </c>
      <c r="C841" s="2" t="s">
        <v>208</v>
      </c>
      <c r="D841" s="15" t="s">
        <v>352</v>
      </c>
      <c r="E841" s="15"/>
      <c r="F841" s="15"/>
      <c r="G841" s="15" t="s">
        <v>260</v>
      </c>
      <c r="H841" s="1" t="s">
        <v>269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>
        <v>1</v>
      </c>
      <c r="V841" s="1">
        <v>1</v>
      </c>
      <c r="W841" s="1"/>
      <c r="X841" s="1"/>
      <c r="Y841" s="1"/>
      <c r="Z841" s="1"/>
      <c r="AA841" s="1"/>
      <c r="AB841" s="1"/>
      <c r="AC841" s="1"/>
      <c r="AD841" s="1"/>
      <c r="AE841" s="1"/>
      <c r="AF841" s="48"/>
    </row>
    <row r="842" spans="1:32" s="8" customFormat="1" x14ac:dyDescent="0.25">
      <c r="A842" s="42" t="s">
        <v>343</v>
      </c>
      <c r="B842" s="2" t="s">
        <v>207</v>
      </c>
      <c r="C842" s="2" t="s">
        <v>208</v>
      </c>
      <c r="D842" s="15" t="s">
        <v>352</v>
      </c>
      <c r="E842" s="15"/>
      <c r="F842" s="15"/>
      <c r="G842" s="15" t="s">
        <v>260</v>
      </c>
      <c r="H842" s="1" t="s">
        <v>272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1</v>
      </c>
      <c r="X842" s="1">
        <v>1</v>
      </c>
      <c r="Y842" s="1">
        <v>1</v>
      </c>
      <c r="Z842" s="1">
        <v>1</v>
      </c>
      <c r="AA842" s="1"/>
      <c r="AB842" s="1"/>
      <c r="AC842" s="1"/>
      <c r="AD842" s="1"/>
      <c r="AE842" s="1"/>
      <c r="AF842" s="48"/>
    </row>
    <row r="843" spans="1:32" s="8" customFormat="1" x14ac:dyDescent="0.25">
      <c r="A843" s="42" t="s">
        <v>343</v>
      </c>
      <c r="B843" s="2" t="s">
        <v>207</v>
      </c>
      <c r="C843" s="2" t="s">
        <v>208</v>
      </c>
      <c r="D843" s="15" t="s">
        <v>352</v>
      </c>
      <c r="E843" s="15"/>
      <c r="F843" s="15"/>
      <c r="G843" s="15" t="s">
        <v>260</v>
      </c>
      <c r="H843" s="1" t="s">
        <v>273</v>
      </c>
      <c r="I843" s="1"/>
      <c r="J843" s="1"/>
      <c r="K843" s="1"/>
      <c r="L843" s="1"/>
      <c r="M843" s="1"/>
      <c r="N843" s="1"/>
      <c r="O843" s="1">
        <v>1</v>
      </c>
      <c r="P843" s="1"/>
      <c r="Q843" s="1">
        <v>1</v>
      </c>
      <c r="R843" s="1"/>
      <c r="S843" s="1">
        <v>1</v>
      </c>
      <c r="T843" s="1"/>
      <c r="U843" s="1">
        <v>1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48"/>
    </row>
    <row r="844" spans="1:32" s="8" customFormat="1" x14ac:dyDescent="0.25">
      <c r="A844" s="42" t="s">
        <v>343</v>
      </c>
      <c r="B844" s="2" t="s">
        <v>207</v>
      </c>
      <c r="C844" s="2" t="s">
        <v>208</v>
      </c>
      <c r="D844" s="15" t="s">
        <v>352</v>
      </c>
      <c r="E844" s="15"/>
      <c r="F844" s="15"/>
      <c r="G844" s="15" t="s">
        <v>260</v>
      </c>
      <c r="H844" s="1" t="s">
        <v>274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>
        <v>1</v>
      </c>
      <c r="AB844" s="1">
        <v>1</v>
      </c>
      <c r="AC844" s="1">
        <v>1</v>
      </c>
      <c r="AD844" s="1">
        <v>1</v>
      </c>
      <c r="AE844" s="1"/>
      <c r="AF844" s="48"/>
    </row>
    <row r="845" spans="1:32" s="8" customFormat="1" x14ac:dyDescent="0.25">
      <c r="A845" s="42" t="s">
        <v>343</v>
      </c>
      <c r="B845" s="2" t="s">
        <v>207</v>
      </c>
      <c r="C845" s="2" t="s">
        <v>208</v>
      </c>
      <c r="D845" s="15" t="s">
        <v>352</v>
      </c>
      <c r="E845" s="15"/>
      <c r="F845" s="15"/>
      <c r="G845" s="15" t="s">
        <v>260</v>
      </c>
      <c r="H845" s="1" t="s">
        <v>275</v>
      </c>
      <c r="I845" s="1"/>
      <c r="J845" s="1">
        <v>1</v>
      </c>
      <c r="K845" s="1">
        <v>1</v>
      </c>
      <c r="L845" s="1">
        <v>1</v>
      </c>
      <c r="M845" s="1"/>
      <c r="N845" s="1"/>
      <c r="O845" s="1">
        <v>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48"/>
    </row>
    <row r="846" spans="1:32" s="8" customFormat="1" x14ac:dyDescent="0.25">
      <c r="A846" s="42" t="s">
        <v>343</v>
      </c>
      <c r="B846" s="2" t="s">
        <v>207</v>
      </c>
      <c r="C846" s="2" t="s">
        <v>208</v>
      </c>
      <c r="D846" s="15" t="s">
        <v>352</v>
      </c>
      <c r="E846" s="15"/>
      <c r="F846" s="15"/>
      <c r="G846" s="15" t="s">
        <v>260</v>
      </c>
      <c r="H846" s="1" t="s">
        <v>276</v>
      </c>
      <c r="I846" s="1"/>
      <c r="J846" s="1"/>
      <c r="K846" s="1"/>
      <c r="L846" s="1"/>
      <c r="M846" s="1"/>
      <c r="N846" s="1"/>
      <c r="O846" s="1">
        <v>1</v>
      </c>
      <c r="P846" s="1"/>
      <c r="Q846" s="1"/>
      <c r="R846" s="1">
        <v>1</v>
      </c>
      <c r="S846" s="1"/>
      <c r="T846" s="1">
        <v>1</v>
      </c>
      <c r="U846" s="1"/>
      <c r="V846" s="1">
        <v>1</v>
      </c>
      <c r="W846" s="1"/>
      <c r="X846" s="1"/>
      <c r="Y846" s="1"/>
      <c r="Z846" s="1"/>
      <c r="AA846" s="1"/>
      <c r="AB846" s="1"/>
      <c r="AC846" s="1"/>
      <c r="AD846" s="1"/>
      <c r="AE846" s="1"/>
      <c r="AF846" s="48"/>
    </row>
    <row r="847" spans="1:32" s="8" customFormat="1" ht="24" x14ac:dyDescent="0.25">
      <c r="A847" s="42" t="s">
        <v>343</v>
      </c>
      <c r="B847" s="2" t="s">
        <v>111</v>
      </c>
      <c r="C847" s="2" t="s">
        <v>209</v>
      </c>
      <c r="D847" s="15" t="s">
        <v>347</v>
      </c>
      <c r="E847" s="34">
        <v>1200</v>
      </c>
      <c r="F847" s="34"/>
      <c r="G847" s="15" t="s">
        <v>257</v>
      </c>
      <c r="H847" s="1" t="s">
        <v>261</v>
      </c>
      <c r="I847" s="1"/>
      <c r="J847" s="1"/>
      <c r="K847" s="1">
        <v>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48"/>
    </row>
    <row r="848" spans="1:32" s="8" customFormat="1" ht="24" x14ac:dyDescent="0.25">
      <c r="A848" s="42" t="s">
        <v>343</v>
      </c>
      <c r="B848" s="2" t="s">
        <v>111</v>
      </c>
      <c r="C848" s="2" t="s">
        <v>209</v>
      </c>
      <c r="D848" s="15" t="s">
        <v>347</v>
      </c>
      <c r="E848" s="15"/>
      <c r="F848" s="15"/>
      <c r="G848" s="15" t="s">
        <v>257</v>
      </c>
      <c r="H848" s="1" t="s">
        <v>269</v>
      </c>
      <c r="I848" s="1"/>
      <c r="J848" s="1">
        <v>1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48"/>
    </row>
    <row r="849" spans="1:32" s="8" customFormat="1" ht="24" x14ac:dyDescent="0.25">
      <c r="A849" s="42" t="s">
        <v>343</v>
      </c>
      <c r="B849" s="2" t="s">
        <v>111</v>
      </c>
      <c r="C849" s="2" t="s">
        <v>209</v>
      </c>
      <c r="D849" s="15" t="s">
        <v>347</v>
      </c>
      <c r="E849" s="15"/>
      <c r="F849" s="15"/>
      <c r="G849" s="15" t="s">
        <v>257</v>
      </c>
      <c r="H849" s="1" t="s">
        <v>274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1</v>
      </c>
      <c r="X849" s="1"/>
      <c r="Y849" s="1"/>
      <c r="Z849" s="1"/>
      <c r="AA849" s="1"/>
      <c r="AB849" s="1"/>
      <c r="AC849" s="1"/>
      <c r="AD849" s="1"/>
      <c r="AE849" s="1"/>
      <c r="AF849" s="48"/>
    </row>
    <row r="850" spans="1:32" s="8" customFormat="1" x14ac:dyDescent="0.25">
      <c r="A850" s="42" t="s">
        <v>343</v>
      </c>
      <c r="B850" s="2" t="s">
        <v>111</v>
      </c>
      <c r="C850" s="2" t="s">
        <v>209</v>
      </c>
      <c r="D850" s="15" t="s">
        <v>352</v>
      </c>
      <c r="E850" s="34">
        <v>1400</v>
      </c>
      <c r="F850" s="34">
        <v>0</v>
      </c>
      <c r="G850" s="15" t="s">
        <v>260</v>
      </c>
      <c r="H850" s="1" t="s">
        <v>255</v>
      </c>
      <c r="I850" s="1"/>
      <c r="J850" s="1">
        <v>1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48"/>
    </row>
    <row r="851" spans="1:32" s="8" customFormat="1" x14ac:dyDescent="0.25">
      <c r="A851" s="42" t="s">
        <v>343</v>
      </c>
      <c r="B851" s="2" t="s">
        <v>111</v>
      </c>
      <c r="C851" s="2" t="s">
        <v>209</v>
      </c>
      <c r="D851" s="15" t="s">
        <v>352</v>
      </c>
      <c r="E851" s="15"/>
      <c r="F851" s="15"/>
      <c r="G851" s="15" t="s">
        <v>260</v>
      </c>
      <c r="H851" s="1" t="s">
        <v>261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>
        <v>1</v>
      </c>
      <c r="AB851" s="1"/>
      <c r="AC851" s="1">
        <v>1</v>
      </c>
      <c r="AD851" s="1"/>
      <c r="AE851" s="1"/>
      <c r="AF851" s="48"/>
    </row>
    <row r="852" spans="1:32" s="8" customFormat="1" x14ac:dyDescent="0.25">
      <c r="A852" s="42" t="s">
        <v>343</v>
      </c>
      <c r="B852" s="2" t="s">
        <v>111</v>
      </c>
      <c r="C852" s="2" t="s">
        <v>209</v>
      </c>
      <c r="D852" s="15" t="s">
        <v>352</v>
      </c>
      <c r="E852" s="15"/>
      <c r="F852" s="15"/>
      <c r="G852" s="15" t="s">
        <v>162</v>
      </c>
      <c r="H852" s="1" t="s">
        <v>265</v>
      </c>
      <c r="I852" s="1">
        <v>1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48"/>
    </row>
    <row r="853" spans="1:32" s="8" customFormat="1" x14ac:dyDescent="0.25">
      <c r="A853" s="42" t="s">
        <v>343</v>
      </c>
      <c r="B853" s="2" t="s">
        <v>111</v>
      </c>
      <c r="C853" s="2" t="s">
        <v>209</v>
      </c>
      <c r="D853" s="15" t="s">
        <v>352</v>
      </c>
      <c r="E853" s="15"/>
      <c r="F853" s="15"/>
      <c r="G853" s="15" t="s">
        <v>260</v>
      </c>
      <c r="H853" s="1" t="s">
        <v>267</v>
      </c>
      <c r="I853" s="1"/>
      <c r="J853" s="1"/>
      <c r="K853" s="1"/>
      <c r="L853" s="1"/>
      <c r="M853" s="1"/>
      <c r="N853" s="1"/>
      <c r="O853" s="1">
        <v>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48"/>
    </row>
    <row r="854" spans="1:32" s="8" customFormat="1" x14ac:dyDescent="0.25">
      <c r="A854" s="42" t="s">
        <v>343</v>
      </c>
      <c r="B854" s="2" t="s">
        <v>111</v>
      </c>
      <c r="C854" s="2" t="s">
        <v>209</v>
      </c>
      <c r="D854" s="15" t="s">
        <v>352</v>
      </c>
      <c r="E854" s="15"/>
      <c r="F854" s="15"/>
      <c r="G854" s="15" t="s">
        <v>260</v>
      </c>
      <c r="H854" s="1" t="s">
        <v>269</v>
      </c>
      <c r="I854" s="1"/>
      <c r="J854" s="1"/>
      <c r="K854" s="1"/>
      <c r="L854" s="1"/>
      <c r="M854" s="1"/>
      <c r="N854" s="1"/>
      <c r="O854" s="1"/>
      <c r="P854" s="1"/>
      <c r="Q854" s="1">
        <v>1</v>
      </c>
      <c r="R854" s="1">
        <v>1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48"/>
    </row>
    <row r="855" spans="1:32" s="8" customFormat="1" x14ac:dyDescent="0.25">
      <c r="A855" s="42" t="s">
        <v>343</v>
      </c>
      <c r="B855" s="2" t="s">
        <v>111</v>
      </c>
      <c r="C855" s="2" t="s">
        <v>209</v>
      </c>
      <c r="D855" s="15" t="s">
        <v>352</v>
      </c>
      <c r="E855" s="15"/>
      <c r="F855" s="15"/>
      <c r="G855" s="15" t="s">
        <v>260</v>
      </c>
      <c r="H855" s="1" t="s">
        <v>272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>
        <v>1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48"/>
    </row>
    <row r="856" spans="1:32" s="8" customFormat="1" x14ac:dyDescent="0.25">
      <c r="A856" s="42" t="s">
        <v>343</v>
      </c>
      <c r="B856" s="2" t="s">
        <v>111</v>
      </c>
      <c r="C856" s="2" t="s">
        <v>209</v>
      </c>
      <c r="D856" s="15" t="s">
        <v>352</v>
      </c>
      <c r="E856" s="15"/>
      <c r="F856" s="15"/>
      <c r="G856" s="15" t="s">
        <v>260</v>
      </c>
      <c r="H856" s="1" t="s">
        <v>273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>
        <v>1</v>
      </c>
      <c r="AE856" s="1"/>
      <c r="AF856" s="48"/>
    </row>
    <row r="857" spans="1:32" s="8" customFormat="1" x14ac:dyDescent="0.25">
      <c r="A857" s="42" t="s">
        <v>343</v>
      </c>
      <c r="B857" s="2" t="s">
        <v>210</v>
      </c>
      <c r="C857" s="2" t="s">
        <v>211</v>
      </c>
      <c r="D857" s="15" t="s">
        <v>352</v>
      </c>
      <c r="E857" s="34">
        <v>1000</v>
      </c>
      <c r="F857" s="34"/>
      <c r="G857" s="15" t="s">
        <v>162</v>
      </c>
      <c r="H857" s="1" t="s">
        <v>255</v>
      </c>
      <c r="I857" s="1">
        <v>1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48"/>
    </row>
    <row r="858" spans="1:32" s="8" customFormat="1" x14ac:dyDescent="0.25">
      <c r="A858" s="42" t="s">
        <v>343</v>
      </c>
      <c r="B858" s="2" t="s">
        <v>210</v>
      </c>
      <c r="C858" s="2" t="s">
        <v>211</v>
      </c>
      <c r="D858" s="15" t="s">
        <v>352</v>
      </c>
      <c r="E858" s="15"/>
      <c r="F858" s="15"/>
      <c r="G858" s="15" t="s">
        <v>260</v>
      </c>
      <c r="H858" s="1" t="s">
        <v>261</v>
      </c>
      <c r="I858" s="1"/>
      <c r="J858" s="1">
        <v>1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48"/>
    </row>
    <row r="859" spans="1:32" s="8" customFormat="1" x14ac:dyDescent="0.25">
      <c r="A859" s="42" t="s">
        <v>343</v>
      </c>
      <c r="B859" s="2" t="s">
        <v>210</v>
      </c>
      <c r="C859" s="2" t="s">
        <v>211</v>
      </c>
      <c r="D859" s="15" t="s">
        <v>352</v>
      </c>
      <c r="E859" s="15"/>
      <c r="F859" s="15"/>
      <c r="G859" s="15" t="s">
        <v>260</v>
      </c>
      <c r="H859" s="1" t="s">
        <v>265</v>
      </c>
      <c r="I859" s="1"/>
      <c r="J859" s="1"/>
      <c r="K859" s="1">
        <v>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48"/>
    </row>
    <row r="860" spans="1:32" s="8" customFormat="1" x14ac:dyDescent="0.25">
      <c r="A860" s="42" t="s">
        <v>343</v>
      </c>
      <c r="B860" s="2" t="s">
        <v>210</v>
      </c>
      <c r="C860" s="2" t="s">
        <v>211</v>
      </c>
      <c r="D860" s="15" t="s">
        <v>352</v>
      </c>
      <c r="E860" s="15"/>
      <c r="F860" s="15"/>
      <c r="G860" s="15" t="s">
        <v>260</v>
      </c>
      <c r="H860" s="1" t="s">
        <v>267</v>
      </c>
      <c r="I860" s="1"/>
      <c r="J860" s="1"/>
      <c r="K860" s="1"/>
      <c r="L860" s="1"/>
      <c r="M860" s="1"/>
      <c r="N860" s="1"/>
      <c r="O860" s="1">
        <v>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48"/>
    </row>
    <row r="861" spans="1:32" s="8" customFormat="1" x14ac:dyDescent="0.25">
      <c r="A861" s="42" t="s">
        <v>343</v>
      </c>
      <c r="B861" s="2" t="s">
        <v>210</v>
      </c>
      <c r="C861" s="2" t="s">
        <v>211</v>
      </c>
      <c r="D861" s="15" t="s">
        <v>352</v>
      </c>
      <c r="E861" s="15"/>
      <c r="F861" s="15"/>
      <c r="G861" s="15" t="s">
        <v>260</v>
      </c>
      <c r="H861" s="1" t="s">
        <v>269</v>
      </c>
      <c r="I861" s="1"/>
      <c r="J861" s="1"/>
      <c r="K861" s="1"/>
      <c r="L861" s="1"/>
      <c r="M861" s="1"/>
      <c r="N861" s="1"/>
      <c r="O861" s="1"/>
      <c r="P861" s="1"/>
      <c r="Q861" s="1"/>
      <c r="R861" s="1">
        <v>1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48"/>
    </row>
    <row r="862" spans="1:32" s="8" customFormat="1" x14ac:dyDescent="0.25">
      <c r="A862" s="42" t="s">
        <v>343</v>
      </c>
      <c r="B862" s="2" t="s">
        <v>210</v>
      </c>
      <c r="C862" s="2" t="s">
        <v>211</v>
      </c>
      <c r="D862" s="15" t="s">
        <v>352</v>
      </c>
      <c r="E862" s="15"/>
      <c r="F862" s="15"/>
      <c r="G862" s="15" t="s">
        <v>260</v>
      </c>
      <c r="H862" s="1" t="s">
        <v>272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>
        <v>1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48"/>
    </row>
    <row r="863" spans="1:32" s="8" customFormat="1" x14ac:dyDescent="0.25">
      <c r="A863" s="42" t="s">
        <v>343</v>
      </c>
      <c r="B863" s="2" t="s">
        <v>210</v>
      </c>
      <c r="C863" s="2" t="s">
        <v>211</v>
      </c>
      <c r="D863" s="15" t="s">
        <v>352</v>
      </c>
      <c r="E863" s="15"/>
      <c r="F863" s="15"/>
      <c r="G863" s="15" t="s">
        <v>260</v>
      </c>
      <c r="H863" s="1" t="s">
        <v>273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>
        <v>1</v>
      </c>
      <c r="AB863" s="1"/>
      <c r="AC863" s="1"/>
      <c r="AD863" s="1"/>
      <c r="AE863" s="1"/>
      <c r="AF863" s="48"/>
    </row>
    <row r="864" spans="1:32" s="8" customFormat="1" x14ac:dyDescent="0.25">
      <c r="A864" s="42" t="s">
        <v>343</v>
      </c>
      <c r="B864" s="2" t="s">
        <v>210</v>
      </c>
      <c r="C864" s="2" t="s">
        <v>211</v>
      </c>
      <c r="D864" s="15" t="s">
        <v>348</v>
      </c>
      <c r="E864" s="34">
        <v>2000</v>
      </c>
      <c r="F864" s="34">
        <v>0</v>
      </c>
      <c r="G864" s="15" t="s">
        <v>252</v>
      </c>
      <c r="H864" s="1" t="s">
        <v>261</v>
      </c>
      <c r="I864" s="1"/>
      <c r="J864" s="1">
        <v>1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48"/>
    </row>
    <row r="865" spans="1:32" s="8" customFormat="1" x14ac:dyDescent="0.25">
      <c r="A865" s="42" t="s">
        <v>343</v>
      </c>
      <c r="B865" s="2" t="s">
        <v>210</v>
      </c>
      <c r="C865" s="2" t="s">
        <v>211</v>
      </c>
      <c r="D865" s="15" t="s">
        <v>348</v>
      </c>
      <c r="E865" s="34"/>
      <c r="F865" s="34"/>
      <c r="G865" s="15" t="s">
        <v>252</v>
      </c>
      <c r="H865" s="1" t="s">
        <v>267</v>
      </c>
      <c r="I865" s="1"/>
      <c r="J865" s="1"/>
      <c r="K865" s="1">
        <v>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48"/>
    </row>
    <row r="866" spans="1:32" s="8" customFormat="1" x14ac:dyDescent="0.25">
      <c r="A866" s="42" t="s">
        <v>343</v>
      </c>
      <c r="B866" s="2" t="s">
        <v>210</v>
      </c>
      <c r="C866" s="2" t="s">
        <v>211</v>
      </c>
      <c r="D866" s="15" t="s">
        <v>348</v>
      </c>
      <c r="E866" s="34"/>
      <c r="F866" s="34"/>
      <c r="G866" s="15" t="s">
        <v>252</v>
      </c>
      <c r="H866" s="1" t="s">
        <v>272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>
        <v>1</v>
      </c>
      <c r="AC866" s="1"/>
      <c r="AD866" s="1"/>
      <c r="AE866" s="1"/>
      <c r="AF866" s="48"/>
    </row>
    <row r="867" spans="1:32" s="8" customFormat="1" x14ac:dyDescent="0.25">
      <c r="A867" s="42" t="s">
        <v>343</v>
      </c>
      <c r="B867" s="2" t="s">
        <v>210</v>
      </c>
      <c r="C867" s="2" t="s">
        <v>211</v>
      </c>
      <c r="D867" s="15" t="s">
        <v>348</v>
      </c>
      <c r="E867" s="15"/>
      <c r="F867" s="15"/>
      <c r="G867" s="15" t="s">
        <v>252</v>
      </c>
      <c r="H867" s="1" t="s">
        <v>273</v>
      </c>
      <c r="I867" s="1"/>
      <c r="J867" s="1"/>
      <c r="K867" s="1"/>
      <c r="L867" s="1"/>
      <c r="M867" s="1"/>
      <c r="N867" s="1"/>
      <c r="O867" s="1">
        <v>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48"/>
    </row>
    <row r="868" spans="1:32" s="8" customFormat="1" x14ac:dyDescent="0.25">
      <c r="A868" s="42" t="s">
        <v>343</v>
      </c>
      <c r="B868" s="2" t="s">
        <v>212</v>
      </c>
      <c r="C868" s="2" t="s">
        <v>213</v>
      </c>
      <c r="D868" s="15" t="s">
        <v>348</v>
      </c>
      <c r="E868" s="34">
        <v>1000</v>
      </c>
      <c r="F868" s="34">
        <v>0</v>
      </c>
      <c r="G868" s="15" t="s">
        <v>252</v>
      </c>
      <c r="H868" s="1" t="s">
        <v>272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>
        <v>1</v>
      </c>
      <c r="AB868" s="1"/>
      <c r="AC868" s="1"/>
      <c r="AD868" s="1"/>
      <c r="AE868" s="1"/>
      <c r="AF868" s="48"/>
    </row>
    <row r="869" spans="1:32" s="8" customFormat="1" x14ac:dyDescent="0.25">
      <c r="A869" s="42" t="s">
        <v>343</v>
      </c>
      <c r="B869" s="2" t="s">
        <v>212</v>
      </c>
      <c r="C869" s="2" t="s">
        <v>213</v>
      </c>
      <c r="D869" s="15" t="s">
        <v>348</v>
      </c>
      <c r="E869" s="15"/>
      <c r="F869" s="15"/>
      <c r="G869" s="15" t="s">
        <v>252</v>
      </c>
      <c r="H869" s="1" t="s">
        <v>275</v>
      </c>
      <c r="I869" s="1"/>
      <c r="J869" s="1"/>
      <c r="K869" s="1"/>
      <c r="L869" s="1"/>
      <c r="M869" s="1"/>
      <c r="N869" s="1"/>
      <c r="O869" s="1">
        <v>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48"/>
    </row>
    <row r="870" spans="1:32" s="8" customFormat="1" x14ac:dyDescent="0.25">
      <c r="A870" s="42" t="s">
        <v>344</v>
      </c>
      <c r="B870" s="2" t="s">
        <v>216</v>
      </c>
      <c r="C870" s="2" t="s">
        <v>217</v>
      </c>
      <c r="D870" s="15" t="s">
        <v>348</v>
      </c>
      <c r="E870" s="34">
        <v>14000</v>
      </c>
      <c r="F870" s="34">
        <v>0</v>
      </c>
      <c r="G870" s="15" t="s">
        <v>252</v>
      </c>
      <c r="H870" s="1" t="s">
        <v>251</v>
      </c>
      <c r="I870" s="1"/>
      <c r="J870" s="1"/>
      <c r="K870" s="1"/>
      <c r="L870" s="1"/>
      <c r="M870" s="1">
        <v>1</v>
      </c>
      <c r="N870" s="1"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48"/>
    </row>
    <row r="871" spans="1:32" s="8" customFormat="1" x14ac:dyDescent="0.25">
      <c r="A871" s="42" t="s">
        <v>344</v>
      </c>
      <c r="B871" s="2" t="s">
        <v>216</v>
      </c>
      <c r="C871" s="2" t="s">
        <v>217</v>
      </c>
      <c r="D871" s="15" t="s">
        <v>348</v>
      </c>
      <c r="E871" s="15"/>
      <c r="F871" s="15"/>
      <c r="G871" s="15" t="s">
        <v>252</v>
      </c>
      <c r="H871" s="1" t="s">
        <v>255</v>
      </c>
      <c r="I871" s="1"/>
      <c r="J871" s="1"/>
      <c r="K871" s="1"/>
      <c r="L871" s="1"/>
      <c r="M871" s="1"/>
      <c r="N871" s="1"/>
      <c r="O871" s="1">
        <v>1</v>
      </c>
      <c r="P871" s="1">
        <v>1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48"/>
    </row>
    <row r="872" spans="1:32" s="8" customFormat="1" x14ac:dyDescent="0.25">
      <c r="A872" s="42" t="s">
        <v>344</v>
      </c>
      <c r="B872" s="2" t="s">
        <v>216</v>
      </c>
      <c r="C872" s="2" t="s">
        <v>217</v>
      </c>
      <c r="D872" s="15" t="s">
        <v>348</v>
      </c>
      <c r="E872" s="15"/>
      <c r="F872" s="15"/>
      <c r="G872" s="15" t="s">
        <v>67</v>
      </c>
      <c r="H872" s="1" t="s">
        <v>261</v>
      </c>
      <c r="I872" s="1">
        <v>1</v>
      </c>
      <c r="J872" s="1">
        <v>1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48"/>
    </row>
    <row r="873" spans="1:32" s="8" customFormat="1" x14ac:dyDescent="0.25">
      <c r="A873" s="42" t="s">
        <v>344</v>
      </c>
      <c r="B873" s="2" t="s">
        <v>216</v>
      </c>
      <c r="C873" s="2" t="s">
        <v>217</v>
      </c>
      <c r="D873" s="15" t="s">
        <v>348</v>
      </c>
      <c r="E873" s="15"/>
      <c r="F873" s="15"/>
      <c r="G873" s="15" t="s">
        <v>252</v>
      </c>
      <c r="H873" s="1" t="s">
        <v>265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>
        <v>1</v>
      </c>
      <c r="AB873" s="1"/>
      <c r="AC873" s="1">
        <v>1</v>
      </c>
      <c r="AD873" s="1"/>
      <c r="AE873" s="1"/>
      <c r="AF873" s="48"/>
    </row>
    <row r="874" spans="1:32" s="8" customFormat="1" x14ac:dyDescent="0.25">
      <c r="A874" s="42" t="s">
        <v>344</v>
      </c>
      <c r="B874" s="2" t="s">
        <v>216</v>
      </c>
      <c r="C874" s="2" t="s">
        <v>217</v>
      </c>
      <c r="D874" s="15" t="s">
        <v>348</v>
      </c>
      <c r="E874" s="15"/>
      <c r="F874" s="15"/>
      <c r="G874" s="15" t="s">
        <v>252</v>
      </c>
      <c r="H874" s="1" t="s">
        <v>267</v>
      </c>
      <c r="I874" s="1"/>
      <c r="J874" s="1"/>
      <c r="K874" s="1"/>
      <c r="L874" s="1"/>
      <c r="M874" s="1"/>
      <c r="N874" s="1"/>
      <c r="O874" s="1"/>
      <c r="P874" s="1"/>
      <c r="Q874" s="1">
        <v>1</v>
      </c>
      <c r="R874" s="1">
        <v>1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48"/>
    </row>
    <row r="875" spans="1:32" s="8" customFormat="1" x14ac:dyDescent="0.25">
      <c r="A875" s="42" t="s">
        <v>344</v>
      </c>
      <c r="B875" s="2" t="s">
        <v>216</v>
      </c>
      <c r="C875" s="2" t="s">
        <v>217</v>
      </c>
      <c r="D875" s="15" t="s">
        <v>348</v>
      </c>
      <c r="E875" s="15"/>
      <c r="F875" s="15"/>
      <c r="G875" s="15" t="s">
        <v>67</v>
      </c>
      <c r="H875" s="1" t="s">
        <v>269</v>
      </c>
      <c r="I875" s="1"/>
      <c r="J875" s="1"/>
      <c r="K875" s="1">
        <v>1</v>
      </c>
      <c r="L875" s="1">
        <v>1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48"/>
    </row>
    <row r="876" spans="1:32" s="8" customFormat="1" x14ac:dyDescent="0.25">
      <c r="A876" s="42" t="s">
        <v>344</v>
      </c>
      <c r="B876" s="2" t="s">
        <v>216</v>
      </c>
      <c r="C876" s="2" t="s">
        <v>217</v>
      </c>
      <c r="D876" s="15" t="s">
        <v>348</v>
      </c>
      <c r="E876" s="15"/>
      <c r="F876" s="15"/>
      <c r="G876" s="15" t="s">
        <v>252</v>
      </c>
      <c r="H876" s="1" t="s">
        <v>272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>
        <v>1</v>
      </c>
      <c r="T876" s="1">
        <v>1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48"/>
    </row>
    <row r="877" spans="1:32" s="8" customFormat="1" x14ac:dyDescent="0.25">
      <c r="A877" s="42" t="s">
        <v>344</v>
      </c>
      <c r="B877" s="2" t="s">
        <v>216</v>
      </c>
      <c r="C877" s="2" t="s">
        <v>217</v>
      </c>
      <c r="D877" s="15" t="s">
        <v>348</v>
      </c>
      <c r="E877" s="15"/>
      <c r="F877" s="15"/>
      <c r="G877" s="15" t="s">
        <v>252</v>
      </c>
      <c r="H877" s="1" t="s">
        <v>273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>
        <v>1</v>
      </c>
      <c r="V877" s="1">
        <v>1</v>
      </c>
      <c r="W877" s="1"/>
      <c r="X877" s="1"/>
      <c r="Y877" s="1"/>
      <c r="Z877" s="1"/>
      <c r="AA877" s="1"/>
      <c r="AB877" s="1"/>
      <c r="AC877" s="1"/>
      <c r="AD877" s="1"/>
      <c r="AE877" s="1"/>
      <c r="AF877" s="48"/>
    </row>
    <row r="878" spans="1:32" s="8" customFormat="1" x14ac:dyDescent="0.25">
      <c r="A878" s="42" t="s">
        <v>344</v>
      </c>
      <c r="B878" s="2" t="s">
        <v>216</v>
      </c>
      <c r="C878" s="2" t="s">
        <v>217</v>
      </c>
      <c r="D878" s="15" t="s">
        <v>348</v>
      </c>
      <c r="E878" s="15"/>
      <c r="F878" s="15"/>
      <c r="G878" s="15" t="s">
        <v>252</v>
      </c>
      <c r="H878" s="1" t="s">
        <v>274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1</v>
      </c>
      <c r="X878" s="1">
        <v>1</v>
      </c>
      <c r="Y878" s="1"/>
      <c r="Z878" s="1"/>
      <c r="AA878" s="1"/>
      <c r="AB878" s="1"/>
      <c r="AC878" s="1"/>
      <c r="AD878" s="1"/>
      <c r="AE878" s="1"/>
      <c r="AF878" s="48"/>
    </row>
    <row r="879" spans="1:32" s="8" customFormat="1" x14ac:dyDescent="0.25">
      <c r="A879" s="42" t="s">
        <v>344</v>
      </c>
      <c r="B879" s="2" t="s">
        <v>216</v>
      </c>
      <c r="C879" s="2" t="s">
        <v>217</v>
      </c>
      <c r="D879" s="15" t="s">
        <v>348</v>
      </c>
      <c r="E879" s="15"/>
      <c r="F879" s="15"/>
      <c r="G879" s="15" t="s">
        <v>252</v>
      </c>
      <c r="H879" s="1" t="s">
        <v>275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>
        <v>1</v>
      </c>
      <c r="AB879" s="1"/>
      <c r="AC879" s="1">
        <v>1</v>
      </c>
      <c r="AD879" s="1"/>
      <c r="AE879" s="1"/>
      <c r="AF879" s="48"/>
    </row>
    <row r="880" spans="1:32" s="8" customFormat="1" x14ac:dyDescent="0.25">
      <c r="A880" s="42" t="s">
        <v>344</v>
      </c>
      <c r="B880" s="2" t="s">
        <v>216</v>
      </c>
      <c r="C880" s="2" t="s">
        <v>217</v>
      </c>
      <c r="D880" s="15" t="s">
        <v>348</v>
      </c>
      <c r="E880" s="15"/>
      <c r="F880" s="15"/>
      <c r="G880" s="15" t="s">
        <v>252</v>
      </c>
      <c r="H880" s="1" t="s">
        <v>276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>
        <v>1</v>
      </c>
      <c r="Z880" s="1">
        <v>1</v>
      </c>
      <c r="AA880" s="1"/>
      <c r="AB880" s="1"/>
      <c r="AC880" s="1"/>
      <c r="AD880" s="1"/>
      <c r="AE880" s="1"/>
      <c r="AF880" s="48"/>
    </row>
    <row r="881" spans="1:32" s="8" customFormat="1" x14ac:dyDescent="0.25">
      <c r="A881" s="42" t="s">
        <v>344</v>
      </c>
      <c r="B881" s="2" t="s">
        <v>216</v>
      </c>
      <c r="C881" s="2" t="s">
        <v>217</v>
      </c>
      <c r="D881" s="15" t="s">
        <v>348</v>
      </c>
      <c r="E881" s="15"/>
      <c r="F881" s="15"/>
      <c r="G881" s="15" t="s">
        <v>252</v>
      </c>
      <c r="H881" s="1" t="s">
        <v>277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>
        <v>1</v>
      </c>
      <c r="AC881" s="1"/>
      <c r="AD881" s="1"/>
      <c r="AE881" s="1">
        <v>1</v>
      </c>
      <c r="AF881" s="48"/>
    </row>
    <row r="882" spans="1:32" s="8" customFormat="1" ht="24" x14ac:dyDescent="0.25">
      <c r="A882" s="42" t="s">
        <v>344</v>
      </c>
      <c r="B882" s="2" t="s">
        <v>216</v>
      </c>
      <c r="C882" s="2" t="s">
        <v>217</v>
      </c>
      <c r="D882" s="15" t="s">
        <v>349</v>
      </c>
      <c r="E882" s="34">
        <v>4200</v>
      </c>
      <c r="F882" s="34">
        <v>0</v>
      </c>
      <c r="G882" s="15" t="s">
        <v>253</v>
      </c>
      <c r="H882" s="1" t="s">
        <v>251</v>
      </c>
      <c r="I882" s="1"/>
      <c r="J882" s="1"/>
      <c r="K882" s="1"/>
      <c r="L882" s="1"/>
      <c r="M882" s="1">
        <v>1</v>
      </c>
      <c r="N882" s="1">
        <v>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48"/>
    </row>
    <row r="883" spans="1:32" s="8" customFormat="1" x14ac:dyDescent="0.25">
      <c r="A883" s="42" t="s">
        <v>344</v>
      </c>
      <c r="B883" s="2" t="s">
        <v>216</v>
      </c>
      <c r="C883" s="2" t="s">
        <v>217</v>
      </c>
      <c r="D883" s="15" t="s">
        <v>349</v>
      </c>
      <c r="E883" s="34"/>
      <c r="F883" s="34"/>
      <c r="G883" s="15" t="s">
        <v>259</v>
      </c>
      <c r="H883" s="1" t="s">
        <v>255</v>
      </c>
      <c r="I883" s="1">
        <v>1</v>
      </c>
      <c r="J883" s="1">
        <v>1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48"/>
    </row>
    <row r="884" spans="1:32" s="8" customFormat="1" ht="24" x14ac:dyDescent="0.25">
      <c r="A884" s="42" t="s">
        <v>344</v>
      </c>
      <c r="B884" s="2" t="s">
        <v>216</v>
      </c>
      <c r="C884" s="2" t="s">
        <v>217</v>
      </c>
      <c r="D884" s="15" t="s">
        <v>349</v>
      </c>
      <c r="E884" s="15"/>
      <c r="F884" s="15"/>
      <c r="G884" s="15" t="s">
        <v>253</v>
      </c>
      <c r="H884" s="1" t="s">
        <v>255</v>
      </c>
      <c r="I884" s="1"/>
      <c r="J884" s="1"/>
      <c r="K884" s="1"/>
      <c r="L884" s="1"/>
      <c r="M884" s="1"/>
      <c r="N884" s="1"/>
      <c r="O884" s="1">
        <v>1</v>
      </c>
      <c r="P884" s="1">
        <v>1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48"/>
    </row>
    <row r="885" spans="1:32" s="8" customFormat="1" ht="24" x14ac:dyDescent="0.25">
      <c r="A885" s="42" t="s">
        <v>344</v>
      </c>
      <c r="B885" s="2" t="s">
        <v>216</v>
      </c>
      <c r="C885" s="2" t="s">
        <v>217</v>
      </c>
      <c r="D885" s="15" t="s">
        <v>349</v>
      </c>
      <c r="E885" s="15"/>
      <c r="F885" s="15"/>
      <c r="G885" s="15" t="s">
        <v>253</v>
      </c>
      <c r="H885" s="1" t="s">
        <v>261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>
        <v>1</v>
      </c>
      <c r="AB885" s="1"/>
      <c r="AC885" s="1">
        <v>1</v>
      </c>
      <c r="AD885" s="1"/>
      <c r="AE885" s="1"/>
      <c r="AF885" s="48"/>
    </row>
    <row r="886" spans="1:32" s="8" customFormat="1" ht="24" x14ac:dyDescent="0.25">
      <c r="A886" s="42" t="s">
        <v>344</v>
      </c>
      <c r="B886" s="2" t="s">
        <v>216</v>
      </c>
      <c r="C886" s="2" t="s">
        <v>217</v>
      </c>
      <c r="D886" s="15" t="s">
        <v>349</v>
      </c>
      <c r="E886" s="15"/>
      <c r="F886" s="15"/>
      <c r="G886" s="15" t="s">
        <v>253</v>
      </c>
      <c r="H886" s="1" t="s">
        <v>265</v>
      </c>
      <c r="I886" s="1"/>
      <c r="J886" s="1"/>
      <c r="K886" s="1"/>
      <c r="L886" s="1"/>
      <c r="M886" s="1"/>
      <c r="N886" s="1"/>
      <c r="O886" s="1"/>
      <c r="P886" s="1"/>
      <c r="Q886" s="1">
        <v>1</v>
      </c>
      <c r="R886" s="1">
        <v>1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48"/>
    </row>
    <row r="887" spans="1:32" s="8" customFormat="1" x14ac:dyDescent="0.25">
      <c r="A887" s="42" t="s">
        <v>344</v>
      </c>
      <c r="B887" s="2" t="s">
        <v>216</v>
      </c>
      <c r="C887" s="2" t="s">
        <v>217</v>
      </c>
      <c r="D887" s="15" t="s">
        <v>349</v>
      </c>
      <c r="E887" s="15"/>
      <c r="F887" s="15"/>
      <c r="G887" s="15" t="s">
        <v>259</v>
      </c>
      <c r="H887" s="1" t="s">
        <v>267</v>
      </c>
      <c r="I887" s="1"/>
      <c r="J887" s="1"/>
      <c r="K887" s="1">
        <v>1</v>
      </c>
      <c r="L887" s="1">
        <v>1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48"/>
    </row>
    <row r="888" spans="1:32" s="8" customFormat="1" ht="24" x14ac:dyDescent="0.25">
      <c r="A888" s="42" t="s">
        <v>344</v>
      </c>
      <c r="B888" s="2" t="s">
        <v>216</v>
      </c>
      <c r="C888" s="2" t="s">
        <v>217</v>
      </c>
      <c r="D888" s="15" t="s">
        <v>349</v>
      </c>
      <c r="E888" s="15"/>
      <c r="F888" s="15"/>
      <c r="G888" s="15" t="s">
        <v>253</v>
      </c>
      <c r="H888" s="1" t="s">
        <v>267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>
        <v>1</v>
      </c>
      <c r="T888" s="1">
        <v>1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48"/>
    </row>
    <row r="889" spans="1:32" s="8" customFormat="1" ht="24" x14ac:dyDescent="0.25">
      <c r="A889" s="42" t="s">
        <v>344</v>
      </c>
      <c r="B889" s="2" t="s">
        <v>216</v>
      </c>
      <c r="C889" s="2" t="s">
        <v>217</v>
      </c>
      <c r="D889" s="15" t="s">
        <v>349</v>
      </c>
      <c r="E889" s="15"/>
      <c r="F889" s="15"/>
      <c r="G889" s="15" t="s">
        <v>253</v>
      </c>
      <c r="H889" s="1" t="s">
        <v>269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>
        <v>1</v>
      </c>
      <c r="V889" s="1">
        <v>1</v>
      </c>
      <c r="W889" s="1"/>
      <c r="X889" s="1"/>
      <c r="Y889" s="1"/>
      <c r="Z889" s="1"/>
      <c r="AA889" s="1"/>
      <c r="AB889" s="1"/>
      <c r="AC889" s="1"/>
      <c r="AD889" s="1"/>
      <c r="AE889" s="1"/>
      <c r="AF889" s="48"/>
    </row>
    <row r="890" spans="1:32" s="8" customFormat="1" ht="24" x14ac:dyDescent="0.25">
      <c r="A890" s="42" t="s">
        <v>344</v>
      </c>
      <c r="B890" s="2" t="s">
        <v>216</v>
      </c>
      <c r="C890" s="2" t="s">
        <v>217</v>
      </c>
      <c r="D890" s="15" t="s">
        <v>349</v>
      </c>
      <c r="E890" s="15"/>
      <c r="F890" s="15"/>
      <c r="G890" s="15" t="s">
        <v>253</v>
      </c>
      <c r="H890" s="1" t="s">
        <v>272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1</v>
      </c>
      <c r="X890" s="1">
        <v>1</v>
      </c>
      <c r="Y890" s="1"/>
      <c r="Z890" s="1"/>
      <c r="AA890" s="1"/>
      <c r="AB890" s="1"/>
      <c r="AC890" s="1"/>
      <c r="AD890" s="1"/>
      <c r="AE890" s="1"/>
      <c r="AF890" s="48"/>
    </row>
    <row r="891" spans="1:32" s="8" customFormat="1" ht="24" x14ac:dyDescent="0.25">
      <c r="A891" s="42" t="s">
        <v>344</v>
      </c>
      <c r="B891" s="2" t="s">
        <v>216</v>
      </c>
      <c r="C891" s="2" t="s">
        <v>217</v>
      </c>
      <c r="D891" s="15" t="s">
        <v>349</v>
      </c>
      <c r="E891" s="15"/>
      <c r="F891" s="15"/>
      <c r="G891" s="15" t="s">
        <v>253</v>
      </c>
      <c r="H891" s="1" t="s">
        <v>273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>
        <v>1</v>
      </c>
      <c r="Z891" s="1">
        <v>1</v>
      </c>
      <c r="AA891" s="1"/>
      <c r="AB891" s="1"/>
      <c r="AC891" s="1"/>
      <c r="AD891" s="1"/>
      <c r="AE891" s="1"/>
      <c r="AF891" s="48"/>
    </row>
    <row r="892" spans="1:32" s="8" customFormat="1" ht="24" x14ac:dyDescent="0.25">
      <c r="A892" s="42" t="s">
        <v>344</v>
      </c>
      <c r="B892" s="2" t="s">
        <v>216</v>
      </c>
      <c r="C892" s="2" t="s">
        <v>217</v>
      </c>
      <c r="D892" s="15" t="s">
        <v>349</v>
      </c>
      <c r="E892" s="15"/>
      <c r="F892" s="15"/>
      <c r="G892" s="15" t="s">
        <v>253</v>
      </c>
      <c r="H892" s="1" t="s">
        <v>274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>
        <v>1</v>
      </c>
      <c r="AB892" s="1"/>
      <c r="AC892" s="1">
        <v>1</v>
      </c>
      <c r="AD892" s="1"/>
      <c r="AE892" s="1"/>
      <c r="AF892" s="48"/>
    </row>
    <row r="893" spans="1:32" s="8" customFormat="1" ht="24" x14ac:dyDescent="0.25">
      <c r="A893" s="42" t="s">
        <v>344</v>
      </c>
      <c r="B893" s="2" t="s">
        <v>216</v>
      </c>
      <c r="C893" s="2" t="s">
        <v>217</v>
      </c>
      <c r="D893" s="15" t="s">
        <v>349</v>
      </c>
      <c r="E893" s="15"/>
      <c r="F893" s="15"/>
      <c r="G893" s="15" t="s">
        <v>253</v>
      </c>
      <c r="H893" s="1" t="s">
        <v>275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>
        <v>1</v>
      </c>
      <c r="AC893" s="1"/>
      <c r="AD893" s="1">
        <v>1</v>
      </c>
      <c r="AE893" s="1"/>
      <c r="AF893" s="48"/>
    </row>
    <row r="894" spans="1:32" s="8" customFormat="1" ht="24" x14ac:dyDescent="0.25">
      <c r="A894" s="42" t="s">
        <v>344</v>
      </c>
      <c r="B894" s="2" t="s">
        <v>216</v>
      </c>
      <c r="C894" s="2" t="s">
        <v>217</v>
      </c>
      <c r="D894" s="15" t="s">
        <v>349</v>
      </c>
      <c r="E894" s="15"/>
      <c r="F894" s="15"/>
      <c r="G894" s="15" t="s">
        <v>253</v>
      </c>
      <c r="H894" s="1" t="s">
        <v>276</v>
      </c>
      <c r="I894" s="1"/>
      <c r="J894" s="1">
        <v>1</v>
      </c>
      <c r="K894" s="1"/>
      <c r="L894" s="1"/>
      <c r="M894" s="1"/>
      <c r="N894" s="1"/>
      <c r="O894" s="1">
        <v>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48"/>
    </row>
    <row r="895" spans="1:32" s="8" customFormat="1" ht="24" x14ac:dyDescent="0.25">
      <c r="A895" s="42" t="s">
        <v>344</v>
      </c>
      <c r="B895" s="2" t="s">
        <v>216</v>
      </c>
      <c r="C895" s="2" t="s">
        <v>217</v>
      </c>
      <c r="D895" s="15" t="s">
        <v>349</v>
      </c>
      <c r="E895" s="15"/>
      <c r="F895" s="15"/>
      <c r="G895" s="15" t="s">
        <v>253</v>
      </c>
      <c r="H895" s="1" t="s">
        <v>277</v>
      </c>
      <c r="I895" s="1"/>
      <c r="J895" s="1"/>
      <c r="K895" s="1">
        <v>1</v>
      </c>
      <c r="L895" s="1"/>
      <c r="M895" s="1"/>
      <c r="N895" s="1"/>
      <c r="O895" s="1">
        <v>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48"/>
    </row>
    <row r="896" spans="1:32" s="8" customFormat="1" x14ac:dyDescent="0.25">
      <c r="A896" s="42" t="s">
        <v>344</v>
      </c>
      <c r="B896" s="2" t="s">
        <v>218</v>
      </c>
      <c r="C896" s="2" t="s">
        <v>219</v>
      </c>
      <c r="D896" s="15" t="s">
        <v>348</v>
      </c>
      <c r="E896" s="34">
        <v>13000</v>
      </c>
      <c r="F896" s="34">
        <v>0</v>
      </c>
      <c r="G896" s="15" t="s">
        <v>252</v>
      </c>
      <c r="H896" s="1" t="s">
        <v>251</v>
      </c>
      <c r="I896" s="1"/>
      <c r="J896" s="1"/>
      <c r="K896" s="1"/>
      <c r="L896" s="1"/>
      <c r="M896" s="1">
        <v>1</v>
      </c>
      <c r="N896" s="1">
        <v>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48"/>
    </row>
    <row r="897" spans="1:32" s="8" customFormat="1" x14ac:dyDescent="0.25">
      <c r="A897" s="42" t="s">
        <v>344</v>
      </c>
      <c r="B897" s="2" t="s">
        <v>218</v>
      </c>
      <c r="C897" s="2" t="s">
        <v>219</v>
      </c>
      <c r="D897" s="15" t="s">
        <v>348</v>
      </c>
      <c r="E897" s="15"/>
      <c r="F897" s="15"/>
      <c r="G897" s="15" t="s">
        <v>252</v>
      </c>
      <c r="H897" s="1" t="s">
        <v>255</v>
      </c>
      <c r="I897" s="1"/>
      <c r="J897" s="1"/>
      <c r="K897" s="1"/>
      <c r="L897" s="1"/>
      <c r="M897" s="1"/>
      <c r="N897" s="1"/>
      <c r="O897" s="1">
        <v>1</v>
      </c>
      <c r="P897" s="1">
        <v>1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48"/>
    </row>
    <row r="898" spans="1:32" s="8" customFormat="1" x14ac:dyDescent="0.25">
      <c r="A898" s="42" t="s">
        <v>344</v>
      </c>
      <c r="B898" s="2" t="s">
        <v>218</v>
      </c>
      <c r="C898" s="2" t="s">
        <v>219</v>
      </c>
      <c r="D898" s="15" t="s">
        <v>348</v>
      </c>
      <c r="E898" s="15"/>
      <c r="F898" s="15"/>
      <c r="G898" s="15" t="s">
        <v>67</v>
      </c>
      <c r="H898" s="1" t="s">
        <v>261</v>
      </c>
      <c r="I898" s="1">
        <v>1</v>
      </c>
      <c r="J898" s="1">
        <v>1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48"/>
    </row>
    <row r="899" spans="1:32" s="8" customFormat="1" x14ac:dyDescent="0.25">
      <c r="A899" s="42" t="s">
        <v>344</v>
      </c>
      <c r="B899" s="2" t="s">
        <v>218</v>
      </c>
      <c r="C899" s="2" t="s">
        <v>219</v>
      </c>
      <c r="D899" s="15" t="s">
        <v>348</v>
      </c>
      <c r="E899" s="15"/>
      <c r="F899" s="15"/>
      <c r="G899" s="15" t="s">
        <v>252</v>
      </c>
      <c r="H899" s="1" t="s">
        <v>261</v>
      </c>
      <c r="I899" s="1"/>
      <c r="J899" s="1"/>
      <c r="K899" s="1"/>
      <c r="L899" s="1"/>
      <c r="M899" s="1"/>
      <c r="N899" s="1"/>
      <c r="O899" s="1"/>
      <c r="P899" s="1"/>
      <c r="Q899" s="1">
        <v>1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48"/>
    </row>
    <row r="900" spans="1:32" s="8" customFormat="1" x14ac:dyDescent="0.25">
      <c r="A900" s="42" t="s">
        <v>344</v>
      </c>
      <c r="B900" s="2" t="s">
        <v>218</v>
      </c>
      <c r="C900" s="2" t="s">
        <v>219</v>
      </c>
      <c r="D900" s="15" t="s">
        <v>348</v>
      </c>
      <c r="E900" s="15"/>
      <c r="F900" s="15"/>
      <c r="G900" s="15" t="s">
        <v>252</v>
      </c>
      <c r="H900" s="1" t="s">
        <v>265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>
        <v>1</v>
      </c>
      <c r="AB900" s="1"/>
      <c r="AC900" s="1">
        <v>1</v>
      </c>
      <c r="AD900" s="1"/>
      <c r="AE900" s="1"/>
      <c r="AF900" s="48"/>
    </row>
    <row r="901" spans="1:32" s="8" customFormat="1" x14ac:dyDescent="0.25">
      <c r="A901" s="42" t="s">
        <v>344</v>
      </c>
      <c r="B901" s="2" t="s">
        <v>218</v>
      </c>
      <c r="C901" s="2" t="s">
        <v>219</v>
      </c>
      <c r="D901" s="15" t="s">
        <v>348</v>
      </c>
      <c r="E901" s="15"/>
      <c r="F901" s="15"/>
      <c r="G901" s="15" t="s">
        <v>67</v>
      </c>
      <c r="H901" s="1" t="s">
        <v>267</v>
      </c>
      <c r="I901" s="1"/>
      <c r="J901" s="1"/>
      <c r="K901" s="1">
        <v>1</v>
      </c>
      <c r="L901" s="1">
        <v>1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48"/>
    </row>
    <row r="902" spans="1:32" s="8" customFormat="1" x14ac:dyDescent="0.25">
      <c r="A902" s="42" t="s">
        <v>344</v>
      </c>
      <c r="B902" s="2" t="s">
        <v>218</v>
      </c>
      <c r="C902" s="2" t="s">
        <v>219</v>
      </c>
      <c r="D902" s="15" t="s">
        <v>348</v>
      </c>
      <c r="E902" s="15"/>
      <c r="F902" s="15"/>
      <c r="G902" s="15" t="s">
        <v>252</v>
      </c>
      <c r="H902" s="1" t="s">
        <v>267</v>
      </c>
      <c r="I902" s="1"/>
      <c r="J902" s="1"/>
      <c r="K902" s="1"/>
      <c r="L902" s="1"/>
      <c r="M902" s="1"/>
      <c r="N902" s="1"/>
      <c r="O902" s="1"/>
      <c r="P902" s="1"/>
      <c r="Q902" s="1"/>
      <c r="R902" s="1">
        <v>1</v>
      </c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48"/>
    </row>
    <row r="903" spans="1:32" s="8" customFormat="1" x14ac:dyDescent="0.25">
      <c r="A903" s="42" t="s">
        <v>344</v>
      </c>
      <c r="B903" s="2" t="s">
        <v>218</v>
      </c>
      <c r="C903" s="2" t="s">
        <v>219</v>
      </c>
      <c r="D903" s="15" t="s">
        <v>348</v>
      </c>
      <c r="E903" s="15"/>
      <c r="F903" s="15"/>
      <c r="G903" s="15" t="s">
        <v>252</v>
      </c>
      <c r="H903" s="1" t="s">
        <v>269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>
        <v>1</v>
      </c>
      <c r="T903" s="1">
        <v>1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48"/>
    </row>
    <row r="904" spans="1:32" s="8" customFormat="1" x14ac:dyDescent="0.25">
      <c r="A904" s="42" t="s">
        <v>344</v>
      </c>
      <c r="B904" s="2" t="s">
        <v>218</v>
      </c>
      <c r="C904" s="2" t="s">
        <v>219</v>
      </c>
      <c r="D904" s="15" t="s">
        <v>348</v>
      </c>
      <c r="E904" s="15"/>
      <c r="F904" s="15"/>
      <c r="G904" s="15" t="s">
        <v>252</v>
      </c>
      <c r="H904" s="1" t="s">
        <v>272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>
        <v>1</v>
      </c>
      <c r="V904" s="1">
        <v>1</v>
      </c>
      <c r="W904" s="1"/>
      <c r="X904" s="1"/>
      <c r="Y904" s="1"/>
      <c r="Z904" s="1"/>
      <c r="AA904" s="1"/>
      <c r="AB904" s="1"/>
      <c r="AC904" s="1"/>
      <c r="AD904" s="1"/>
      <c r="AE904" s="1"/>
      <c r="AF904" s="48"/>
    </row>
    <row r="905" spans="1:32" s="8" customFormat="1" x14ac:dyDescent="0.25">
      <c r="A905" s="42" t="s">
        <v>344</v>
      </c>
      <c r="B905" s="2" t="s">
        <v>218</v>
      </c>
      <c r="C905" s="2" t="s">
        <v>219</v>
      </c>
      <c r="D905" s="15" t="s">
        <v>348</v>
      </c>
      <c r="E905" s="15"/>
      <c r="F905" s="15"/>
      <c r="G905" s="15" t="s">
        <v>252</v>
      </c>
      <c r="H905" s="1" t="s">
        <v>273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1</v>
      </c>
      <c r="X905" s="1">
        <v>1</v>
      </c>
      <c r="Y905" s="1"/>
      <c r="Z905" s="1"/>
      <c r="AA905" s="1"/>
      <c r="AB905" s="1"/>
      <c r="AC905" s="1"/>
      <c r="AD905" s="1"/>
      <c r="AE905" s="1"/>
      <c r="AF905" s="48"/>
    </row>
    <row r="906" spans="1:32" s="8" customFormat="1" x14ac:dyDescent="0.25">
      <c r="A906" s="42" t="s">
        <v>344</v>
      </c>
      <c r="B906" s="2" t="s">
        <v>218</v>
      </c>
      <c r="C906" s="2" t="s">
        <v>219</v>
      </c>
      <c r="D906" s="15" t="s">
        <v>348</v>
      </c>
      <c r="E906" s="15"/>
      <c r="F906" s="15"/>
      <c r="G906" s="15" t="s">
        <v>252</v>
      </c>
      <c r="H906" s="1" t="s">
        <v>274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>
        <v>1</v>
      </c>
      <c r="Z906" s="1">
        <v>1</v>
      </c>
      <c r="AA906" s="1"/>
      <c r="AB906" s="1"/>
      <c r="AC906" s="1"/>
      <c r="AD906" s="1"/>
      <c r="AE906" s="1"/>
      <c r="AF906" s="48"/>
    </row>
    <row r="907" spans="1:32" s="8" customFormat="1" x14ac:dyDescent="0.25">
      <c r="A907" s="42" t="s">
        <v>344</v>
      </c>
      <c r="B907" s="2" t="s">
        <v>218</v>
      </c>
      <c r="C907" s="2" t="s">
        <v>219</v>
      </c>
      <c r="D907" s="15" t="s">
        <v>348</v>
      </c>
      <c r="E907" s="15"/>
      <c r="F907" s="15"/>
      <c r="G907" s="15" t="s">
        <v>252</v>
      </c>
      <c r="H907" s="1" t="s">
        <v>275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>
        <v>1</v>
      </c>
      <c r="AB907" s="1"/>
      <c r="AC907" s="1">
        <v>1</v>
      </c>
      <c r="AD907" s="1"/>
      <c r="AE907" s="1"/>
      <c r="AF907" s="48"/>
    </row>
    <row r="908" spans="1:32" s="8" customFormat="1" x14ac:dyDescent="0.25">
      <c r="A908" s="42" t="s">
        <v>344</v>
      </c>
      <c r="B908" s="2" t="s">
        <v>218</v>
      </c>
      <c r="C908" s="2" t="s">
        <v>219</v>
      </c>
      <c r="D908" s="15" t="s">
        <v>348</v>
      </c>
      <c r="E908" s="15"/>
      <c r="F908" s="15"/>
      <c r="G908" s="15" t="s">
        <v>252</v>
      </c>
      <c r="H908" s="1" t="s">
        <v>276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>
        <v>1</v>
      </c>
      <c r="AC908" s="1"/>
      <c r="AD908" s="1"/>
      <c r="AE908" s="1">
        <v>1</v>
      </c>
      <c r="AF908" s="48"/>
    </row>
    <row r="909" spans="1:32" s="8" customFormat="1" x14ac:dyDescent="0.25">
      <c r="A909" s="42" t="s">
        <v>344</v>
      </c>
      <c r="B909" s="2" t="s">
        <v>218</v>
      </c>
      <c r="C909" s="2" t="s">
        <v>219</v>
      </c>
      <c r="D909" s="15" t="s">
        <v>348</v>
      </c>
      <c r="E909" s="15"/>
      <c r="F909" s="15"/>
      <c r="G909" s="15" t="s">
        <v>252</v>
      </c>
      <c r="H909" s="1" t="s">
        <v>277</v>
      </c>
      <c r="I909" s="1"/>
      <c r="J909" s="1"/>
      <c r="K909" s="1"/>
      <c r="L909" s="1"/>
      <c r="M909" s="1"/>
      <c r="N909" s="1"/>
      <c r="O909" s="1">
        <v>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48"/>
    </row>
    <row r="910" spans="1:32" s="8" customFormat="1" x14ac:dyDescent="0.25">
      <c r="A910" s="42" t="s">
        <v>344</v>
      </c>
      <c r="B910" s="2" t="s">
        <v>220</v>
      </c>
      <c r="C910" s="2" t="s">
        <v>221</v>
      </c>
      <c r="D910" s="15" t="s">
        <v>348</v>
      </c>
      <c r="E910" s="34">
        <v>12000</v>
      </c>
      <c r="F910" s="34">
        <v>0</v>
      </c>
      <c r="G910" s="15" t="s">
        <v>252</v>
      </c>
      <c r="H910" s="1" t="s">
        <v>255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>
        <v>1</v>
      </c>
      <c r="AC910" s="1"/>
      <c r="AD910" s="1"/>
      <c r="AE910" s="1">
        <v>1</v>
      </c>
      <c r="AF910" s="48"/>
    </row>
    <row r="911" spans="1:32" s="8" customFormat="1" x14ac:dyDescent="0.25">
      <c r="A911" s="42" t="s">
        <v>344</v>
      </c>
      <c r="B911" s="2" t="s">
        <v>220</v>
      </c>
      <c r="C911" s="2" t="s">
        <v>221</v>
      </c>
      <c r="D911" s="15" t="s">
        <v>348</v>
      </c>
      <c r="E911" s="15"/>
      <c r="F911" s="15"/>
      <c r="G911" s="15" t="s">
        <v>252</v>
      </c>
      <c r="H911" s="1" t="s">
        <v>261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>
        <v>1</v>
      </c>
      <c r="AB911" s="1"/>
      <c r="AC911" s="1">
        <v>1</v>
      </c>
      <c r="AD911" s="1"/>
      <c r="AE911" s="1"/>
      <c r="AF911" s="48"/>
    </row>
    <row r="912" spans="1:32" s="8" customFormat="1" x14ac:dyDescent="0.25">
      <c r="A912" s="42" t="s">
        <v>344</v>
      </c>
      <c r="B912" s="2" t="s">
        <v>220</v>
      </c>
      <c r="C912" s="2" t="s">
        <v>221</v>
      </c>
      <c r="D912" s="15" t="s">
        <v>348</v>
      </c>
      <c r="E912" s="15"/>
      <c r="F912" s="15"/>
      <c r="G912" s="15" t="s">
        <v>67</v>
      </c>
      <c r="H912" s="1" t="s">
        <v>265</v>
      </c>
      <c r="I912" s="1">
        <v>1</v>
      </c>
      <c r="J912" s="1">
        <v>1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48"/>
    </row>
    <row r="913" spans="1:32" s="8" customFormat="1" x14ac:dyDescent="0.25">
      <c r="A913" s="42" t="s">
        <v>344</v>
      </c>
      <c r="B913" s="2" t="s">
        <v>220</v>
      </c>
      <c r="C913" s="2" t="s">
        <v>221</v>
      </c>
      <c r="D913" s="15" t="s">
        <v>348</v>
      </c>
      <c r="E913" s="15"/>
      <c r="F913" s="15"/>
      <c r="G913" s="15" t="s">
        <v>252</v>
      </c>
      <c r="H913" s="1" t="s">
        <v>267</v>
      </c>
      <c r="I913" s="1"/>
      <c r="J913" s="1"/>
      <c r="K913" s="1"/>
      <c r="L913" s="1"/>
      <c r="M913" s="1">
        <v>1</v>
      </c>
      <c r="N913" s="1">
        <v>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48"/>
    </row>
    <row r="914" spans="1:32" s="8" customFormat="1" x14ac:dyDescent="0.25">
      <c r="A914" s="42" t="s">
        <v>344</v>
      </c>
      <c r="B914" s="2" t="s">
        <v>220</v>
      </c>
      <c r="C914" s="2" t="s">
        <v>221</v>
      </c>
      <c r="D914" s="15" t="s">
        <v>348</v>
      </c>
      <c r="E914" s="15"/>
      <c r="F914" s="15"/>
      <c r="G914" s="15" t="s">
        <v>252</v>
      </c>
      <c r="H914" s="1" t="s">
        <v>269</v>
      </c>
      <c r="I914" s="1"/>
      <c r="J914" s="1"/>
      <c r="K914" s="1"/>
      <c r="L914" s="1"/>
      <c r="M914" s="1"/>
      <c r="N914" s="1"/>
      <c r="O914" s="1">
        <v>1</v>
      </c>
      <c r="P914" s="1">
        <v>1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48"/>
    </row>
    <row r="915" spans="1:32" s="8" customFormat="1" x14ac:dyDescent="0.25">
      <c r="A915" s="42" t="s">
        <v>344</v>
      </c>
      <c r="B915" s="2" t="s">
        <v>220</v>
      </c>
      <c r="C915" s="2" t="s">
        <v>221</v>
      </c>
      <c r="D915" s="15" t="s">
        <v>348</v>
      </c>
      <c r="E915" s="15"/>
      <c r="F915" s="15"/>
      <c r="G915" s="15" t="s">
        <v>67</v>
      </c>
      <c r="H915" s="1" t="s">
        <v>272</v>
      </c>
      <c r="I915" s="1"/>
      <c r="J915" s="1"/>
      <c r="K915" s="1">
        <v>1</v>
      </c>
      <c r="L915" s="1">
        <v>1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48"/>
    </row>
    <row r="916" spans="1:32" s="8" customFormat="1" x14ac:dyDescent="0.25">
      <c r="A916" s="42" t="s">
        <v>344</v>
      </c>
      <c r="B916" s="2" t="s">
        <v>220</v>
      </c>
      <c r="C916" s="2" t="s">
        <v>221</v>
      </c>
      <c r="D916" s="15" t="s">
        <v>348</v>
      </c>
      <c r="E916" s="15"/>
      <c r="F916" s="15"/>
      <c r="G916" s="15" t="s">
        <v>252</v>
      </c>
      <c r="H916" s="1" t="s">
        <v>272</v>
      </c>
      <c r="I916" s="1"/>
      <c r="J916" s="1"/>
      <c r="K916" s="1"/>
      <c r="L916" s="1"/>
      <c r="M916" s="1"/>
      <c r="N916" s="1"/>
      <c r="O916" s="1"/>
      <c r="P916" s="1"/>
      <c r="Q916" s="1">
        <v>1</v>
      </c>
      <c r="R916" s="1">
        <v>1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48"/>
    </row>
    <row r="917" spans="1:32" s="8" customFormat="1" x14ac:dyDescent="0.25">
      <c r="A917" s="42" t="s">
        <v>344</v>
      </c>
      <c r="B917" s="2" t="s">
        <v>220</v>
      </c>
      <c r="C917" s="2" t="s">
        <v>221</v>
      </c>
      <c r="D917" s="15" t="s">
        <v>348</v>
      </c>
      <c r="E917" s="15"/>
      <c r="F917" s="15"/>
      <c r="G917" s="15" t="s">
        <v>252</v>
      </c>
      <c r="H917" s="1" t="s">
        <v>273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>
        <v>1</v>
      </c>
      <c r="T917" s="1">
        <v>1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48"/>
    </row>
    <row r="918" spans="1:32" s="8" customFormat="1" x14ac:dyDescent="0.25">
      <c r="A918" s="42" t="s">
        <v>344</v>
      </c>
      <c r="B918" s="2" t="s">
        <v>220</v>
      </c>
      <c r="C918" s="2" t="s">
        <v>221</v>
      </c>
      <c r="D918" s="15" t="s">
        <v>348</v>
      </c>
      <c r="E918" s="15"/>
      <c r="F918" s="15"/>
      <c r="G918" s="15" t="s">
        <v>252</v>
      </c>
      <c r="H918" s="1" t="s">
        <v>274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1</v>
      </c>
      <c r="X918" s="1"/>
      <c r="Y918" s="1"/>
      <c r="Z918" s="1"/>
      <c r="AA918" s="1">
        <v>1</v>
      </c>
      <c r="AB918" s="1"/>
      <c r="AC918" s="1"/>
      <c r="AD918" s="1"/>
      <c r="AE918" s="1"/>
      <c r="AF918" s="48"/>
    </row>
    <row r="919" spans="1:32" s="8" customFormat="1" x14ac:dyDescent="0.25">
      <c r="A919" s="42" t="s">
        <v>344</v>
      </c>
      <c r="B919" s="2" t="s">
        <v>220</v>
      </c>
      <c r="C919" s="2" t="s">
        <v>221</v>
      </c>
      <c r="D919" s="15" t="s">
        <v>348</v>
      </c>
      <c r="E919" s="15"/>
      <c r="F919" s="15"/>
      <c r="G919" s="15" t="s">
        <v>252</v>
      </c>
      <c r="H919" s="1" t="s">
        <v>275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>
        <v>1</v>
      </c>
      <c r="V919" s="1">
        <v>1</v>
      </c>
      <c r="W919" s="1"/>
      <c r="X919" s="1"/>
      <c r="Y919" s="1"/>
      <c r="Z919" s="1"/>
      <c r="AA919" s="1"/>
      <c r="AB919" s="1"/>
      <c r="AC919" s="1"/>
      <c r="AD919" s="1"/>
      <c r="AE919" s="1"/>
      <c r="AF919" s="48"/>
    </row>
    <row r="920" spans="1:32" s="8" customFormat="1" x14ac:dyDescent="0.25">
      <c r="A920" s="42" t="s">
        <v>344</v>
      </c>
      <c r="B920" s="2" t="s">
        <v>220</v>
      </c>
      <c r="C920" s="2" t="s">
        <v>221</v>
      </c>
      <c r="D920" s="15" t="s">
        <v>348</v>
      </c>
      <c r="E920" s="15"/>
      <c r="F920" s="15"/>
      <c r="G920" s="15" t="s">
        <v>252</v>
      </c>
      <c r="H920" s="1" t="s">
        <v>276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>
        <v>1</v>
      </c>
      <c r="Y920" s="1"/>
      <c r="Z920" s="1"/>
      <c r="AA920" s="1"/>
      <c r="AB920" s="1"/>
      <c r="AC920" s="1"/>
      <c r="AD920" s="1"/>
      <c r="AE920" s="1"/>
      <c r="AF920" s="48"/>
    </row>
    <row r="921" spans="1:32" s="8" customFormat="1" x14ac:dyDescent="0.25">
      <c r="A921" s="42" t="s">
        <v>344</v>
      </c>
      <c r="B921" s="2" t="s">
        <v>222</v>
      </c>
      <c r="C921" s="2" t="s">
        <v>223</v>
      </c>
      <c r="D921" s="15" t="s">
        <v>348</v>
      </c>
      <c r="E921" s="34">
        <v>14000</v>
      </c>
      <c r="F921" s="34">
        <v>0</v>
      </c>
      <c r="G921" s="15" t="s">
        <v>252</v>
      </c>
      <c r="H921" s="1" t="s">
        <v>251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>
        <v>1</v>
      </c>
      <c r="AC921" s="1"/>
      <c r="AD921" s="1"/>
      <c r="AE921" s="1">
        <v>1</v>
      </c>
      <c r="AF921" s="48"/>
    </row>
    <row r="922" spans="1:32" s="8" customFormat="1" x14ac:dyDescent="0.25">
      <c r="A922" s="42" t="s">
        <v>344</v>
      </c>
      <c r="B922" s="2" t="s">
        <v>222</v>
      </c>
      <c r="C922" s="2" t="s">
        <v>223</v>
      </c>
      <c r="D922" s="15" t="s">
        <v>348</v>
      </c>
      <c r="E922" s="15"/>
      <c r="F922" s="15"/>
      <c r="G922" s="15" t="s">
        <v>252</v>
      </c>
      <c r="H922" s="1" t="s">
        <v>255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>
        <v>1</v>
      </c>
      <c r="Z922" s="1">
        <v>1</v>
      </c>
      <c r="AA922" s="1"/>
      <c r="AB922" s="1"/>
      <c r="AC922" s="1"/>
      <c r="AD922" s="1"/>
      <c r="AE922" s="1"/>
      <c r="AF922" s="48"/>
    </row>
    <row r="923" spans="1:32" s="8" customFormat="1" x14ac:dyDescent="0.25">
      <c r="A923" s="42" t="s">
        <v>344</v>
      </c>
      <c r="B923" s="2" t="s">
        <v>222</v>
      </c>
      <c r="C923" s="2" t="s">
        <v>223</v>
      </c>
      <c r="D923" s="15" t="s">
        <v>348</v>
      </c>
      <c r="E923" s="15"/>
      <c r="F923" s="15"/>
      <c r="G923" s="15" t="s">
        <v>67</v>
      </c>
      <c r="H923" s="1" t="s">
        <v>261</v>
      </c>
      <c r="I923" s="1">
        <v>1</v>
      </c>
      <c r="J923" s="1">
        <v>1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48"/>
    </row>
    <row r="924" spans="1:32" s="8" customFormat="1" x14ac:dyDescent="0.25">
      <c r="A924" s="42" t="s">
        <v>344</v>
      </c>
      <c r="B924" s="2" t="s">
        <v>222</v>
      </c>
      <c r="C924" s="2" t="s">
        <v>223</v>
      </c>
      <c r="D924" s="15" t="s">
        <v>348</v>
      </c>
      <c r="E924" s="15"/>
      <c r="F924" s="15"/>
      <c r="G924" s="15" t="s">
        <v>252</v>
      </c>
      <c r="H924" s="1" t="s">
        <v>265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>
        <v>1</v>
      </c>
      <c r="AB924" s="1"/>
      <c r="AC924" s="1">
        <v>1</v>
      </c>
      <c r="AD924" s="1"/>
      <c r="AE924" s="1"/>
      <c r="AF924" s="48"/>
    </row>
    <row r="925" spans="1:32" s="8" customFormat="1" x14ac:dyDescent="0.25">
      <c r="A925" s="42" t="s">
        <v>344</v>
      </c>
      <c r="B925" s="2" t="s">
        <v>222</v>
      </c>
      <c r="C925" s="2" t="s">
        <v>223</v>
      </c>
      <c r="D925" s="15" t="s">
        <v>348</v>
      </c>
      <c r="E925" s="15"/>
      <c r="F925" s="15"/>
      <c r="G925" s="15" t="s">
        <v>252</v>
      </c>
      <c r="H925" s="1" t="s">
        <v>267</v>
      </c>
      <c r="I925" s="1"/>
      <c r="J925" s="1"/>
      <c r="K925" s="1"/>
      <c r="L925" s="1"/>
      <c r="M925" s="1">
        <v>1</v>
      </c>
      <c r="N925" s="1">
        <v>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48"/>
    </row>
    <row r="926" spans="1:32" s="8" customFormat="1" x14ac:dyDescent="0.25">
      <c r="A926" s="42" t="s">
        <v>344</v>
      </c>
      <c r="B926" s="2" t="s">
        <v>222</v>
      </c>
      <c r="C926" s="2" t="s">
        <v>223</v>
      </c>
      <c r="D926" s="15" t="s">
        <v>348</v>
      </c>
      <c r="E926" s="15"/>
      <c r="F926" s="15"/>
      <c r="G926" s="15" t="s">
        <v>252</v>
      </c>
      <c r="H926" s="1" t="s">
        <v>269</v>
      </c>
      <c r="I926" s="1"/>
      <c r="J926" s="1"/>
      <c r="K926" s="1"/>
      <c r="L926" s="1"/>
      <c r="M926" s="1"/>
      <c r="N926" s="1"/>
      <c r="O926" s="1">
        <v>1</v>
      </c>
      <c r="P926" s="1">
        <v>1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48"/>
    </row>
    <row r="927" spans="1:32" s="8" customFormat="1" x14ac:dyDescent="0.25">
      <c r="A927" s="42" t="s">
        <v>344</v>
      </c>
      <c r="B927" s="2" t="s">
        <v>222</v>
      </c>
      <c r="C927" s="2" t="s">
        <v>223</v>
      </c>
      <c r="D927" s="15" t="s">
        <v>348</v>
      </c>
      <c r="E927" s="15"/>
      <c r="F927" s="15"/>
      <c r="G927" s="15" t="s">
        <v>67</v>
      </c>
      <c r="H927" s="1" t="s">
        <v>272</v>
      </c>
      <c r="I927" s="1"/>
      <c r="J927" s="1"/>
      <c r="K927" s="1">
        <v>1</v>
      </c>
      <c r="L927" s="1">
        <v>1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48"/>
    </row>
    <row r="928" spans="1:32" s="8" customFormat="1" x14ac:dyDescent="0.25">
      <c r="A928" s="42" t="s">
        <v>344</v>
      </c>
      <c r="B928" s="2" t="s">
        <v>222</v>
      </c>
      <c r="C928" s="2" t="s">
        <v>223</v>
      </c>
      <c r="D928" s="15" t="s">
        <v>348</v>
      </c>
      <c r="E928" s="15"/>
      <c r="F928" s="15"/>
      <c r="G928" s="15" t="s">
        <v>252</v>
      </c>
      <c r="H928" s="1" t="s">
        <v>273</v>
      </c>
      <c r="I928" s="1"/>
      <c r="J928" s="1"/>
      <c r="K928" s="1"/>
      <c r="L928" s="1"/>
      <c r="M928" s="1"/>
      <c r="N928" s="1"/>
      <c r="O928" s="1"/>
      <c r="P928" s="1"/>
      <c r="Q928" s="1">
        <v>1</v>
      </c>
      <c r="R928" s="1">
        <v>1</v>
      </c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48"/>
    </row>
    <row r="929" spans="1:32" s="8" customFormat="1" x14ac:dyDescent="0.25">
      <c r="A929" s="42" t="s">
        <v>344</v>
      </c>
      <c r="B929" s="2" t="s">
        <v>222</v>
      </c>
      <c r="C929" s="2" t="s">
        <v>223</v>
      </c>
      <c r="D929" s="15" t="s">
        <v>348</v>
      </c>
      <c r="E929" s="15"/>
      <c r="F929" s="15"/>
      <c r="G929" s="15" t="s">
        <v>252</v>
      </c>
      <c r="H929" s="1" t="s">
        <v>274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>
        <v>1</v>
      </c>
      <c r="T929" s="1">
        <v>1</v>
      </c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48"/>
    </row>
    <row r="930" spans="1:32" s="8" customFormat="1" x14ac:dyDescent="0.25">
      <c r="A930" s="42" t="s">
        <v>344</v>
      </c>
      <c r="B930" s="2" t="s">
        <v>222</v>
      </c>
      <c r="C930" s="2" t="s">
        <v>223</v>
      </c>
      <c r="D930" s="15" t="s">
        <v>348</v>
      </c>
      <c r="E930" s="15"/>
      <c r="F930" s="15"/>
      <c r="G930" s="15" t="s">
        <v>252</v>
      </c>
      <c r="H930" s="1" t="s">
        <v>275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>
        <v>1</v>
      </c>
      <c r="AB930" s="1"/>
      <c r="AC930" s="1">
        <v>1</v>
      </c>
      <c r="AD930" s="1"/>
      <c r="AE930" s="1"/>
      <c r="AF930" s="48"/>
    </row>
    <row r="931" spans="1:32" s="8" customFormat="1" x14ac:dyDescent="0.25">
      <c r="A931" s="42" t="s">
        <v>344</v>
      </c>
      <c r="B931" s="2" t="s">
        <v>222</v>
      </c>
      <c r="C931" s="2" t="s">
        <v>223</v>
      </c>
      <c r="D931" s="15" t="s">
        <v>348</v>
      </c>
      <c r="E931" s="15"/>
      <c r="F931" s="15"/>
      <c r="G931" s="15" t="s">
        <v>252</v>
      </c>
      <c r="H931" s="1" t="s">
        <v>276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>
        <v>1</v>
      </c>
      <c r="V931" s="1">
        <v>1</v>
      </c>
      <c r="W931" s="1"/>
      <c r="X931" s="1"/>
      <c r="Y931" s="1"/>
      <c r="Z931" s="1"/>
      <c r="AA931" s="1"/>
      <c r="AB931" s="1"/>
      <c r="AC931" s="1"/>
      <c r="AD931" s="1"/>
      <c r="AE931" s="1"/>
      <c r="AF931" s="48"/>
    </row>
    <row r="932" spans="1:32" s="8" customFormat="1" x14ac:dyDescent="0.25">
      <c r="A932" s="54" t="s">
        <v>344</v>
      </c>
      <c r="B932" s="55" t="s">
        <v>222</v>
      </c>
      <c r="C932" s="55" t="s">
        <v>223</v>
      </c>
      <c r="D932" s="56" t="s">
        <v>348</v>
      </c>
      <c r="E932" s="56"/>
      <c r="F932" s="56"/>
      <c r="G932" s="56" t="s">
        <v>252</v>
      </c>
      <c r="H932" s="21" t="s">
        <v>277</v>
      </c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>
        <v>1</v>
      </c>
      <c r="X932" s="21">
        <v>1</v>
      </c>
      <c r="Y932" s="21"/>
      <c r="Z932" s="21"/>
      <c r="AA932" s="21"/>
      <c r="AB932" s="21"/>
      <c r="AC932" s="21"/>
      <c r="AD932" s="21"/>
      <c r="AE932" s="21"/>
      <c r="AF932" s="57"/>
    </row>
  </sheetData>
  <printOptions horizontalCentered="1"/>
  <pageMargins left="0" right="0" top="0" bottom="0" header="0" footer="0"/>
  <pageSetup paperSize="9" scale="84" fitToHeight="0" orientation="landscape" r:id="rId1"/>
  <rowBreaks count="2" manualBreakCount="2">
    <brk id="34" max="16383" man="1"/>
    <brk id="55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5"/>
  <sheetViews>
    <sheetView topLeftCell="A36" workbookViewId="0">
      <selection activeCell="A156" sqref="A156"/>
    </sheetView>
  </sheetViews>
  <sheetFormatPr defaultColWidth="8.85546875" defaultRowHeight="15" x14ac:dyDescent="0.25"/>
  <cols>
    <col min="1" max="1" width="30.140625" style="59" customWidth="1"/>
    <col min="2" max="2" width="48.42578125" style="59" customWidth="1"/>
    <col min="3" max="3" width="45" style="59" customWidth="1"/>
    <col min="4" max="4" width="10.42578125" style="59" customWidth="1"/>
    <col min="5" max="5" width="34.7109375" style="59" customWidth="1"/>
    <col min="6" max="6" width="47.7109375" style="59" customWidth="1"/>
    <col min="7" max="7" width="24.28515625" style="59" customWidth="1"/>
    <col min="8" max="16384" width="8.85546875" style="59"/>
  </cols>
  <sheetData>
    <row r="1" spans="1:3" x14ac:dyDescent="0.25">
      <c r="A1" s="60" t="s">
        <v>369</v>
      </c>
      <c r="B1" s="60" t="s">
        <v>279</v>
      </c>
      <c r="C1" s="60" t="s">
        <v>355</v>
      </c>
    </row>
    <row r="2" spans="1:3" x14ac:dyDescent="0.25">
      <c r="A2" s="59">
        <v>21</v>
      </c>
      <c r="B2" s="59" t="s">
        <v>356</v>
      </c>
      <c r="C2" s="59" t="s">
        <v>357</v>
      </c>
    </row>
    <row r="3" spans="1:3" x14ac:dyDescent="0.25">
      <c r="A3" s="59">
        <v>22</v>
      </c>
      <c r="B3" s="59" t="s">
        <v>225</v>
      </c>
      <c r="C3" s="59" t="s">
        <v>357</v>
      </c>
    </row>
    <row r="4" spans="1:3" x14ac:dyDescent="0.25">
      <c r="A4" s="59">
        <v>23</v>
      </c>
      <c r="B4" s="59" t="s">
        <v>226</v>
      </c>
      <c r="C4" s="59" t="s">
        <v>357</v>
      </c>
    </row>
    <row r="5" spans="1:3" x14ac:dyDescent="0.25">
      <c r="A5" s="59">
        <v>24</v>
      </c>
      <c r="B5" s="59" t="s">
        <v>370</v>
      </c>
      <c r="C5" s="59" t="s">
        <v>357</v>
      </c>
    </row>
    <row r="6" spans="1:3" x14ac:dyDescent="0.25">
      <c r="A6" s="59">
        <v>25</v>
      </c>
      <c r="B6" s="59" t="s">
        <v>242</v>
      </c>
      <c r="C6" s="59" t="s">
        <v>357</v>
      </c>
    </row>
    <row r="7" spans="1:3" x14ac:dyDescent="0.25">
      <c r="A7" s="59">
        <v>26</v>
      </c>
      <c r="B7" s="59" t="s">
        <v>241</v>
      </c>
      <c r="C7" s="59" t="s">
        <v>357</v>
      </c>
    </row>
    <row r="8" spans="1:3" x14ac:dyDescent="0.25">
      <c r="A8" s="59">
        <v>27</v>
      </c>
      <c r="B8" s="59" t="s">
        <v>243</v>
      </c>
      <c r="C8" s="59" t="s">
        <v>357</v>
      </c>
    </row>
    <row r="9" spans="1:3" x14ac:dyDescent="0.25">
      <c r="A9" s="59">
        <v>28</v>
      </c>
      <c r="B9" s="59" t="s">
        <v>244</v>
      </c>
      <c r="C9" s="59" t="s">
        <v>358</v>
      </c>
    </row>
    <row r="10" spans="1:3" x14ac:dyDescent="0.25">
      <c r="A10" s="59">
        <v>29</v>
      </c>
      <c r="B10" s="59" t="s">
        <v>245</v>
      </c>
      <c r="C10" s="59" t="s">
        <v>359</v>
      </c>
    </row>
    <row r="11" spans="1:3" ht="90" x14ac:dyDescent="0.25">
      <c r="A11" s="59">
        <v>30</v>
      </c>
      <c r="B11" s="59" t="s">
        <v>246</v>
      </c>
      <c r="C11" s="59" t="s">
        <v>366</v>
      </c>
    </row>
    <row r="12" spans="1:3" x14ac:dyDescent="0.25">
      <c r="A12" s="59">
        <v>31</v>
      </c>
      <c r="B12" s="59" t="s">
        <v>227</v>
      </c>
      <c r="C12" s="59" t="s">
        <v>360</v>
      </c>
    </row>
    <row r="13" spans="1:3" x14ac:dyDescent="0.25">
      <c r="A13" s="59">
        <v>32</v>
      </c>
      <c r="B13" s="59" t="s">
        <v>228</v>
      </c>
      <c r="C13" s="59" t="s">
        <v>361</v>
      </c>
    </row>
    <row r="14" spans="1:3" x14ac:dyDescent="0.25">
      <c r="A14" s="59">
        <v>33</v>
      </c>
      <c r="B14" s="59" t="s">
        <v>229</v>
      </c>
      <c r="C14" s="59" t="s">
        <v>362</v>
      </c>
    </row>
    <row r="15" spans="1:3" x14ac:dyDescent="0.25">
      <c r="A15" s="59">
        <v>34</v>
      </c>
      <c r="B15" s="59" t="s">
        <v>232</v>
      </c>
      <c r="C15" s="59" t="s">
        <v>362</v>
      </c>
    </row>
    <row r="16" spans="1:3" x14ac:dyDescent="0.25">
      <c r="A16" s="59">
        <v>35</v>
      </c>
      <c r="B16" s="59" t="s">
        <v>230</v>
      </c>
      <c r="C16" s="59" t="s">
        <v>363</v>
      </c>
    </row>
    <row r="17" spans="1:3" x14ac:dyDescent="0.25">
      <c r="A17" s="59">
        <v>36</v>
      </c>
      <c r="B17" s="59" t="s">
        <v>233</v>
      </c>
      <c r="C17" s="59" t="s">
        <v>362</v>
      </c>
    </row>
    <row r="18" spans="1:3" x14ac:dyDescent="0.25">
      <c r="A18" s="59">
        <v>37</v>
      </c>
      <c r="B18" s="59" t="s">
        <v>231</v>
      </c>
      <c r="C18" s="59" t="s">
        <v>364</v>
      </c>
    </row>
    <row r="19" spans="1:3" ht="90" x14ac:dyDescent="0.25">
      <c r="A19" s="59">
        <v>38</v>
      </c>
      <c r="B19" s="59" t="s">
        <v>235</v>
      </c>
      <c r="C19" s="59" t="s">
        <v>365</v>
      </c>
    </row>
    <row r="20" spans="1:3" x14ac:dyDescent="0.25">
      <c r="A20" s="59">
        <v>39</v>
      </c>
      <c r="B20" s="59" t="s">
        <v>238</v>
      </c>
      <c r="C20" s="59" t="s">
        <v>357</v>
      </c>
    </row>
    <row r="21" spans="1:3" x14ac:dyDescent="0.25">
      <c r="A21" s="59">
        <v>40</v>
      </c>
      <c r="B21" s="59" t="s">
        <v>236</v>
      </c>
      <c r="C21" s="59" t="s">
        <v>362</v>
      </c>
    </row>
    <row r="22" spans="1:3" x14ac:dyDescent="0.25">
      <c r="A22" s="59">
        <v>41</v>
      </c>
      <c r="B22" s="59" t="s">
        <v>237</v>
      </c>
      <c r="C22" s="59" t="s">
        <v>362</v>
      </c>
    </row>
    <row r="23" spans="1:3" x14ac:dyDescent="0.25">
      <c r="A23" s="59">
        <v>42</v>
      </c>
      <c r="B23" s="59" t="s">
        <v>247</v>
      </c>
      <c r="C23" s="59" t="s">
        <v>362</v>
      </c>
    </row>
    <row r="24" spans="1:3" x14ac:dyDescent="0.25">
      <c r="A24" s="59">
        <v>43</v>
      </c>
      <c r="B24" s="59" t="s">
        <v>368</v>
      </c>
      <c r="C24" s="59" t="s">
        <v>362</v>
      </c>
    </row>
    <row r="25" spans="1:3" ht="90" x14ac:dyDescent="0.25">
      <c r="A25" s="59">
        <v>44</v>
      </c>
      <c r="B25" s="59" t="s">
        <v>248</v>
      </c>
      <c r="C25" s="59" t="s">
        <v>367</v>
      </c>
    </row>
    <row r="26" spans="1:3" x14ac:dyDescent="0.25">
      <c r="A26" s="59">
        <v>45</v>
      </c>
      <c r="B26" s="59" t="s">
        <v>371</v>
      </c>
      <c r="C26" s="59" t="s">
        <v>357</v>
      </c>
    </row>
    <row r="27" spans="1:3" ht="30" x14ac:dyDescent="0.25">
      <c r="A27" s="59">
        <v>46</v>
      </c>
      <c r="B27" s="59" t="s">
        <v>372</v>
      </c>
      <c r="C27" s="59" t="s">
        <v>357</v>
      </c>
    </row>
    <row r="28" spans="1:3" x14ac:dyDescent="0.25">
      <c r="A28" s="59">
        <v>47</v>
      </c>
      <c r="B28" s="59" t="s">
        <v>249</v>
      </c>
      <c r="C28" s="59" t="s">
        <v>357</v>
      </c>
    </row>
    <row r="30" spans="1:3" x14ac:dyDescent="0.25">
      <c r="A30" s="60" t="s">
        <v>278</v>
      </c>
      <c r="B30" s="60" t="s">
        <v>373</v>
      </c>
    </row>
    <row r="31" spans="1:3" x14ac:dyDescent="0.25">
      <c r="A31" s="59" t="s">
        <v>162</v>
      </c>
      <c r="B31" s="59" t="s">
        <v>162</v>
      </c>
    </row>
    <row r="32" spans="1:3" x14ac:dyDescent="0.25">
      <c r="A32" s="59" t="s">
        <v>95</v>
      </c>
      <c r="B32" s="59" t="s">
        <v>260</v>
      </c>
    </row>
    <row r="33" spans="1:2" x14ac:dyDescent="0.25">
      <c r="A33" s="59" t="s">
        <v>179</v>
      </c>
      <c r="B33" s="59" t="s">
        <v>179</v>
      </c>
    </row>
    <row r="34" spans="1:2" x14ac:dyDescent="0.25">
      <c r="A34" s="59" t="s">
        <v>180</v>
      </c>
      <c r="B34" s="59" t="s">
        <v>268</v>
      </c>
    </row>
    <row r="35" spans="1:2" x14ac:dyDescent="0.25">
      <c r="A35" s="59" t="s">
        <v>67</v>
      </c>
      <c r="B35" s="59" t="s">
        <v>67</v>
      </c>
    </row>
    <row r="36" spans="1:2" x14ac:dyDescent="0.25">
      <c r="A36" s="59" t="s">
        <v>66</v>
      </c>
      <c r="B36" s="59" t="s">
        <v>252</v>
      </c>
    </row>
    <row r="37" spans="1:2" x14ac:dyDescent="0.25">
      <c r="A37" s="59" t="s">
        <v>122</v>
      </c>
      <c r="B37" s="59" t="s">
        <v>122</v>
      </c>
    </row>
    <row r="38" spans="1:2" x14ac:dyDescent="0.25">
      <c r="A38" s="59" t="s">
        <v>76</v>
      </c>
      <c r="B38" s="59" t="s">
        <v>254</v>
      </c>
    </row>
    <row r="39" spans="1:2" x14ac:dyDescent="0.25">
      <c r="A39" s="59" t="s">
        <v>374</v>
      </c>
      <c r="B39" s="59" t="s">
        <v>375</v>
      </c>
    </row>
    <row r="40" spans="1:2" x14ac:dyDescent="0.25">
      <c r="A40" s="59" t="s">
        <v>93</v>
      </c>
      <c r="B40" s="59" t="s">
        <v>270</v>
      </c>
    </row>
    <row r="41" spans="1:2" x14ac:dyDescent="0.25">
      <c r="A41" s="59" t="s">
        <v>72</v>
      </c>
      <c r="B41" s="59" t="s">
        <v>259</v>
      </c>
    </row>
    <row r="42" spans="1:2" x14ac:dyDescent="0.25">
      <c r="A42" s="59" t="s">
        <v>69</v>
      </c>
      <c r="B42" s="59" t="s">
        <v>253</v>
      </c>
    </row>
    <row r="43" spans="1:2" x14ac:dyDescent="0.25">
      <c r="A43" s="59" t="s">
        <v>196</v>
      </c>
      <c r="B43" s="59" t="s">
        <v>271</v>
      </c>
    </row>
    <row r="44" spans="1:2" x14ac:dyDescent="0.25">
      <c r="A44" s="59" t="s">
        <v>89</v>
      </c>
      <c r="B44" s="59" t="s">
        <v>264</v>
      </c>
    </row>
    <row r="45" spans="1:2" x14ac:dyDescent="0.25">
      <c r="A45" s="59" t="s">
        <v>33</v>
      </c>
      <c r="B45" s="59" t="s">
        <v>256</v>
      </c>
    </row>
    <row r="46" spans="1:2" x14ac:dyDescent="0.25">
      <c r="A46" s="59" t="s">
        <v>34</v>
      </c>
      <c r="B46" s="59" t="s">
        <v>257</v>
      </c>
    </row>
    <row r="47" spans="1:2" x14ac:dyDescent="0.25">
      <c r="A47" s="59" t="s">
        <v>104</v>
      </c>
      <c r="B47" s="59" t="s">
        <v>263</v>
      </c>
    </row>
    <row r="48" spans="1:2" x14ac:dyDescent="0.25">
      <c r="A48" s="59" t="s">
        <v>29</v>
      </c>
      <c r="B48" s="59" t="s">
        <v>30</v>
      </c>
    </row>
    <row r="49" spans="1:2" x14ac:dyDescent="0.25">
      <c r="A49" s="59" t="s">
        <v>28</v>
      </c>
      <c r="B49" s="59" t="s">
        <v>258</v>
      </c>
    </row>
    <row r="50" spans="1:2" x14ac:dyDescent="0.25">
      <c r="A50" s="59" t="s">
        <v>411</v>
      </c>
      <c r="B50" s="59" t="s">
        <v>262</v>
      </c>
    </row>
    <row r="51" spans="1:2" x14ac:dyDescent="0.25">
      <c r="A51" s="59" t="s">
        <v>376</v>
      </c>
      <c r="B51" s="59" t="s">
        <v>376</v>
      </c>
    </row>
    <row r="52" spans="1:2" x14ac:dyDescent="0.25">
      <c r="A52" s="59" t="s">
        <v>377</v>
      </c>
      <c r="B52" s="59" t="s">
        <v>377</v>
      </c>
    </row>
    <row r="53" spans="1:2" x14ac:dyDescent="0.25">
      <c r="A53"/>
    </row>
    <row r="54" spans="1:2" x14ac:dyDescent="0.25">
      <c r="A54" s="61" t="s">
        <v>398</v>
      </c>
      <c r="B54" s="59" t="s">
        <v>399</v>
      </c>
    </row>
    <row r="55" spans="1:2" x14ac:dyDescent="0.25">
      <c r="A55" s="59" t="s">
        <v>380</v>
      </c>
      <c r="B55" s="61" t="s">
        <v>400</v>
      </c>
    </row>
    <row r="56" spans="1:2" x14ac:dyDescent="0.25">
      <c r="A56" s="59" t="s">
        <v>381</v>
      </c>
      <c r="B56" s="61" t="s">
        <v>38</v>
      </c>
    </row>
    <row r="57" spans="1:2" x14ac:dyDescent="0.25">
      <c r="A57" s="59" t="s">
        <v>382</v>
      </c>
      <c r="B57" s="61" t="s">
        <v>401</v>
      </c>
    </row>
    <row r="58" spans="1:2" x14ac:dyDescent="0.25">
      <c r="A58" s="59" t="s">
        <v>383</v>
      </c>
      <c r="B58" s="61" t="s">
        <v>53</v>
      </c>
    </row>
    <row r="59" spans="1:2" x14ac:dyDescent="0.25">
      <c r="A59" s="59" t="s">
        <v>384</v>
      </c>
      <c r="B59" s="61" t="s">
        <v>79</v>
      </c>
    </row>
    <row r="60" spans="1:2" x14ac:dyDescent="0.25">
      <c r="A60" s="59" t="s">
        <v>385</v>
      </c>
      <c r="B60" s="61" t="s">
        <v>96</v>
      </c>
    </row>
    <row r="61" spans="1:2" x14ac:dyDescent="0.25">
      <c r="A61" s="59" t="s">
        <v>386</v>
      </c>
      <c r="B61" s="61" t="s">
        <v>101</v>
      </c>
    </row>
    <row r="62" spans="1:2" x14ac:dyDescent="0.25">
      <c r="A62" s="59" t="s">
        <v>387</v>
      </c>
      <c r="B62" s="61" t="s">
        <v>117</v>
      </c>
    </row>
    <row r="63" spans="1:2" x14ac:dyDescent="0.25">
      <c r="A63" s="59" t="s">
        <v>388</v>
      </c>
      <c r="B63" s="61" t="s">
        <v>123</v>
      </c>
    </row>
    <row r="64" spans="1:2" x14ac:dyDescent="0.25">
      <c r="A64" s="59" t="s">
        <v>389</v>
      </c>
      <c r="B64" s="61" t="s">
        <v>136</v>
      </c>
    </row>
    <row r="65" spans="1:2" x14ac:dyDescent="0.25">
      <c r="A65" s="59" t="s">
        <v>390</v>
      </c>
      <c r="B65" s="61" t="s">
        <v>146</v>
      </c>
    </row>
    <row r="66" spans="1:2" x14ac:dyDescent="0.25">
      <c r="A66" s="59" t="s">
        <v>391</v>
      </c>
      <c r="B66" s="61" t="s">
        <v>159</v>
      </c>
    </row>
    <row r="67" spans="1:2" x14ac:dyDescent="0.25">
      <c r="A67" s="59" t="s">
        <v>392</v>
      </c>
      <c r="B67" s="61" t="s">
        <v>402</v>
      </c>
    </row>
    <row r="68" spans="1:2" x14ac:dyDescent="0.25">
      <c r="A68" s="59" t="s">
        <v>393</v>
      </c>
      <c r="B68" s="61" t="s">
        <v>181</v>
      </c>
    </row>
    <row r="69" spans="1:2" x14ac:dyDescent="0.25">
      <c r="A69" s="59" t="s">
        <v>394</v>
      </c>
      <c r="B69" s="61" t="s">
        <v>191</v>
      </c>
    </row>
    <row r="70" spans="1:2" x14ac:dyDescent="0.25">
      <c r="A70" s="59" t="s">
        <v>395</v>
      </c>
      <c r="B70" s="61" t="s">
        <v>197</v>
      </c>
    </row>
    <row r="71" spans="1:2" x14ac:dyDescent="0.25">
      <c r="A71" s="59" t="s">
        <v>396</v>
      </c>
      <c r="B71" s="61" t="s">
        <v>204</v>
      </c>
    </row>
    <row r="72" spans="1:2" x14ac:dyDescent="0.25">
      <c r="A72" s="59" t="s">
        <v>397</v>
      </c>
      <c r="B72" s="61" t="s">
        <v>215</v>
      </c>
    </row>
    <row r="73" spans="1:2" x14ac:dyDescent="0.25">
      <c r="A73"/>
    </row>
    <row r="74" spans="1:2" x14ac:dyDescent="0.25">
      <c r="A74" s="60" t="s">
        <v>403</v>
      </c>
      <c r="B74" s="60" t="s">
        <v>2</v>
      </c>
    </row>
    <row r="75" spans="1:2" x14ac:dyDescent="0.25">
      <c r="A75" t="s">
        <v>26</v>
      </c>
      <c r="B75" s="59" t="s">
        <v>25</v>
      </c>
    </row>
    <row r="76" spans="1:2" x14ac:dyDescent="0.25">
      <c r="A76" t="s">
        <v>37</v>
      </c>
      <c r="B76" s="59" t="s">
        <v>36</v>
      </c>
    </row>
    <row r="77" spans="1:2" x14ac:dyDescent="0.25">
      <c r="A77" t="s">
        <v>40</v>
      </c>
      <c r="B77" s="59" t="s">
        <v>39</v>
      </c>
    </row>
    <row r="78" spans="1:2" x14ac:dyDescent="0.25">
      <c r="A78" t="s">
        <v>41</v>
      </c>
      <c r="B78" s="59" t="s">
        <v>266</v>
      </c>
    </row>
    <row r="79" spans="1:2" x14ac:dyDescent="0.25">
      <c r="A79" t="s">
        <v>43</v>
      </c>
      <c r="B79" s="59" t="s">
        <v>42</v>
      </c>
    </row>
    <row r="80" spans="1:2" x14ac:dyDescent="0.25">
      <c r="A80" t="s">
        <v>45</v>
      </c>
      <c r="B80" s="59" t="s">
        <v>44</v>
      </c>
    </row>
    <row r="81" spans="1:2" x14ac:dyDescent="0.25">
      <c r="A81" t="s">
        <v>47</v>
      </c>
      <c r="B81" s="59" t="s">
        <v>46</v>
      </c>
    </row>
    <row r="82" spans="1:2" x14ac:dyDescent="0.25">
      <c r="A82" t="s">
        <v>50</v>
      </c>
      <c r="B82" s="59" t="s">
        <v>49</v>
      </c>
    </row>
    <row r="83" spans="1:2" x14ac:dyDescent="0.25">
      <c r="A83" t="s">
        <v>52</v>
      </c>
      <c r="B83" s="59" t="s">
        <v>51</v>
      </c>
    </row>
    <row r="84" spans="1:2" x14ac:dyDescent="0.25">
      <c r="A84" t="s">
        <v>55</v>
      </c>
      <c r="B84" s="59" t="s">
        <v>54</v>
      </c>
    </row>
    <row r="85" spans="1:2" x14ac:dyDescent="0.25">
      <c r="A85" t="s">
        <v>57</v>
      </c>
      <c r="B85" s="59" t="s">
        <v>56</v>
      </c>
    </row>
    <row r="86" spans="1:2" x14ac:dyDescent="0.25">
      <c r="A86" t="s">
        <v>59</v>
      </c>
      <c r="B86" s="59" t="s">
        <v>60</v>
      </c>
    </row>
    <row r="87" spans="1:2" x14ac:dyDescent="0.25">
      <c r="A87" t="s">
        <v>62</v>
      </c>
      <c r="B87" s="59" t="s">
        <v>61</v>
      </c>
    </row>
    <row r="88" spans="1:2" x14ac:dyDescent="0.25">
      <c r="A88" t="s">
        <v>64</v>
      </c>
      <c r="B88" s="59" t="s">
        <v>63</v>
      </c>
    </row>
    <row r="89" spans="1:2" x14ac:dyDescent="0.25">
      <c r="A89" t="s">
        <v>71</v>
      </c>
      <c r="B89" s="59" t="s">
        <v>70</v>
      </c>
    </row>
    <row r="90" spans="1:2" x14ac:dyDescent="0.25">
      <c r="A90" t="s">
        <v>74</v>
      </c>
      <c r="B90" s="59" t="s">
        <v>73</v>
      </c>
    </row>
    <row r="91" spans="1:2" x14ac:dyDescent="0.25">
      <c r="A91" t="s">
        <v>78</v>
      </c>
      <c r="B91" s="59" t="s">
        <v>77</v>
      </c>
    </row>
    <row r="92" spans="1:2" x14ac:dyDescent="0.25">
      <c r="A92" t="s">
        <v>81</v>
      </c>
      <c r="B92" s="59" t="s">
        <v>80</v>
      </c>
    </row>
    <row r="93" spans="1:2" x14ac:dyDescent="0.25">
      <c r="A93" t="s">
        <v>83</v>
      </c>
      <c r="B93" s="59" t="s">
        <v>82</v>
      </c>
    </row>
    <row r="94" spans="1:2" x14ac:dyDescent="0.25">
      <c r="A94" t="s">
        <v>85</v>
      </c>
      <c r="B94" s="59" t="s">
        <v>84</v>
      </c>
    </row>
    <row r="95" spans="1:2" x14ac:dyDescent="0.25">
      <c r="A95" t="s">
        <v>87</v>
      </c>
      <c r="B95" s="59" t="s">
        <v>86</v>
      </c>
    </row>
    <row r="96" spans="1:2" x14ac:dyDescent="0.25">
      <c r="A96" t="s">
        <v>91</v>
      </c>
      <c r="B96" s="59" t="s">
        <v>90</v>
      </c>
    </row>
    <row r="97" spans="1:2" x14ac:dyDescent="0.25">
      <c r="A97" t="s">
        <v>98</v>
      </c>
      <c r="B97" s="59" t="s">
        <v>97</v>
      </c>
    </row>
    <row r="98" spans="1:2" x14ac:dyDescent="0.25">
      <c r="A98" t="s">
        <v>100</v>
      </c>
      <c r="B98" s="59" t="s">
        <v>99</v>
      </c>
    </row>
    <row r="99" spans="1:2" x14ac:dyDescent="0.25">
      <c r="A99" t="s">
        <v>103</v>
      </c>
      <c r="B99" s="59" t="s">
        <v>102</v>
      </c>
    </row>
    <row r="100" spans="1:2" x14ac:dyDescent="0.25">
      <c r="A100" t="s">
        <v>106</v>
      </c>
      <c r="B100" s="59" t="s">
        <v>105</v>
      </c>
    </row>
    <row r="101" spans="1:2" x14ac:dyDescent="0.25">
      <c r="A101" t="s">
        <v>108</v>
      </c>
      <c r="B101" s="59" t="s">
        <v>107</v>
      </c>
    </row>
    <row r="102" spans="1:2" x14ac:dyDescent="0.25">
      <c r="A102" t="s">
        <v>110</v>
      </c>
      <c r="B102" s="59" t="s">
        <v>109</v>
      </c>
    </row>
    <row r="103" spans="1:2" x14ac:dyDescent="0.25">
      <c r="A103" t="s">
        <v>112</v>
      </c>
      <c r="B103" s="59" t="s">
        <v>111</v>
      </c>
    </row>
    <row r="104" spans="1:2" x14ac:dyDescent="0.25">
      <c r="A104" t="s">
        <v>114</v>
      </c>
      <c r="B104" s="59" t="s">
        <v>113</v>
      </c>
    </row>
    <row r="105" spans="1:2" x14ac:dyDescent="0.25">
      <c r="A105" t="s">
        <v>116</v>
      </c>
      <c r="B105" s="59" t="s">
        <v>115</v>
      </c>
    </row>
    <row r="106" spans="1:2" x14ac:dyDescent="0.25">
      <c r="A106" t="s">
        <v>119</v>
      </c>
      <c r="B106" s="59" t="s">
        <v>118</v>
      </c>
    </row>
    <row r="107" spans="1:2" x14ac:dyDescent="0.25">
      <c r="A107" t="s">
        <v>121</v>
      </c>
      <c r="B107" s="59" t="s">
        <v>120</v>
      </c>
    </row>
    <row r="108" spans="1:2" x14ac:dyDescent="0.25">
      <c r="A108" t="s">
        <v>125</v>
      </c>
      <c r="B108" s="59" t="s">
        <v>124</v>
      </c>
    </row>
    <row r="109" spans="1:2" x14ac:dyDescent="0.25">
      <c r="A109" t="s">
        <v>127</v>
      </c>
      <c r="B109" s="59" t="s">
        <v>126</v>
      </c>
    </row>
    <row r="110" spans="1:2" x14ac:dyDescent="0.25">
      <c r="A110" t="s">
        <v>129</v>
      </c>
      <c r="B110" s="59" t="s">
        <v>128</v>
      </c>
    </row>
    <row r="111" spans="1:2" x14ac:dyDescent="0.25">
      <c r="A111" t="s">
        <v>131</v>
      </c>
      <c r="B111" s="59" t="s">
        <v>130</v>
      </c>
    </row>
    <row r="112" spans="1:2" x14ac:dyDescent="0.25">
      <c r="A112" t="s">
        <v>133</v>
      </c>
      <c r="B112" s="59" t="s">
        <v>132</v>
      </c>
    </row>
    <row r="113" spans="1:2" x14ac:dyDescent="0.25">
      <c r="A113" t="s">
        <v>135</v>
      </c>
      <c r="B113" s="59" t="s">
        <v>134</v>
      </c>
    </row>
    <row r="114" spans="1:2" x14ac:dyDescent="0.25">
      <c r="A114" t="s">
        <v>138</v>
      </c>
      <c r="B114" s="59" t="s">
        <v>137</v>
      </c>
    </row>
    <row r="115" spans="1:2" x14ac:dyDescent="0.25">
      <c r="A115" t="s">
        <v>140</v>
      </c>
      <c r="B115" s="59" t="s">
        <v>139</v>
      </c>
    </row>
    <row r="116" spans="1:2" x14ac:dyDescent="0.25">
      <c r="A116" t="s">
        <v>142</v>
      </c>
      <c r="B116" s="59" t="s">
        <v>141</v>
      </c>
    </row>
    <row r="117" spans="1:2" x14ac:dyDescent="0.25">
      <c r="A117" t="s">
        <v>144</v>
      </c>
      <c r="B117" s="59" t="s">
        <v>143</v>
      </c>
    </row>
    <row r="118" spans="1:2" x14ac:dyDescent="0.25">
      <c r="A118" t="s">
        <v>145</v>
      </c>
      <c r="B118" s="59" t="s">
        <v>378</v>
      </c>
    </row>
    <row r="119" spans="1:2" x14ac:dyDescent="0.25">
      <c r="A119" t="s">
        <v>148</v>
      </c>
      <c r="B119" s="59" t="s">
        <v>147</v>
      </c>
    </row>
    <row r="120" spans="1:2" x14ac:dyDescent="0.25">
      <c r="A120" t="s">
        <v>150</v>
      </c>
      <c r="B120" s="59" t="s">
        <v>149</v>
      </c>
    </row>
    <row r="121" spans="1:2" x14ac:dyDescent="0.25">
      <c r="A121" t="s">
        <v>152</v>
      </c>
      <c r="B121" s="59" t="s">
        <v>151</v>
      </c>
    </row>
    <row r="122" spans="1:2" x14ac:dyDescent="0.25">
      <c r="A122" t="s">
        <v>154</v>
      </c>
      <c r="B122" s="59" t="s">
        <v>153</v>
      </c>
    </row>
    <row r="123" spans="1:2" x14ac:dyDescent="0.25">
      <c r="A123" t="s">
        <v>156</v>
      </c>
      <c r="B123" s="59" t="s">
        <v>155</v>
      </c>
    </row>
    <row r="124" spans="1:2" x14ac:dyDescent="0.25">
      <c r="A124" t="s">
        <v>158</v>
      </c>
      <c r="B124" s="59" t="s">
        <v>157</v>
      </c>
    </row>
    <row r="125" spans="1:2" x14ac:dyDescent="0.25">
      <c r="A125" t="s">
        <v>161</v>
      </c>
      <c r="B125" s="59" t="s">
        <v>160</v>
      </c>
    </row>
    <row r="126" spans="1:2" x14ac:dyDescent="0.25">
      <c r="A126" t="s">
        <v>164</v>
      </c>
      <c r="B126" s="59" t="s">
        <v>163</v>
      </c>
    </row>
    <row r="127" spans="1:2" x14ac:dyDescent="0.25">
      <c r="A127" t="s">
        <v>166</v>
      </c>
      <c r="B127" s="59" t="s">
        <v>165</v>
      </c>
    </row>
    <row r="128" spans="1:2" x14ac:dyDescent="0.25">
      <c r="A128" t="s">
        <v>168</v>
      </c>
      <c r="B128" s="59" t="s">
        <v>167</v>
      </c>
    </row>
    <row r="129" spans="1:2" x14ac:dyDescent="0.25">
      <c r="A129" t="s">
        <v>170</v>
      </c>
      <c r="B129" s="59" t="s">
        <v>169</v>
      </c>
    </row>
    <row r="130" spans="1:2" x14ac:dyDescent="0.25">
      <c r="A130" t="s">
        <v>172</v>
      </c>
      <c r="B130" s="59" t="s">
        <v>171</v>
      </c>
    </row>
    <row r="131" spans="1:2" x14ac:dyDescent="0.25">
      <c r="A131" t="s">
        <v>175</v>
      </c>
      <c r="B131" s="59" t="s">
        <v>174</v>
      </c>
    </row>
    <row r="132" spans="1:2" x14ac:dyDescent="0.25">
      <c r="A132" t="s">
        <v>177</v>
      </c>
      <c r="B132" s="59" t="s">
        <v>176</v>
      </c>
    </row>
    <row r="133" spans="1:2" x14ac:dyDescent="0.25">
      <c r="A133" t="s">
        <v>183</v>
      </c>
      <c r="B133" s="59" t="s">
        <v>182</v>
      </c>
    </row>
    <row r="134" spans="1:2" x14ac:dyDescent="0.25">
      <c r="A134" t="s">
        <v>185</v>
      </c>
      <c r="B134" s="59" t="s">
        <v>184</v>
      </c>
    </row>
    <row r="135" spans="1:2" x14ac:dyDescent="0.25">
      <c r="A135" t="s">
        <v>187</v>
      </c>
      <c r="B135" s="59" t="s">
        <v>186</v>
      </c>
    </row>
    <row r="136" spans="1:2" x14ac:dyDescent="0.25">
      <c r="A136" t="s">
        <v>188</v>
      </c>
      <c r="B136" s="59" t="s">
        <v>111</v>
      </c>
    </row>
    <row r="137" spans="1:2" x14ac:dyDescent="0.25">
      <c r="A137" t="s">
        <v>190</v>
      </c>
      <c r="B137" s="59" t="s">
        <v>189</v>
      </c>
    </row>
    <row r="138" spans="1:2" x14ac:dyDescent="0.25">
      <c r="A138" t="s">
        <v>193</v>
      </c>
      <c r="B138" s="59" t="s">
        <v>192</v>
      </c>
    </row>
    <row r="139" spans="1:2" x14ac:dyDescent="0.25">
      <c r="A139" t="s">
        <v>195</v>
      </c>
      <c r="B139" s="59" t="s">
        <v>194</v>
      </c>
    </row>
    <row r="140" spans="1:2" x14ac:dyDescent="0.25">
      <c r="A140" t="s">
        <v>199</v>
      </c>
      <c r="B140" s="59" t="s">
        <v>198</v>
      </c>
    </row>
    <row r="141" spans="1:2" x14ac:dyDescent="0.25">
      <c r="A141" t="s">
        <v>201</v>
      </c>
      <c r="B141" s="59" t="s">
        <v>200</v>
      </c>
    </row>
    <row r="142" spans="1:2" x14ac:dyDescent="0.25">
      <c r="A142" t="s">
        <v>203</v>
      </c>
      <c r="B142" s="59" t="s">
        <v>202</v>
      </c>
    </row>
    <row r="143" spans="1:2" x14ac:dyDescent="0.25">
      <c r="A143" t="s">
        <v>206</v>
      </c>
      <c r="B143" s="59" t="s">
        <v>205</v>
      </c>
    </row>
    <row r="144" spans="1:2" x14ac:dyDescent="0.25">
      <c r="A144" t="s">
        <v>208</v>
      </c>
      <c r="B144" s="59" t="s">
        <v>207</v>
      </c>
    </row>
    <row r="145" spans="1:2" x14ac:dyDescent="0.25">
      <c r="A145" t="s">
        <v>209</v>
      </c>
      <c r="B145" s="59" t="s">
        <v>111</v>
      </c>
    </row>
    <row r="146" spans="1:2" x14ac:dyDescent="0.25">
      <c r="A146" t="s">
        <v>211</v>
      </c>
      <c r="B146" s="59" t="s">
        <v>210</v>
      </c>
    </row>
    <row r="147" spans="1:2" x14ac:dyDescent="0.25">
      <c r="A147" t="s">
        <v>213</v>
      </c>
      <c r="B147" s="59" t="s">
        <v>214</v>
      </c>
    </row>
    <row r="148" spans="1:2" x14ac:dyDescent="0.25">
      <c r="A148" t="s">
        <v>217</v>
      </c>
      <c r="B148" s="59" t="s">
        <v>216</v>
      </c>
    </row>
    <row r="149" spans="1:2" x14ac:dyDescent="0.25">
      <c r="A149" t="s">
        <v>219</v>
      </c>
      <c r="B149" s="59" t="s">
        <v>218</v>
      </c>
    </row>
    <row r="150" spans="1:2" x14ac:dyDescent="0.25">
      <c r="A150" t="s">
        <v>221</v>
      </c>
      <c r="B150" s="59" t="s">
        <v>220</v>
      </c>
    </row>
    <row r="151" spans="1:2" x14ac:dyDescent="0.25">
      <c r="A151" s="59" t="s">
        <v>223</v>
      </c>
      <c r="B151" s="59" t="s">
        <v>222</v>
      </c>
    </row>
    <row r="152" spans="1:2" x14ac:dyDescent="0.25">
      <c r="A152"/>
      <c r="B152"/>
    </row>
    <row r="153" spans="1:2" x14ac:dyDescent="0.25">
      <c r="A153" s="62" t="s">
        <v>404</v>
      </c>
      <c r="B153" s="62" t="s">
        <v>405</v>
      </c>
    </row>
    <row r="154" spans="1:2" x14ac:dyDescent="0.25">
      <c r="A154" s="59" t="s">
        <v>406</v>
      </c>
      <c r="B154" t="s">
        <v>27</v>
      </c>
    </row>
    <row r="155" spans="1:2" x14ac:dyDescent="0.25">
      <c r="A155" s="59" t="s">
        <v>407</v>
      </c>
      <c r="B155" t="s">
        <v>32</v>
      </c>
    </row>
    <row r="156" spans="1:2" x14ac:dyDescent="0.25">
      <c r="A156" s="59" t="s">
        <v>65</v>
      </c>
      <c r="B156" t="s">
        <v>65</v>
      </c>
    </row>
    <row r="157" spans="1:2" x14ac:dyDescent="0.25">
      <c r="A157" s="59" t="s">
        <v>408</v>
      </c>
      <c r="B157" t="s">
        <v>68</v>
      </c>
    </row>
    <row r="158" spans="1:2" x14ac:dyDescent="0.25">
      <c r="A158" s="59" t="s">
        <v>75</v>
      </c>
      <c r="B158" t="s">
        <v>75</v>
      </c>
    </row>
    <row r="159" spans="1:2" x14ac:dyDescent="0.25">
      <c r="A159" s="59" t="s">
        <v>409</v>
      </c>
      <c r="B159" t="s">
        <v>88</v>
      </c>
    </row>
    <row r="160" spans="1:2" x14ac:dyDescent="0.25">
      <c r="A160" s="59" t="s">
        <v>379</v>
      </c>
      <c r="B160" t="s">
        <v>92</v>
      </c>
    </row>
    <row r="161" spans="1:2" x14ac:dyDescent="0.25">
      <c r="A161" s="59" t="s">
        <v>94</v>
      </c>
      <c r="B161" t="s">
        <v>94</v>
      </c>
    </row>
    <row r="162" spans="1:2" x14ac:dyDescent="0.25">
      <c r="A162" s="59" t="s">
        <v>410</v>
      </c>
      <c r="B162" t="s">
        <v>178</v>
      </c>
    </row>
    <row r="163" spans="1:2" x14ac:dyDescent="0.25">
      <c r="A163"/>
      <c r="B163"/>
    </row>
    <row r="164" spans="1:2" x14ac:dyDescent="0.25">
      <c r="A164"/>
      <c r="B164"/>
    </row>
    <row r="165" spans="1:2" x14ac:dyDescent="0.25">
      <c r="A165"/>
      <c r="B165"/>
    </row>
    <row r="166" spans="1:2" x14ac:dyDescent="0.25">
      <c r="A166"/>
      <c r="B166"/>
    </row>
    <row r="167" spans="1:2" x14ac:dyDescent="0.25">
      <c r="A167"/>
      <c r="B167"/>
    </row>
    <row r="168" spans="1:2" x14ac:dyDescent="0.25">
      <c r="A168"/>
      <c r="B168"/>
    </row>
    <row r="169" spans="1:2" x14ac:dyDescent="0.25">
      <c r="A169"/>
      <c r="B169"/>
    </row>
    <row r="170" spans="1:2" x14ac:dyDescent="0.25">
      <c r="A170"/>
      <c r="B170"/>
    </row>
    <row r="171" spans="1:2" x14ac:dyDescent="0.25">
      <c r="A171"/>
      <c r="B171"/>
    </row>
    <row r="172" spans="1:2" x14ac:dyDescent="0.25">
      <c r="A172"/>
      <c r="B172"/>
    </row>
    <row r="173" spans="1:2" x14ac:dyDescent="0.25">
      <c r="A173"/>
      <c r="B173"/>
    </row>
    <row r="174" spans="1:2" x14ac:dyDescent="0.25">
      <c r="A174"/>
      <c r="B174"/>
    </row>
    <row r="175" spans="1:2" x14ac:dyDescent="0.25">
      <c r="A175"/>
      <c r="B175"/>
    </row>
    <row r="176" spans="1:2" x14ac:dyDescent="0.25">
      <c r="A176"/>
      <c r="B176"/>
    </row>
    <row r="177" spans="1:2" x14ac:dyDescent="0.25">
      <c r="A177"/>
      <c r="B177"/>
    </row>
    <row r="178" spans="1:2" x14ac:dyDescent="0.25">
      <c r="A178"/>
      <c r="B178"/>
    </row>
    <row r="179" spans="1:2" x14ac:dyDescent="0.25">
      <c r="A179"/>
      <c r="B179"/>
    </row>
    <row r="180" spans="1:2" x14ac:dyDescent="0.25">
      <c r="A180"/>
      <c r="B180"/>
    </row>
    <row r="181" spans="1:2" x14ac:dyDescent="0.25">
      <c r="A181"/>
      <c r="B181"/>
    </row>
    <row r="182" spans="1:2" x14ac:dyDescent="0.25">
      <c r="A182"/>
      <c r="B182"/>
    </row>
    <row r="183" spans="1:2" x14ac:dyDescent="0.25">
      <c r="A183"/>
      <c r="B183"/>
    </row>
    <row r="184" spans="1:2" x14ac:dyDescent="0.25">
      <c r="A184"/>
      <c r="B184"/>
    </row>
    <row r="185" spans="1:2" x14ac:dyDescent="0.25">
      <c r="A185"/>
      <c r="B185"/>
    </row>
    <row r="186" spans="1:2" x14ac:dyDescent="0.25">
      <c r="A186"/>
      <c r="B186"/>
    </row>
    <row r="187" spans="1:2" x14ac:dyDescent="0.25">
      <c r="A187"/>
      <c r="B187"/>
    </row>
    <row r="188" spans="1:2" x14ac:dyDescent="0.25">
      <c r="A188"/>
      <c r="B188"/>
    </row>
    <row r="189" spans="1:2" x14ac:dyDescent="0.25">
      <c r="A189"/>
      <c r="B189"/>
    </row>
    <row r="190" spans="1:2" x14ac:dyDescent="0.25">
      <c r="A190"/>
      <c r="B190"/>
    </row>
    <row r="191" spans="1:2" x14ac:dyDescent="0.25">
      <c r="A191"/>
      <c r="B191"/>
    </row>
    <row r="192" spans="1:2" x14ac:dyDescent="0.25">
      <c r="A192"/>
      <c r="B192"/>
    </row>
    <row r="193" spans="1:2" x14ac:dyDescent="0.25">
      <c r="A193"/>
      <c r="B193"/>
    </row>
    <row r="194" spans="1:2" x14ac:dyDescent="0.25">
      <c r="A194"/>
      <c r="B194"/>
    </row>
    <row r="195" spans="1:2" x14ac:dyDescent="0.25">
      <c r="A195"/>
      <c r="B195"/>
    </row>
    <row r="196" spans="1:2" x14ac:dyDescent="0.25">
      <c r="A196"/>
      <c r="B196"/>
    </row>
    <row r="197" spans="1:2" x14ac:dyDescent="0.25">
      <c r="A197"/>
      <c r="B197"/>
    </row>
    <row r="198" spans="1:2" x14ac:dyDescent="0.25">
      <c r="A198"/>
      <c r="B198"/>
    </row>
    <row r="199" spans="1:2" x14ac:dyDescent="0.25">
      <c r="A199"/>
      <c r="B199"/>
    </row>
    <row r="200" spans="1:2" x14ac:dyDescent="0.25">
      <c r="A200"/>
      <c r="B200"/>
    </row>
    <row r="201" spans="1:2" x14ac:dyDescent="0.25">
      <c r="A201"/>
      <c r="B201"/>
    </row>
    <row r="202" spans="1:2" x14ac:dyDescent="0.25">
      <c r="A202"/>
      <c r="B202"/>
    </row>
    <row r="203" spans="1:2" x14ac:dyDescent="0.25">
      <c r="A203"/>
      <c r="B203"/>
    </row>
    <row r="204" spans="1:2" x14ac:dyDescent="0.25">
      <c r="A204"/>
      <c r="B204"/>
    </row>
    <row r="205" spans="1:2" x14ac:dyDescent="0.25">
      <c r="A205"/>
      <c r="B205"/>
    </row>
    <row r="206" spans="1:2" x14ac:dyDescent="0.25">
      <c r="A206"/>
      <c r="B206"/>
    </row>
    <row r="207" spans="1:2" x14ac:dyDescent="0.25">
      <c r="A207"/>
      <c r="B207"/>
    </row>
    <row r="208" spans="1:2" x14ac:dyDescent="0.25">
      <c r="A208"/>
      <c r="B208"/>
    </row>
    <row r="209" spans="1:2" x14ac:dyDescent="0.25">
      <c r="A209"/>
      <c r="B209"/>
    </row>
    <row r="210" spans="1:2" x14ac:dyDescent="0.25">
      <c r="A210"/>
      <c r="B210"/>
    </row>
    <row r="211" spans="1:2" x14ac:dyDescent="0.25">
      <c r="A211"/>
      <c r="B211"/>
    </row>
    <row r="212" spans="1:2" x14ac:dyDescent="0.25">
      <c r="A212"/>
      <c r="B212"/>
    </row>
    <row r="213" spans="1:2" x14ac:dyDescent="0.25">
      <c r="A213"/>
      <c r="B213"/>
    </row>
    <row r="214" spans="1:2" x14ac:dyDescent="0.25">
      <c r="A214"/>
      <c r="B214"/>
    </row>
    <row r="215" spans="1:2" x14ac:dyDescent="0.25">
      <c r="A215"/>
      <c r="B215"/>
    </row>
    <row r="216" spans="1:2" x14ac:dyDescent="0.25">
      <c r="A216"/>
      <c r="B216"/>
    </row>
    <row r="217" spans="1:2" x14ac:dyDescent="0.25">
      <c r="A217"/>
      <c r="B217"/>
    </row>
    <row r="218" spans="1:2" x14ac:dyDescent="0.25">
      <c r="A218"/>
      <c r="B218"/>
    </row>
    <row r="219" spans="1:2" x14ac:dyDescent="0.25">
      <c r="A219"/>
      <c r="B219"/>
    </row>
    <row r="220" spans="1:2" x14ac:dyDescent="0.25">
      <c r="A220"/>
      <c r="B220"/>
    </row>
    <row r="221" spans="1:2" x14ac:dyDescent="0.25">
      <c r="A221"/>
      <c r="B221"/>
    </row>
    <row r="222" spans="1:2" x14ac:dyDescent="0.25">
      <c r="A222"/>
      <c r="B222"/>
    </row>
    <row r="223" spans="1:2" x14ac:dyDescent="0.25">
      <c r="A223"/>
      <c r="B223"/>
    </row>
    <row r="224" spans="1:2" x14ac:dyDescent="0.25">
      <c r="A224"/>
      <c r="B224"/>
    </row>
    <row r="225" spans="1:2" x14ac:dyDescent="0.25">
      <c r="A225"/>
      <c r="B225"/>
    </row>
    <row r="226" spans="1:2" x14ac:dyDescent="0.25">
      <c r="A226"/>
      <c r="B226"/>
    </row>
    <row r="227" spans="1:2" x14ac:dyDescent="0.25">
      <c r="A227"/>
      <c r="B227"/>
    </row>
    <row r="228" spans="1:2" x14ac:dyDescent="0.25">
      <c r="A228"/>
      <c r="B228"/>
    </row>
    <row r="229" spans="1:2" x14ac:dyDescent="0.25">
      <c r="A229"/>
      <c r="B229"/>
    </row>
    <row r="230" spans="1:2" x14ac:dyDescent="0.25">
      <c r="A230"/>
      <c r="B230"/>
    </row>
    <row r="231" spans="1:2" x14ac:dyDescent="0.25">
      <c r="A231"/>
      <c r="B231"/>
    </row>
    <row r="232" spans="1:2" x14ac:dyDescent="0.25">
      <c r="A232"/>
      <c r="B232"/>
    </row>
    <row r="233" spans="1:2" x14ac:dyDescent="0.25">
      <c r="A233"/>
      <c r="B233"/>
    </row>
    <row r="234" spans="1:2" x14ac:dyDescent="0.25">
      <c r="A234"/>
      <c r="B234"/>
    </row>
    <row r="235" spans="1:2" x14ac:dyDescent="0.25">
      <c r="A235"/>
      <c r="B235"/>
    </row>
    <row r="236" spans="1:2" x14ac:dyDescent="0.25">
      <c r="A236"/>
      <c r="B236"/>
    </row>
    <row r="237" spans="1:2" x14ac:dyDescent="0.25">
      <c r="A237"/>
      <c r="B237"/>
    </row>
    <row r="238" spans="1:2" x14ac:dyDescent="0.25">
      <c r="A238"/>
      <c r="B238"/>
    </row>
    <row r="239" spans="1:2" x14ac:dyDescent="0.25">
      <c r="A239"/>
      <c r="B239"/>
    </row>
    <row r="240" spans="1:2" x14ac:dyDescent="0.25">
      <c r="A240"/>
      <c r="B240"/>
    </row>
    <row r="241" spans="1:2" x14ac:dyDescent="0.25">
      <c r="A241"/>
      <c r="B241"/>
    </row>
    <row r="242" spans="1:2" x14ac:dyDescent="0.25">
      <c r="A242"/>
      <c r="B242"/>
    </row>
    <row r="243" spans="1:2" x14ac:dyDescent="0.25">
      <c r="A243"/>
      <c r="B243"/>
    </row>
    <row r="244" spans="1:2" x14ac:dyDescent="0.25">
      <c r="A244"/>
      <c r="B244"/>
    </row>
    <row r="245" spans="1:2" x14ac:dyDescent="0.25">
      <c r="A245"/>
      <c r="B245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  <row r="525" spans="1:2" x14ac:dyDescent="0.25">
      <c r="A525"/>
      <c r="B525"/>
    </row>
    <row r="526" spans="1:2" x14ac:dyDescent="0.25">
      <c r="A526"/>
      <c r="B526"/>
    </row>
    <row r="527" spans="1:2" x14ac:dyDescent="0.25">
      <c r="A527"/>
      <c r="B527"/>
    </row>
    <row r="528" spans="1:2" x14ac:dyDescent="0.25">
      <c r="A528"/>
      <c r="B528"/>
    </row>
    <row r="529" spans="1:2" x14ac:dyDescent="0.25">
      <c r="A529"/>
      <c r="B529"/>
    </row>
    <row r="530" spans="1:2" x14ac:dyDescent="0.25">
      <c r="A530"/>
      <c r="B530"/>
    </row>
    <row r="531" spans="1:2" x14ac:dyDescent="0.25">
      <c r="A531"/>
      <c r="B531"/>
    </row>
    <row r="532" spans="1:2" x14ac:dyDescent="0.25">
      <c r="A532"/>
      <c r="B532"/>
    </row>
    <row r="533" spans="1:2" x14ac:dyDescent="0.25">
      <c r="A533"/>
      <c r="B533"/>
    </row>
    <row r="534" spans="1:2" x14ac:dyDescent="0.25">
      <c r="A534"/>
      <c r="B534"/>
    </row>
    <row r="535" spans="1:2" x14ac:dyDescent="0.25">
      <c r="A535"/>
      <c r="B535"/>
    </row>
    <row r="536" spans="1:2" x14ac:dyDescent="0.25">
      <c r="A536"/>
      <c r="B536"/>
    </row>
    <row r="537" spans="1:2" x14ac:dyDescent="0.25">
      <c r="A537"/>
      <c r="B537"/>
    </row>
    <row r="538" spans="1:2" x14ac:dyDescent="0.25">
      <c r="A538"/>
      <c r="B538"/>
    </row>
    <row r="539" spans="1:2" x14ac:dyDescent="0.25">
      <c r="A539"/>
      <c r="B539"/>
    </row>
    <row r="540" spans="1:2" x14ac:dyDescent="0.25">
      <c r="A540"/>
      <c r="B540"/>
    </row>
    <row r="541" spans="1:2" x14ac:dyDescent="0.25">
      <c r="A541"/>
      <c r="B541"/>
    </row>
    <row r="542" spans="1:2" x14ac:dyDescent="0.25">
      <c r="A542"/>
      <c r="B542"/>
    </row>
    <row r="543" spans="1:2" x14ac:dyDescent="0.25">
      <c r="A543"/>
      <c r="B543"/>
    </row>
    <row r="544" spans="1:2" x14ac:dyDescent="0.25">
      <c r="A544"/>
      <c r="B544"/>
    </row>
    <row r="545" spans="1:2" x14ac:dyDescent="0.25">
      <c r="A545"/>
      <c r="B545"/>
    </row>
    <row r="546" spans="1:2" x14ac:dyDescent="0.25">
      <c r="A546"/>
      <c r="B546"/>
    </row>
    <row r="547" spans="1:2" x14ac:dyDescent="0.25">
      <c r="A547"/>
      <c r="B547"/>
    </row>
    <row r="548" spans="1:2" x14ac:dyDescent="0.25">
      <c r="A548"/>
      <c r="B548"/>
    </row>
    <row r="549" spans="1:2" x14ac:dyDescent="0.25">
      <c r="A549"/>
      <c r="B549"/>
    </row>
    <row r="550" spans="1:2" x14ac:dyDescent="0.25">
      <c r="A550"/>
      <c r="B550"/>
    </row>
    <row r="551" spans="1:2" x14ac:dyDescent="0.25">
      <c r="A551"/>
      <c r="B551"/>
    </row>
    <row r="552" spans="1:2" x14ac:dyDescent="0.25">
      <c r="A552"/>
      <c r="B552"/>
    </row>
    <row r="553" spans="1:2" x14ac:dyDescent="0.25">
      <c r="A553"/>
      <c r="B553"/>
    </row>
    <row r="554" spans="1:2" x14ac:dyDescent="0.25">
      <c r="A554"/>
      <c r="B554"/>
    </row>
    <row r="555" spans="1:2" x14ac:dyDescent="0.25">
      <c r="A555"/>
      <c r="B555"/>
    </row>
    <row r="556" spans="1:2" x14ac:dyDescent="0.25">
      <c r="A556"/>
      <c r="B556"/>
    </row>
    <row r="557" spans="1:2" x14ac:dyDescent="0.25">
      <c r="A557"/>
      <c r="B557"/>
    </row>
    <row r="558" spans="1:2" x14ac:dyDescent="0.25">
      <c r="A558"/>
      <c r="B558"/>
    </row>
    <row r="559" spans="1:2" x14ac:dyDescent="0.25">
      <c r="A559"/>
      <c r="B559"/>
    </row>
    <row r="560" spans="1:2" x14ac:dyDescent="0.25">
      <c r="A560"/>
      <c r="B560"/>
    </row>
    <row r="561" spans="1:2" x14ac:dyDescent="0.25">
      <c r="A561"/>
      <c r="B561"/>
    </row>
    <row r="562" spans="1:2" x14ac:dyDescent="0.25">
      <c r="A562"/>
      <c r="B562"/>
    </row>
    <row r="563" spans="1:2" x14ac:dyDescent="0.25">
      <c r="A563"/>
      <c r="B563"/>
    </row>
    <row r="564" spans="1:2" x14ac:dyDescent="0.25">
      <c r="A564"/>
      <c r="B564"/>
    </row>
    <row r="565" spans="1:2" x14ac:dyDescent="0.25">
      <c r="A565"/>
      <c r="B565"/>
    </row>
    <row r="566" spans="1:2" x14ac:dyDescent="0.25">
      <c r="A566"/>
      <c r="B566"/>
    </row>
    <row r="567" spans="1:2" x14ac:dyDescent="0.25">
      <c r="A567"/>
      <c r="B567"/>
    </row>
    <row r="568" spans="1:2" x14ac:dyDescent="0.25">
      <c r="A568"/>
      <c r="B568"/>
    </row>
    <row r="569" spans="1:2" x14ac:dyDescent="0.25">
      <c r="A569"/>
      <c r="B569"/>
    </row>
    <row r="570" spans="1:2" x14ac:dyDescent="0.25">
      <c r="A570"/>
      <c r="B570"/>
    </row>
    <row r="571" spans="1:2" x14ac:dyDescent="0.25">
      <c r="A571"/>
      <c r="B571"/>
    </row>
    <row r="572" spans="1:2" x14ac:dyDescent="0.25">
      <c r="A572"/>
      <c r="B572"/>
    </row>
    <row r="573" spans="1:2" x14ac:dyDescent="0.25">
      <c r="A573"/>
      <c r="B573"/>
    </row>
    <row r="574" spans="1:2" x14ac:dyDescent="0.25">
      <c r="A574"/>
      <c r="B574"/>
    </row>
    <row r="575" spans="1:2" x14ac:dyDescent="0.25">
      <c r="A575"/>
      <c r="B575"/>
    </row>
    <row r="576" spans="1:2" x14ac:dyDescent="0.25">
      <c r="A576"/>
      <c r="B576"/>
    </row>
    <row r="577" spans="1:2" x14ac:dyDescent="0.25">
      <c r="A577"/>
      <c r="B577"/>
    </row>
    <row r="578" spans="1:2" x14ac:dyDescent="0.25">
      <c r="A578"/>
      <c r="B578"/>
    </row>
    <row r="579" spans="1:2" x14ac:dyDescent="0.25">
      <c r="A579"/>
      <c r="B579"/>
    </row>
    <row r="580" spans="1:2" x14ac:dyDescent="0.25">
      <c r="A580"/>
      <c r="B580"/>
    </row>
    <row r="581" spans="1:2" x14ac:dyDescent="0.25">
      <c r="A581"/>
      <c r="B581"/>
    </row>
    <row r="582" spans="1:2" x14ac:dyDescent="0.25">
      <c r="A582"/>
      <c r="B582"/>
    </row>
    <row r="583" spans="1:2" x14ac:dyDescent="0.25">
      <c r="A583"/>
      <c r="B583"/>
    </row>
    <row r="584" spans="1:2" x14ac:dyDescent="0.25">
      <c r="A584"/>
      <c r="B584"/>
    </row>
    <row r="585" spans="1:2" x14ac:dyDescent="0.25">
      <c r="A585"/>
      <c r="B585"/>
    </row>
    <row r="586" spans="1:2" x14ac:dyDescent="0.25">
      <c r="A586"/>
      <c r="B586"/>
    </row>
    <row r="587" spans="1:2" x14ac:dyDescent="0.25">
      <c r="A587"/>
      <c r="B587"/>
    </row>
    <row r="588" spans="1:2" x14ac:dyDescent="0.25">
      <c r="A588"/>
      <c r="B588"/>
    </row>
    <row r="589" spans="1:2" x14ac:dyDescent="0.25">
      <c r="A589"/>
      <c r="B589"/>
    </row>
    <row r="590" spans="1:2" x14ac:dyDescent="0.25">
      <c r="A590"/>
      <c r="B590"/>
    </row>
    <row r="591" spans="1:2" x14ac:dyDescent="0.25">
      <c r="A591"/>
      <c r="B591"/>
    </row>
    <row r="592" spans="1:2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/>
    </row>
    <row r="596" spans="1:2" x14ac:dyDescent="0.25">
      <c r="A596"/>
      <c r="B596"/>
    </row>
    <row r="597" spans="1:2" x14ac:dyDescent="0.25">
      <c r="A597"/>
      <c r="B597"/>
    </row>
    <row r="598" spans="1:2" x14ac:dyDescent="0.25">
      <c r="A598"/>
      <c r="B598"/>
    </row>
    <row r="599" spans="1:2" x14ac:dyDescent="0.25">
      <c r="A599"/>
      <c r="B599"/>
    </row>
    <row r="600" spans="1:2" x14ac:dyDescent="0.25">
      <c r="A600"/>
      <c r="B600"/>
    </row>
    <row r="601" spans="1:2" x14ac:dyDescent="0.25">
      <c r="A601"/>
      <c r="B601"/>
    </row>
    <row r="602" spans="1:2" x14ac:dyDescent="0.25">
      <c r="A602"/>
      <c r="B602"/>
    </row>
    <row r="603" spans="1:2" x14ac:dyDescent="0.25">
      <c r="A603"/>
      <c r="B603"/>
    </row>
    <row r="604" spans="1:2" x14ac:dyDescent="0.25">
      <c r="A604"/>
      <c r="B604"/>
    </row>
    <row r="605" spans="1:2" x14ac:dyDescent="0.25">
      <c r="A605"/>
      <c r="B605"/>
    </row>
    <row r="606" spans="1:2" x14ac:dyDescent="0.25">
      <c r="A606"/>
      <c r="B606"/>
    </row>
    <row r="607" spans="1:2" x14ac:dyDescent="0.25">
      <c r="A607"/>
      <c r="B607"/>
    </row>
    <row r="608" spans="1:2" x14ac:dyDescent="0.25">
      <c r="A608"/>
      <c r="B608"/>
    </row>
    <row r="609" spans="1:2" x14ac:dyDescent="0.25">
      <c r="A609"/>
      <c r="B609"/>
    </row>
    <row r="610" spans="1:2" x14ac:dyDescent="0.25">
      <c r="A610"/>
      <c r="B610"/>
    </row>
    <row r="611" spans="1:2" x14ac:dyDescent="0.25">
      <c r="A611"/>
      <c r="B611"/>
    </row>
    <row r="612" spans="1:2" x14ac:dyDescent="0.25">
      <c r="A612"/>
      <c r="B612"/>
    </row>
    <row r="613" spans="1:2" x14ac:dyDescent="0.25">
      <c r="A613"/>
      <c r="B613"/>
    </row>
    <row r="614" spans="1:2" x14ac:dyDescent="0.25">
      <c r="A614"/>
      <c r="B614"/>
    </row>
    <row r="615" spans="1:2" x14ac:dyDescent="0.25">
      <c r="A615"/>
      <c r="B615"/>
    </row>
    <row r="616" spans="1:2" x14ac:dyDescent="0.25">
      <c r="A616"/>
      <c r="B616"/>
    </row>
    <row r="617" spans="1:2" x14ac:dyDescent="0.25">
      <c r="A617"/>
      <c r="B617"/>
    </row>
    <row r="618" spans="1:2" x14ac:dyDescent="0.25">
      <c r="A618"/>
      <c r="B618"/>
    </row>
    <row r="619" spans="1:2" x14ac:dyDescent="0.25">
      <c r="A619"/>
      <c r="B619"/>
    </row>
    <row r="620" spans="1:2" x14ac:dyDescent="0.25">
      <c r="A620"/>
      <c r="B620"/>
    </row>
    <row r="621" spans="1:2" x14ac:dyDescent="0.25">
      <c r="A621"/>
      <c r="B621"/>
    </row>
    <row r="622" spans="1:2" x14ac:dyDescent="0.25">
      <c r="A622"/>
      <c r="B622"/>
    </row>
    <row r="623" spans="1:2" x14ac:dyDescent="0.25">
      <c r="A623"/>
      <c r="B623"/>
    </row>
    <row r="624" spans="1:2" x14ac:dyDescent="0.25">
      <c r="A624"/>
      <c r="B624"/>
    </row>
    <row r="625" spans="1:2" x14ac:dyDescent="0.25">
      <c r="A625"/>
      <c r="B625"/>
    </row>
    <row r="626" spans="1:2" x14ac:dyDescent="0.25">
      <c r="A626"/>
      <c r="B626"/>
    </row>
    <row r="627" spans="1:2" x14ac:dyDescent="0.25">
      <c r="A627"/>
      <c r="B627"/>
    </row>
    <row r="628" spans="1:2" x14ac:dyDescent="0.25">
      <c r="A628"/>
      <c r="B628"/>
    </row>
    <row r="629" spans="1:2" x14ac:dyDescent="0.25">
      <c r="A629"/>
      <c r="B629"/>
    </row>
    <row r="630" spans="1:2" x14ac:dyDescent="0.25">
      <c r="A630"/>
      <c r="B630"/>
    </row>
    <row r="631" spans="1:2" x14ac:dyDescent="0.25">
      <c r="A631"/>
      <c r="B631"/>
    </row>
    <row r="632" spans="1:2" x14ac:dyDescent="0.25">
      <c r="A632"/>
      <c r="B632"/>
    </row>
    <row r="633" spans="1:2" x14ac:dyDescent="0.25">
      <c r="A633"/>
      <c r="B633"/>
    </row>
    <row r="634" spans="1:2" x14ac:dyDescent="0.25">
      <c r="A634"/>
      <c r="B634"/>
    </row>
    <row r="635" spans="1:2" x14ac:dyDescent="0.25">
      <c r="A635"/>
      <c r="B635"/>
    </row>
    <row r="636" spans="1:2" x14ac:dyDescent="0.25">
      <c r="A636"/>
      <c r="B636"/>
    </row>
    <row r="637" spans="1:2" x14ac:dyDescent="0.25">
      <c r="A637"/>
      <c r="B637"/>
    </row>
    <row r="638" spans="1:2" x14ac:dyDescent="0.25">
      <c r="A638"/>
      <c r="B638"/>
    </row>
    <row r="639" spans="1:2" x14ac:dyDescent="0.25">
      <c r="A639"/>
      <c r="B639"/>
    </row>
    <row r="640" spans="1:2" x14ac:dyDescent="0.25">
      <c r="A640"/>
      <c r="B640"/>
    </row>
    <row r="641" spans="1:2" x14ac:dyDescent="0.25">
      <c r="A641"/>
      <c r="B641"/>
    </row>
    <row r="642" spans="1:2" x14ac:dyDescent="0.25">
      <c r="A642"/>
      <c r="B642"/>
    </row>
    <row r="643" spans="1:2" x14ac:dyDescent="0.25">
      <c r="A643"/>
      <c r="B643"/>
    </row>
    <row r="644" spans="1:2" x14ac:dyDescent="0.25">
      <c r="A644"/>
      <c r="B644"/>
    </row>
    <row r="645" spans="1:2" x14ac:dyDescent="0.25">
      <c r="A645"/>
      <c r="B645"/>
    </row>
    <row r="646" spans="1:2" x14ac:dyDescent="0.25">
      <c r="A646"/>
      <c r="B646"/>
    </row>
    <row r="647" spans="1:2" x14ac:dyDescent="0.25">
      <c r="A647"/>
      <c r="B647"/>
    </row>
    <row r="648" spans="1:2" x14ac:dyDescent="0.25">
      <c r="A648"/>
      <c r="B648"/>
    </row>
    <row r="649" spans="1:2" x14ac:dyDescent="0.25">
      <c r="A649"/>
      <c r="B649"/>
    </row>
    <row r="650" spans="1:2" x14ac:dyDescent="0.25">
      <c r="A650"/>
      <c r="B650"/>
    </row>
    <row r="651" spans="1:2" x14ac:dyDescent="0.25">
      <c r="A651"/>
      <c r="B651"/>
    </row>
    <row r="652" spans="1:2" x14ac:dyDescent="0.25">
      <c r="A652"/>
      <c r="B652"/>
    </row>
    <row r="653" spans="1:2" x14ac:dyDescent="0.25">
      <c r="A653"/>
      <c r="B653"/>
    </row>
    <row r="654" spans="1:2" x14ac:dyDescent="0.25">
      <c r="A654"/>
      <c r="B654"/>
    </row>
    <row r="655" spans="1:2" x14ac:dyDescent="0.25">
      <c r="A655"/>
      <c r="B655"/>
    </row>
    <row r="656" spans="1:2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A677"/>
      <c r="B677"/>
    </row>
    <row r="678" spans="1:2" x14ac:dyDescent="0.25">
      <c r="A678"/>
      <c r="B678"/>
    </row>
    <row r="679" spans="1:2" x14ac:dyDescent="0.25">
      <c r="A679"/>
      <c r="B679"/>
    </row>
    <row r="680" spans="1:2" x14ac:dyDescent="0.25">
      <c r="A680"/>
      <c r="B680"/>
    </row>
    <row r="681" spans="1:2" x14ac:dyDescent="0.25">
      <c r="A681"/>
      <c r="B681"/>
    </row>
    <row r="682" spans="1:2" x14ac:dyDescent="0.25">
      <c r="A682"/>
      <c r="B682"/>
    </row>
    <row r="683" spans="1:2" x14ac:dyDescent="0.25">
      <c r="A683"/>
      <c r="B683"/>
    </row>
    <row r="684" spans="1:2" x14ac:dyDescent="0.25">
      <c r="A684"/>
      <c r="B684"/>
    </row>
    <row r="685" spans="1:2" x14ac:dyDescent="0.25">
      <c r="A685"/>
      <c r="B685"/>
    </row>
    <row r="686" spans="1:2" x14ac:dyDescent="0.25">
      <c r="A686"/>
      <c r="B686"/>
    </row>
    <row r="687" spans="1:2" x14ac:dyDescent="0.25">
      <c r="A687"/>
      <c r="B687"/>
    </row>
    <row r="688" spans="1:2" x14ac:dyDescent="0.25">
      <c r="A688"/>
      <c r="B688"/>
    </row>
    <row r="689" spans="1:2" x14ac:dyDescent="0.25">
      <c r="A689"/>
      <c r="B689"/>
    </row>
    <row r="690" spans="1:2" x14ac:dyDescent="0.25">
      <c r="A690"/>
      <c r="B690"/>
    </row>
    <row r="691" spans="1:2" x14ac:dyDescent="0.25">
      <c r="A691"/>
      <c r="B691"/>
    </row>
    <row r="692" spans="1:2" x14ac:dyDescent="0.25">
      <c r="A692"/>
      <c r="B692"/>
    </row>
    <row r="693" spans="1:2" x14ac:dyDescent="0.25">
      <c r="A693"/>
      <c r="B693"/>
    </row>
    <row r="694" spans="1:2" x14ac:dyDescent="0.25">
      <c r="A694"/>
      <c r="B694"/>
    </row>
    <row r="695" spans="1:2" x14ac:dyDescent="0.25">
      <c r="A695"/>
      <c r="B695"/>
    </row>
    <row r="696" spans="1:2" x14ac:dyDescent="0.25">
      <c r="A696"/>
      <c r="B696"/>
    </row>
    <row r="697" spans="1:2" x14ac:dyDescent="0.25">
      <c r="A697"/>
      <c r="B697"/>
    </row>
    <row r="698" spans="1:2" x14ac:dyDescent="0.25">
      <c r="A698"/>
      <c r="B698"/>
    </row>
    <row r="699" spans="1:2" x14ac:dyDescent="0.25">
      <c r="A699"/>
      <c r="B699"/>
    </row>
    <row r="700" spans="1:2" x14ac:dyDescent="0.25">
      <c r="A700"/>
      <c r="B700"/>
    </row>
    <row r="701" spans="1:2" x14ac:dyDescent="0.25">
      <c r="A701"/>
      <c r="B701"/>
    </row>
    <row r="702" spans="1:2" x14ac:dyDescent="0.25">
      <c r="A702"/>
      <c r="B702"/>
    </row>
    <row r="703" spans="1:2" x14ac:dyDescent="0.25">
      <c r="A703"/>
      <c r="B703"/>
    </row>
    <row r="704" spans="1:2" x14ac:dyDescent="0.25">
      <c r="A704"/>
      <c r="B704"/>
    </row>
    <row r="705" spans="1:2" x14ac:dyDescent="0.25">
      <c r="A705"/>
      <c r="B705"/>
    </row>
    <row r="706" spans="1:2" x14ac:dyDescent="0.25">
      <c r="A706"/>
      <c r="B706"/>
    </row>
    <row r="707" spans="1:2" x14ac:dyDescent="0.25">
      <c r="A707"/>
      <c r="B707"/>
    </row>
    <row r="708" spans="1:2" x14ac:dyDescent="0.25">
      <c r="A708"/>
      <c r="B708"/>
    </row>
    <row r="709" spans="1:2" x14ac:dyDescent="0.25">
      <c r="A709"/>
      <c r="B709"/>
    </row>
    <row r="710" spans="1:2" x14ac:dyDescent="0.25">
      <c r="A710"/>
      <c r="B710"/>
    </row>
    <row r="711" spans="1:2" x14ac:dyDescent="0.25">
      <c r="A711"/>
      <c r="B711"/>
    </row>
    <row r="712" spans="1:2" x14ac:dyDescent="0.25">
      <c r="A712"/>
      <c r="B712"/>
    </row>
    <row r="713" spans="1:2" x14ac:dyDescent="0.25">
      <c r="A713"/>
      <c r="B713"/>
    </row>
    <row r="714" spans="1:2" x14ac:dyDescent="0.25">
      <c r="A714"/>
      <c r="B714"/>
    </row>
    <row r="715" spans="1:2" x14ac:dyDescent="0.25">
      <c r="A715"/>
      <c r="B715"/>
    </row>
    <row r="716" spans="1:2" x14ac:dyDescent="0.25">
      <c r="A716"/>
      <c r="B716"/>
    </row>
    <row r="717" spans="1:2" x14ac:dyDescent="0.25">
      <c r="A717"/>
      <c r="B717"/>
    </row>
    <row r="718" spans="1:2" x14ac:dyDescent="0.25">
      <c r="A718"/>
      <c r="B718"/>
    </row>
    <row r="719" spans="1:2" x14ac:dyDescent="0.25">
      <c r="A719"/>
      <c r="B719"/>
    </row>
    <row r="720" spans="1:2" x14ac:dyDescent="0.25">
      <c r="A720"/>
      <c r="B720"/>
    </row>
    <row r="721" spans="1:2" x14ac:dyDescent="0.25">
      <c r="A721"/>
      <c r="B721"/>
    </row>
    <row r="722" spans="1:2" x14ac:dyDescent="0.25">
      <c r="A722"/>
      <c r="B722"/>
    </row>
    <row r="723" spans="1:2" x14ac:dyDescent="0.25">
      <c r="A723"/>
      <c r="B723"/>
    </row>
    <row r="724" spans="1:2" x14ac:dyDescent="0.25">
      <c r="A724"/>
      <c r="B724"/>
    </row>
    <row r="725" spans="1:2" x14ac:dyDescent="0.25">
      <c r="A725"/>
      <c r="B725"/>
    </row>
    <row r="726" spans="1:2" x14ac:dyDescent="0.25">
      <c r="A726"/>
      <c r="B726"/>
    </row>
    <row r="727" spans="1:2" x14ac:dyDescent="0.25">
      <c r="A727"/>
      <c r="B727"/>
    </row>
    <row r="728" spans="1:2" x14ac:dyDescent="0.25">
      <c r="A728"/>
      <c r="B728"/>
    </row>
    <row r="729" spans="1:2" x14ac:dyDescent="0.25">
      <c r="A729"/>
      <c r="B729"/>
    </row>
    <row r="730" spans="1:2" x14ac:dyDescent="0.25">
      <c r="A730"/>
      <c r="B730"/>
    </row>
    <row r="731" spans="1:2" x14ac:dyDescent="0.25">
      <c r="A731"/>
      <c r="B731"/>
    </row>
    <row r="732" spans="1:2" x14ac:dyDescent="0.25">
      <c r="A732"/>
      <c r="B732"/>
    </row>
    <row r="733" spans="1:2" x14ac:dyDescent="0.25">
      <c r="A733"/>
      <c r="B733"/>
    </row>
    <row r="734" spans="1:2" x14ac:dyDescent="0.25">
      <c r="A734"/>
      <c r="B734"/>
    </row>
    <row r="735" spans="1:2" x14ac:dyDescent="0.25">
      <c r="A735"/>
      <c r="B735"/>
    </row>
    <row r="736" spans="1:2" x14ac:dyDescent="0.25">
      <c r="A736"/>
      <c r="B736"/>
    </row>
    <row r="737" spans="1:2" x14ac:dyDescent="0.25">
      <c r="A737"/>
      <c r="B737"/>
    </row>
    <row r="738" spans="1:2" x14ac:dyDescent="0.25">
      <c r="A738"/>
      <c r="B738"/>
    </row>
    <row r="739" spans="1:2" x14ac:dyDescent="0.25">
      <c r="A739"/>
      <c r="B739"/>
    </row>
    <row r="740" spans="1:2" x14ac:dyDescent="0.25">
      <c r="A740"/>
      <c r="B740"/>
    </row>
    <row r="741" spans="1:2" x14ac:dyDescent="0.25">
      <c r="A741"/>
      <c r="B741"/>
    </row>
    <row r="742" spans="1:2" x14ac:dyDescent="0.25">
      <c r="A742"/>
      <c r="B742"/>
    </row>
    <row r="743" spans="1:2" x14ac:dyDescent="0.25">
      <c r="A743"/>
      <c r="B743"/>
    </row>
    <row r="744" spans="1:2" x14ac:dyDescent="0.25">
      <c r="A744"/>
      <c r="B744"/>
    </row>
    <row r="745" spans="1:2" x14ac:dyDescent="0.25">
      <c r="A745"/>
      <c r="B745"/>
    </row>
    <row r="746" spans="1:2" x14ac:dyDescent="0.25">
      <c r="A746"/>
      <c r="B746"/>
    </row>
    <row r="747" spans="1:2" x14ac:dyDescent="0.25">
      <c r="A747"/>
      <c r="B747"/>
    </row>
    <row r="748" spans="1:2" x14ac:dyDescent="0.25">
      <c r="A748"/>
      <c r="B748"/>
    </row>
    <row r="749" spans="1:2" x14ac:dyDescent="0.25">
      <c r="A749"/>
      <c r="B749"/>
    </row>
    <row r="750" spans="1:2" x14ac:dyDescent="0.25">
      <c r="A750"/>
      <c r="B750"/>
    </row>
    <row r="751" spans="1:2" x14ac:dyDescent="0.25">
      <c r="A751"/>
      <c r="B751"/>
    </row>
    <row r="752" spans="1:2" x14ac:dyDescent="0.25">
      <c r="A752"/>
      <c r="B752"/>
    </row>
    <row r="753" spans="1:2" x14ac:dyDescent="0.25">
      <c r="A753"/>
      <c r="B753"/>
    </row>
    <row r="754" spans="1:2" x14ac:dyDescent="0.25">
      <c r="A754"/>
      <c r="B754"/>
    </row>
    <row r="755" spans="1:2" x14ac:dyDescent="0.25">
      <c r="A755"/>
      <c r="B755"/>
    </row>
    <row r="756" spans="1:2" x14ac:dyDescent="0.25">
      <c r="A756"/>
      <c r="B756"/>
    </row>
    <row r="757" spans="1:2" x14ac:dyDescent="0.25">
      <c r="A757"/>
      <c r="B757"/>
    </row>
    <row r="758" spans="1:2" x14ac:dyDescent="0.25">
      <c r="A758"/>
      <c r="B758"/>
    </row>
    <row r="759" spans="1:2" x14ac:dyDescent="0.25">
      <c r="A759"/>
      <c r="B759"/>
    </row>
    <row r="760" spans="1:2" x14ac:dyDescent="0.25">
      <c r="A760"/>
      <c r="B760"/>
    </row>
    <row r="761" spans="1:2" x14ac:dyDescent="0.25">
      <c r="A761"/>
      <c r="B761"/>
    </row>
    <row r="762" spans="1:2" x14ac:dyDescent="0.25">
      <c r="A762"/>
      <c r="B762"/>
    </row>
    <row r="763" spans="1:2" x14ac:dyDescent="0.25">
      <c r="A763"/>
      <c r="B763"/>
    </row>
    <row r="764" spans="1:2" x14ac:dyDescent="0.25">
      <c r="A764"/>
      <c r="B764"/>
    </row>
    <row r="765" spans="1:2" x14ac:dyDescent="0.25">
      <c r="A765"/>
      <c r="B765"/>
    </row>
    <row r="766" spans="1:2" x14ac:dyDescent="0.25">
      <c r="A766"/>
      <c r="B766"/>
    </row>
    <row r="767" spans="1:2" x14ac:dyDescent="0.25">
      <c r="A767"/>
      <c r="B767"/>
    </row>
    <row r="768" spans="1:2" x14ac:dyDescent="0.25">
      <c r="A768"/>
      <c r="B768"/>
    </row>
    <row r="769" spans="1:2" x14ac:dyDescent="0.25">
      <c r="A769"/>
      <c r="B769"/>
    </row>
    <row r="770" spans="1:2" x14ac:dyDescent="0.25">
      <c r="A770"/>
      <c r="B770"/>
    </row>
    <row r="771" spans="1:2" x14ac:dyDescent="0.25">
      <c r="A771"/>
      <c r="B771"/>
    </row>
    <row r="772" spans="1:2" x14ac:dyDescent="0.25">
      <c r="A772"/>
      <c r="B772"/>
    </row>
    <row r="773" spans="1:2" x14ac:dyDescent="0.25">
      <c r="A773"/>
      <c r="B773"/>
    </row>
    <row r="774" spans="1:2" x14ac:dyDescent="0.25">
      <c r="A774"/>
      <c r="B774"/>
    </row>
    <row r="775" spans="1:2" x14ac:dyDescent="0.25">
      <c r="A775"/>
      <c r="B775"/>
    </row>
    <row r="776" spans="1:2" x14ac:dyDescent="0.25">
      <c r="A776"/>
      <c r="B776"/>
    </row>
    <row r="777" spans="1:2" x14ac:dyDescent="0.25">
      <c r="A777"/>
      <c r="B777"/>
    </row>
    <row r="778" spans="1:2" x14ac:dyDescent="0.25">
      <c r="A778"/>
      <c r="B778"/>
    </row>
    <row r="779" spans="1:2" x14ac:dyDescent="0.25">
      <c r="A779"/>
      <c r="B779"/>
    </row>
    <row r="780" spans="1:2" x14ac:dyDescent="0.25">
      <c r="A780"/>
      <c r="B780"/>
    </row>
    <row r="781" spans="1:2" x14ac:dyDescent="0.25">
      <c r="A781"/>
      <c r="B781"/>
    </row>
    <row r="782" spans="1:2" x14ac:dyDescent="0.25">
      <c r="A782"/>
      <c r="B782"/>
    </row>
    <row r="783" spans="1:2" x14ac:dyDescent="0.25">
      <c r="A783"/>
      <c r="B783"/>
    </row>
    <row r="784" spans="1:2" x14ac:dyDescent="0.25">
      <c r="A784"/>
      <c r="B784"/>
    </row>
    <row r="785" spans="1:2" x14ac:dyDescent="0.25">
      <c r="A785"/>
      <c r="B785"/>
    </row>
    <row r="786" spans="1:2" x14ac:dyDescent="0.25">
      <c r="A786"/>
      <c r="B786"/>
    </row>
    <row r="787" spans="1:2" x14ac:dyDescent="0.25">
      <c r="A787"/>
      <c r="B787"/>
    </row>
    <row r="788" spans="1:2" x14ac:dyDescent="0.25">
      <c r="A788"/>
      <c r="B788"/>
    </row>
    <row r="789" spans="1:2" x14ac:dyDescent="0.25">
      <c r="A789"/>
      <c r="B789"/>
    </row>
    <row r="790" spans="1:2" x14ac:dyDescent="0.25">
      <c r="A790"/>
      <c r="B790"/>
    </row>
    <row r="791" spans="1:2" x14ac:dyDescent="0.25">
      <c r="A791"/>
      <c r="B791"/>
    </row>
    <row r="792" spans="1:2" x14ac:dyDescent="0.25">
      <c r="A792"/>
      <c r="B792"/>
    </row>
    <row r="793" spans="1:2" x14ac:dyDescent="0.25">
      <c r="A793"/>
      <c r="B793"/>
    </row>
    <row r="794" spans="1:2" x14ac:dyDescent="0.25">
      <c r="A794"/>
      <c r="B794"/>
    </row>
    <row r="795" spans="1:2" x14ac:dyDescent="0.25">
      <c r="A795"/>
      <c r="B795"/>
    </row>
    <row r="796" spans="1:2" x14ac:dyDescent="0.25">
      <c r="A796"/>
      <c r="B796"/>
    </row>
    <row r="797" spans="1:2" x14ac:dyDescent="0.25">
      <c r="A797"/>
      <c r="B797"/>
    </row>
    <row r="798" spans="1:2" x14ac:dyDescent="0.25">
      <c r="A798"/>
      <c r="B798"/>
    </row>
    <row r="799" spans="1:2" x14ac:dyDescent="0.25">
      <c r="A799"/>
      <c r="B799"/>
    </row>
    <row r="800" spans="1:2" x14ac:dyDescent="0.25">
      <c r="A800"/>
      <c r="B800"/>
    </row>
    <row r="801" spans="1:2" x14ac:dyDescent="0.25">
      <c r="A801"/>
      <c r="B801"/>
    </row>
    <row r="802" spans="1:2" x14ac:dyDescent="0.25">
      <c r="A802"/>
      <c r="B802"/>
    </row>
    <row r="803" spans="1:2" x14ac:dyDescent="0.25">
      <c r="A803"/>
      <c r="B803"/>
    </row>
    <row r="804" spans="1:2" x14ac:dyDescent="0.25">
      <c r="A804"/>
      <c r="B804"/>
    </row>
    <row r="805" spans="1:2" x14ac:dyDescent="0.25">
      <c r="A805"/>
      <c r="B805"/>
    </row>
    <row r="806" spans="1:2" x14ac:dyDescent="0.25">
      <c r="A806"/>
      <c r="B806"/>
    </row>
    <row r="807" spans="1:2" x14ac:dyDescent="0.25">
      <c r="A807"/>
      <c r="B807"/>
    </row>
    <row r="808" spans="1:2" x14ac:dyDescent="0.25">
      <c r="A808"/>
      <c r="B808"/>
    </row>
    <row r="809" spans="1:2" x14ac:dyDescent="0.25">
      <c r="A809"/>
      <c r="B809"/>
    </row>
    <row r="810" spans="1:2" x14ac:dyDescent="0.25">
      <c r="A810"/>
      <c r="B810"/>
    </row>
    <row r="811" spans="1:2" x14ac:dyDescent="0.25">
      <c r="A811"/>
      <c r="B811"/>
    </row>
    <row r="812" spans="1:2" x14ac:dyDescent="0.25">
      <c r="A812"/>
      <c r="B812"/>
    </row>
    <row r="813" spans="1:2" x14ac:dyDescent="0.25">
      <c r="A813"/>
      <c r="B813"/>
    </row>
    <row r="814" spans="1:2" x14ac:dyDescent="0.25">
      <c r="A814"/>
      <c r="B814"/>
    </row>
    <row r="815" spans="1:2" x14ac:dyDescent="0.25">
      <c r="A815"/>
      <c r="B815"/>
    </row>
    <row r="816" spans="1:2" x14ac:dyDescent="0.25">
      <c r="A816"/>
      <c r="B816"/>
    </row>
    <row r="817" spans="1:2" x14ac:dyDescent="0.25">
      <c r="A817"/>
      <c r="B817"/>
    </row>
    <row r="818" spans="1:2" x14ac:dyDescent="0.25">
      <c r="A818"/>
      <c r="B818"/>
    </row>
    <row r="819" spans="1:2" x14ac:dyDescent="0.25">
      <c r="A819"/>
      <c r="B819"/>
    </row>
    <row r="820" spans="1:2" x14ac:dyDescent="0.25">
      <c r="A820"/>
      <c r="B820"/>
    </row>
    <row r="821" spans="1:2" x14ac:dyDescent="0.25">
      <c r="A821"/>
      <c r="B821"/>
    </row>
    <row r="822" spans="1:2" x14ac:dyDescent="0.25">
      <c r="A822"/>
      <c r="B822"/>
    </row>
    <row r="823" spans="1:2" x14ac:dyDescent="0.25">
      <c r="A823"/>
      <c r="B823"/>
    </row>
    <row r="824" spans="1:2" x14ac:dyDescent="0.25">
      <c r="A824"/>
      <c r="B824"/>
    </row>
    <row r="825" spans="1:2" x14ac:dyDescent="0.25">
      <c r="A825"/>
      <c r="B825"/>
    </row>
    <row r="826" spans="1:2" x14ac:dyDescent="0.25">
      <c r="A826"/>
      <c r="B826"/>
    </row>
    <row r="827" spans="1:2" x14ac:dyDescent="0.25">
      <c r="A827"/>
      <c r="B827"/>
    </row>
    <row r="828" spans="1:2" x14ac:dyDescent="0.25">
      <c r="A828"/>
      <c r="B828"/>
    </row>
    <row r="829" spans="1:2" x14ac:dyDescent="0.25">
      <c r="A829"/>
      <c r="B829"/>
    </row>
    <row r="830" spans="1:2" x14ac:dyDescent="0.25">
      <c r="A830"/>
      <c r="B830"/>
    </row>
    <row r="831" spans="1:2" x14ac:dyDescent="0.25">
      <c r="A831"/>
      <c r="B831"/>
    </row>
    <row r="832" spans="1:2" x14ac:dyDescent="0.25">
      <c r="A832"/>
      <c r="B832"/>
    </row>
    <row r="833" spans="1:2" x14ac:dyDescent="0.25">
      <c r="A833"/>
      <c r="B833"/>
    </row>
    <row r="834" spans="1:2" x14ac:dyDescent="0.25">
      <c r="A834"/>
      <c r="B834"/>
    </row>
    <row r="835" spans="1:2" x14ac:dyDescent="0.25">
      <c r="A835"/>
      <c r="B835"/>
    </row>
    <row r="836" spans="1:2" x14ac:dyDescent="0.25">
      <c r="A836"/>
      <c r="B836"/>
    </row>
    <row r="837" spans="1:2" x14ac:dyDescent="0.25">
      <c r="A837"/>
      <c r="B837"/>
    </row>
    <row r="838" spans="1:2" x14ac:dyDescent="0.25">
      <c r="A838"/>
      <c r="B838"/>
    </row>
    <row r="839" spans="1:2" x14ac:dyDescent="0.25">
      <c r="A839"/>
      <c r="B839"/>
    </row>
    <row r="840" spans="1:2" x14ac:dyDescent="0.25">
      <c r="A840"/>
      <c r="B840"/>
    </row>
    <row r="841" spans="1:2" x14ac:dyDescent="0.25">
      <c r="A841"/>
      <c r="B841"/>
    </row>
    <row r="842" spans="1:2" x14ac:dyDescent="0.25">
      <c r="A842"/>
      <c r="B842"/>
    </row>
    <row r="843" spans="1:2" x14ac:dyDescent="0.25">
      <c r="A843"/>
      <c r="B843"/>
    </row>
    <row r="844" spans="1:2" x14ac:dyDescent="0.25">
      <c r="A844"/>
      <c r="B844"/>
    </row>
    <row r="845" spans="1:2" x14ac:dyDescent="0.25">
      <c r="A845"/>
      <c r="B845"/>
    </row>
    <row r="846" spans="1:2" x14ac:dyDescent="0.25">
      <c r="A846"/>
      <c r="B846"/>
    </row>
    <row r="847" spans="1:2" x14ac:dyDescent="0.25">
      <c r="A847"/>
      <c r="B847"/>
    </row>
    <row r="848" spans="1:2" x14ac:dyDescent="0.25">
      <c r="A848"/>
      <c r="B848"/>
    </row>
    <row r="849" spans="1:2" x14ac:dyDescent="0.25">
      <c r="A849"/>
      <c r="B849"/>
    </row>
    <row r="850" spans="1:2" x14ac:dyDescent="0.25">
      <c r="A850"/>
      <c r="B850"/>
    </row>
    <row r="851" spans="1:2" x14ac:dyDescent="0.25">
      <c r="A851"/>
      <c r="B851"/>
    </row>
    <row r="852" spans="1:2" x14ac:dyDescent="0.25">
      <c r="A852"/>
      <c r="B852"/>
    </row>
    <row r="853" spans="1:2" x14ac:dyDescent="0.25">
      <c r="A853"/>
      <c r="B853"/>
    </row>
    <row r="854" spans="1:2" x14ac:dyDescent="0.25">
      <c r="A854"/>
      <c r="B854"/>
    </row>
    <row r="855" spans="1:2" x14ac:dyDescent="0.25">
      <c r="A855"/>
      <c r="B855"/>
    </row>
    <row r="856" spans="1:2" x14ac:dyDescent="0.25">
      <c r="A856"/>
      <c r="B856"/>
    </row>
    <row r="857" spans="1:2" x14ac:dyDescent="0.25">
      <c r="A857"/>
      <c r="B857"/>
    </row>
    <row r="858" spans="1:2" x14ac:dyDescent="0.25">
      <c r="A858"/>
      <c r="B858"/>
    </row>
    <row r="859" spans="1:2" x14ac:dyDescent="0.25">
      <c r="A859"/>
      <c r="B859"/>
    </row>
    <row r="860" spans="1:2" x14ac:dyDescent="0.25">
      <c r="A860"/>
      <c r="B860"/>
    </row>
    <row r="861" spans="1:2" x14ac:dyDescent="0.25">
      <c r="A861"/>
      <c r="B861"/>
    </row>
    <row r="862" spans="1:2" x14ac:dyDescent="0.25">
      <c r="A862"/>
      <c r="B862"/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</row>
    <row r="1193" spans="1:2" x14ac:dyDescent="0.25">
      <c r="A1193"/>
    </row>
    <row r="1194" spans="1:2" x14ac:dyDescent="0.25">
      <c r="A1194"/>
    </row>
    <row r="1195" spans="1:2" x14ac:dyDescent="0.25">
      <c r="A1195"/>
    </row>
    <row r="1196" spans="1:2" x14ac:dyDescent="0.25">
      <c r="A1196"/>
    </row>
    <row r="1197" spans="1:2" x14ac:dyDescent="0.25">
      <c r="A1197"/>
    </row>
    <row r="1198" spans="1:2" x14ac:dyDescent="0.25">
      <c r="A1198"/>
    </row>
    <row r="1199" spans="1:2" x14ac:dyDescent="0.25">
      <c r="A1199"/>
    </row>
    <row r="1200" spans="1:2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</sheetData>
  <sortState ref="A31:E49">
    <sortCondition ref="A31:A49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10" workbookViewId="0">
      <selection activeCell="B2" sqref="B2"/>
    </sheetView>
  </sheetViews>
  <sheetFormatPr defaultColWidth="9.140625" defaultRowHeight="15" x14ac:dyDescent="0.25"/>
  <cols>
    <col min="1" max="1" width="16.85546875" style="23" customWidth="1"/>
    <col min="2" max="2" width="51.140625" style="23" customWidth="1"/>
    <col min="3" max="3" width="36.140625" style="23" customWidth="1"/>
    <col min="4" max="4" width="35" style="23" customWidth="1"/>
    <col min="5" max="16384" width="9.140625" style="23"/>
  </cols>
  <sheetData>
    <row r="1" spans="1:4" s="24" customFormat="1" ht="14.25" x14ac:dyDescent="0.25">
      <c r="A1" s="24" t="s">
        <v>286</v>
      </c>
      <c r="B1" s="24" t="s">
        <v>287</v>
      </c>
      <c r="C1" s="24" t="s">
        <v>288</v>
      </c>
      <c r="D1" s="24" t="s">
        <v>250</v>
      </c>
    </row>
    <row r="2" spans="1:4" ht="30" x14ac:dyDescent="0.25">
      <c r="A2" s="23" t="s">
        <v>159</v>
      </c>
      <c r="B2" s="23" t="s">
        <v>283</v>
      </c>
      <c r="D2" s="23" t="str">
        <f>"Sở NN &amp; PTNT "&amp;Donvi[[#This Row],[Mã đơn vị]]</f>
        <v>Sở NN &amp; PTNT An Giang</v>
      </c>
    </row>
    <row r="3" spans="1:4" ht="30" x14ac:dyDescent="0.25">
      <c r="A3" s="23" t="s">
        <v>173</v>
      </c>
      <c r="B3" s="23" t="s">
        <v>280</v>
      </c>
      <c r="D3" s="23" t="str">
        <f>"Sở NN &amp; PTNT "&amp;Donvi[[#This Row],[Mã đơn vị]]</f>
        <v>Sở NN &amp; PTNT Cần Thơ</v>
      </c>
    </row>
    <row r="4" spans="1:4" x14ac:dyDescent="0.25">
      <c r="A4" s="23" t="s">
        <v>181</v>
      </c>
      <c r="B4" s="23" t="s">
        <v>281</v>
      </c>
      <c r="D4" s="23" t="str">
        <f>"Sở NN &amp; PTNT "&amp;Donvi[[#This Row],[Mã đơn vị]]</f>
        <v>Sở NN &amp; PTNT Đồng Tháp</v>
      </c>
    </row>
    <row r="5" spans="1:4" ht="30" x14ac:dyDescent="0.25">
      <c r="A5" s="23" t="s">
        <v>215</v>
      </c>
      <c r="B5" s="23" t="s">
        <v>284</v>
      </c>
      <c r="D5" s="23" t="str">
        <f>"Sở NN &amp; PTNT "&amp;Donvi[[#This Row],[Mã đơn vị]]</f>
        <v>Sở NN &amp; PTNT Vĩnh Long</v>
      </c>
    </row>
    <row r="6" spans="1:4" x14ac:dyDescent="0.25">
      <c r="A6" s="23" t="s">
        <v>117</v>
      </c>
      <c r="B6" s="23" t="s">
        <v>289</v>
      </c>
      <c r="D6" s="23" t="str">
        <f>"Sở NN &amp; PTNT "&amp;Donvi[[#This Row],[Mã đơn vị]]</f>
        <v>Sở NN &amp; PTNT Tây Ninh</v>
      </c>
    </row>
    <row r="7" spans="1:4" ht="30" x14ac:dyDescent="0.25">
      <c r="A7" s="23" t="s">
        <v>101</v>
      </c>
      <c r="B7" s="23" t="s">
        <v>290</v>
      </c>
      <c r="D7" s="23" t="str">
        <f>"Sở NN &amp; PTNT "&amp;Donvi[[#This Row],[Mã đơn vị]]</f>
        <v>Sở NN &amp; PTNT Bến Tre</v>
      </c>
    </row>
    <row r="8" spans="1:4" ht="30" x14ac:dyDescent="0.25">
      <c r="A8" s="23" t="s">
        <v>123</v>
      </c>
      <c r="B8" s="23" t="s">
        <v>291</v>
      </c>
      <c r="D8" s="23" t="str">
        <f>"Sở NN &amp; PTNT "&amp;Donvi[[#This Row],[Mã đơn vị]]</f>
        <v>Sở NN &amp; PTNT Sóc Trăng</v>
      </c>
    </row>
    <row r="9" spans="1:4" ht="30" x14ac:dyDescent="0.25">
      <c r="A9" s="23" t="s">
        <v>136</v>
      </c>
      <c r="B9" s="23" t="s">
        <v>282</v>
      </c>
      <c r="D9" s="23" t="str">
        <f>"Sở NN &amp; PTNT "&amp;Donvi[[#This Row],[Mã đơn vị]]</f>
        <v>Sở NN &amp; PTNT Bạc Liêu</v>
      </c>
    </row>
    <row r="10" spans="1:4" x14ac:dyDescent="0.25">
      <c r="A10" s="23" t="s">
        <v>146</v>
      </c>
      <c r="B10" s="23" t="s">
        <v>292</v>
      </c>
      <c r="D10" s="23" t="str">
        <f>"Sở NN &amp; PTNT "&amp;Donvi[[#This Row],[Mã đơn vị]]</f>
        <v>Sở NN &amp; PTNT Cà Mau</v>
      </c>
    </row>
    <row r="11" spans="1:4" ht="30" x14ac:dyDescent="0.25">
      <c r="A11" s="23" t="s">
        <v>204</v>
      </c>
      <c r="B11" s="23" t="s">
        <v>293</v>
      </c>
      <c r="D11" s="23" t="str">
        <f>"Sở NN &amp; PTNT "&amp;Donvi[[#This Row],[Mã đơn vị]]</f>
        <v>Sở NN &amp; PTNT Trà Vinh</v>
      </c>
    </row>
    <row r="12" spans="1:4" x14ac:dyDescent="0.25">
      <c r="A12" s="23" t="s">
        <v>24</v>
      </c>
      <c r="B12" s="23" t="s">
        <v>294</v>
      </c>
      <c r="D12" s="23" t="str">
        <f>"Sở NN &amp; PTNT "&amp;Donvi[[#This Row],[Mã đơn vị]]</f>
        <v>Sở NN &amp; PTNT Tp. HCM</v>
      </c>
    </row>
    <row r="13" spans="1:4" ht="30" x14ac:dyDescent="0.25">
      <c r="A13" s="23" t="s">
        <v>38</v>
      </c>
      <c r="B13" s="23" t="s">
        <v>295</v>
      </c>
      <c r="D13" s="23" t="str">
        <f>"Sở NN &amp; PTNT "&amp;Donvi[[#This Row],[Mã đơn vị]]</f>
        <v>Sở NN &amp; PTNT Bình Thuận</v>
      </c>
    </row>
    <row r="14" spans="1:4" ht="30" x14ac:dyDescent="0.25">
      <c r="A14" s="23" t="s">
        <v>79</v>
      </c>
      <c r="B14" s="23" t="s">
        <v>296</v>
      </c>
      <c r="D14" s="23" t="str">
        <f>"Sở NN &amp; PTNT "&amp;Donvi[[#This Row],[Mã đơn vị]]</f>
        <v>Sở NN &amp; PTNT Long An</v>
      </c>
    </row>
    <row r="15" spans="1:4" ht="30" x14ac:dyDescent="0.25">
      <c r="A15" s="23" t="s">
        <v>96</v>
      </c>
      <c r="B15" s="23" t="s">
        <v>297</v>
      </c>
      <c r="D15" s="23" t="str">
        <f>"Sở NN &amp; PTNT "&amp;Donvi[[#This Row],[Mã đơn vị]]</f>
        <v>Sở NN &amp; PTNT Đồng Nai</v>
      </c>
    </row>
    <row r="16" spans="1:4" ht="30" x14ac:dyDescent="0.25">
      <c r="A16" s="23" t="s">
        <v>191</v>
      </c>
      <c r="B16" s="23" t="s">
        <v>298</v>
      </c>
      <c r="D16" s="23" t="str">
        <f>"Sở NN &amp; PTNT "&amp;Donvi[[#This Row],[Mã đơn vị]]</f>
        <v>Sở NN &amp; PTNT Hậu Giang</v>
      </c>
    </row>
    <row r="17" spans="1:4" ht="30" x14ac:dyDescent="0.25">
      <c r="A17" s="23" t="s">
        <v>197</v>
      </c>
      <c r="B17" s="23" t="s">
        <v>299</v>
      </c>
      <c r="D17" s="23" t="str">
        <f>"Sở NN &amp; PTNT "&amp;Donvi[[#This Row],[Mã đơn vị]]</f>
        <v>Sở NN &amp; PTNT Kiên Giang</v>
      </c>
    </row>
    <row r="18" spans="1:4" ht="30" x14ac:dyDescent="0.25">
      <c r="A18" s="23" t="s">
        <v>53</v>
      </c>
      <c r="B18" s="23" t="s">
        <v>285</v>
      </c>
      <c r="D18" s="23" t="str">
        <f>"Sở NN &amp; PTNT "&amp;Donvi[[#This Row],[Mã đơn vị]]</f>
        <v>Sở NN &amp; PTNT Tiền Giang</v>
      </c>
    </row>
    <row r="19" spans="1:4" ht="30" x14ac:dyDescent="0.25">
      <c r="A19" s="23" t="s">
        <v>48</v>
      </c>
      <c r="B19" s="23" t="s">
        <v>300</v>
      </c>
      <c r="D19" s="23" t="str">
        <f>"Sở NN &amp; PTNT "&amp;Donvi[[#This Row],[Mã đơn vị]]</f>
        <v>Sở NN &amp; PTNT BR-VT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E6C27-DCBB-4F63-8438-0525C7013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KHDL 2024</vt:lpstr>
      <vt:lpstr>KHDL_2023</vt:lpstr>
      <vt:lpstr>Gioihan</vt:lpstr>
      <vt:lpstr>Don vi</vt:lpstr>
      <vt:lpstr>'KHDL 2024'!Print_Titles</vt:lpstr>
      <vt:lpstr>KHDL_2023!Print_Titles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Nafiqad-SRA</dc:creator>
  <cp:keywords/>
  <dc:description/>
  <cp:lastModifiedBy>Administrator</cp:lastModifiedBy>
  <cp:revision/>
  <cp:lastPrinted>2024-04-15T09:26:42Z</cp:lastPrinted>
  <dcterms:created xsi:type="dcterms:W3CDTF">2021-07-17T01:58:38Z</dcterms:created>
  <dcterms:modified xsi:type="dcterms:W3CDTF">2024-04-26T04:23:37Z</dcterms:modified>
  <cp:category/>
  <cp:contentStatus/>
</cp:coreProperties>
</file>